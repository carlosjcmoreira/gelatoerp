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umolcompal-my.sharepoint.com/personal/carlosjorge_moreira_sumolcompal_pt/Documents/Downloads/"/>
    </mc:Choice>
  </mc:AlternateContent>
  <xr:revisionPtr revIDLastSave="6" documentId="8_{F8C06428-0E52-4753-9315-0C62359AEBA3}" xr6:coauthVersionLast="47" xr6:coauthVersionMax="47" xr10:uidLastSave="{55BC1044-1936-4CCD-9818-117DF2EAD09B}"/>
  <bookViews>
    <workbookView xWindow="-110" yWindow="-110" windowWidth="23260" windowHeight="14860" tabRatio="849" firstSheet="1" activeTab="1" xr2:uid="{00000000-000D-0000-FFFF-FFFF00000000}"/>
  </bookViews>
  <sheets>
    <sheet name="Formosa" sheetId="33" state="hidden" r:id="rId1"/>
    <sheet name="BD_Movimentos" sheetId="49" r:id="rId2"/>
    <sheet name="Fundo de Caixa" sheetId="5" state="hidden" r:id="rId3"/>
    <sheet name="Depositos Matosinhos" sheetId="6" state="hidden" r:id="rId4"/>
    <sheet name="Maio" sheetId="7" state="hidden" r:id="rId5"/>
    <sheet name="Junho" sheetId="8" state="hidden" r:id="rId6"/>
    <sheet name="Julho" sheetId="9" state="hidden" r:id="rId7"/>
    <sheet name="Agosto" sheetId="10" state="hidden" r:id="rId8"/>
    <sheet name="Setembro" sheetId="11" state="hidden" r:id="rId9"/>
    <sheet name="Novembro" sheetId="13" state="hidden" r:id="rId10"/>
    <sheet name="Maio 23" sheetId="19" state="hidden" r:id="rId11"/>
    <sheet name="Jun 23 " sheetId="20" state="hidden" r:id="rId12"/>
    <sheet name="Depositos Bolhão" sheetId="39" state="hidden" r:id="rId13"/>
    <sheet name="Jul 23" sheetId="21" state="hidden" r:id="rId14"/>
    <sheet name="Outubro" sheetId="12" state="hidden" r:id="rId15"/>
    <sheet name="Nov 23" sheetId="26" state="hidden" r:id="rId16"/>
    <sheet name="Dezembro" sheetId="14" state="hidden" r:id="rId17"/>
    <sheet name="Dez 23" sheetId="27" state="hidden" r:id="rId18"/>
    <sheet name="Jan 23" sheetId="15" state="hidden" r:id="rId19"/>
    <sheet name="Fev 23 " sheetId="16" state="hidden" r:id="rId20"/>
    <sheet name="Mar 23" sheetId="17" state="hidden" r:id="rId21"/>
    <sheet name="Abril 23" sheetId="18" state="hidden" r:id="rId22"/>
    <sheet name="Jan 24" sheetId="28" state="hidden" r:id="rId23"/>
    <sheet name="Fev 24" sheetId="29" state="hidden" r:id="rId24"/>
    <sheet name="Mar 24" sheetId="30" state="hidden" r:id="rId25"/>
    <sheet name="Abr 24 " sheetId="31" state="hidden" r:id="rId26"/>
    <sheet name="Mai 24" sheetId="32" state="hidden" r:id="rId27"/>
    <sheet name="Jun 24" sheetId="34" state="hidden" r:id="rId28"/>
    <sheet name="Jul 24" sheetId="35" state="hidden" r:id="rId29"/>
    <sheet name="Ago 23" sheetId="22" state="hidden" r:id="rId30"/>
    <sheet name="Ago 24" sheetId="36" state="hidden" r:id="rId31"/>
    <sheet name="Set 23" sheetId="23" state="hidden" r:id="rId32"/>
    <sheet name="Out 23" sheetId="25" state="hidden" r:id="rId33"/>
    <sheet name="Set 24 Mat" sheetId="37" state="hidden" r:id="rId34"/>
    <sheet name="Set 24 Bolhão" sheetId="38" state="hidden" r:id="rId35"/>
    <sheet name="Jan 25 Bolhao" sheetId="47" state="hidden" r:id="rId36"/>
    <sheet name="Jan 25Mat" sheetId="48" state="hidden" r:id="rId37"/>
    <sheet name="Dez 24 Bolhao" sheetId="45" state="hidden" r:id="rId38"/>
    <sheet name="Dez 24 Mat" sheetId="44" state="hidden" r:id="rId39"/>
    <sheet name="Nov 24 Mat" sheetId="42" state="hidden" r:id="rId40"/>
    <sheet name="Out 24 Mat" sheetId="41" state="hidden" r:id="rId41"/>
    <sheet name="Nov 24 Bolhão" sheetId="43" state="hidden" r:id="rId42"/>
    <sheet name="Out 24 Bolhão" sheetId="40" state="hidden" r:id="rId43"/>
  </sheets>
  <definedNames>
    <definedName name="_xlnm._FilterDatabase" localSheetId="1" hidden="1">BD_Movimentos!$A$1:$M$1945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55" i="49" l="1"/>
  <c r="F1893" i="49" l="1"/>
  <c r="F1884" i="49"/>
  <c r="F1892" i="49"/>
  <c r="G511" i="49" l="1"/>
  <c r="G1885" i="49"/>
  <c r="G1663" i="49"/>
  <c r="G1662" i="49"/>
  <c r="G1788" i="49" l="1"/>
  <c r="G1907" i="49" l="1"/>
  <c r="G1906" i="49" l="1"/>
  <c r="G133" i="49"/>
  <c r="G1793" i="49"/>
  <c r="G1260" i="49"/>
  <c r="G608" i="49"/>
  <c r="G607" i="49"/>
  <c r="G1420" i="49"/>
  <c r="G515" i="49"/>
  <c r="G1894" i="49" l="1"/>
  <c r="G1778" i="49"/>
  <c r="G1743" i="49" l="1"/>
  <c r="G1265" i="49"/>
  <c r="G1787" i="49"/>
  <c r="G1645" i="49"/>
  <c r="G1621" i="49"/>
  <c r="G1618" i="49"/>
  <c r="G1617" i="49"/>
  <c r="G899" i="49"/>
  <c r="G770" i="49"/>
  <c r="G1777" i="49"/>
  <c r="G1776" i="49"/>
  <c r="G947" i="49" l="1"/>
  <c r="G470" i="49" l="1"/>
  <c r="G948" i="49"/>
  <c r="G902" i="49"/>
  <c r="G950" i="49"/>
  <c r="G1197" i="49" l="1"/>
  <c r="G735" i="49" l="1"/>
  <c r="G734" i="49"/>
  <c r="G733" i="49"/>
  <c r="G729" i="49"/>
  <c r="G938" i="49"/>
  <c r="G1924" i="49"/>
  <c r="G1642" i="49" l="1"/>
  <c r="G1189" i="49" l="1"/>
  <c r="G1190" i="49"/>
  <c r="G1191" i="49"/>
  <c r="G861" i="49"/>
  <c r="G844" i="49"/>
  <c r="G843" i="49"/>
  <c r="G1416" i="49"/>
  <c r="G1415" i="49"/>
  <c r="G1414" i="49"/>
  <c r="G1065" i="49" l="1"/>
  <c r="G786" i="49" l="1"/>
  <c r="G307" i="49"/>
  <c r="G1064" i="49" l="1"/>
  <c r="G340" i="49" l="1"/>
  <c r="G943" i="49"/>
  <c r="G429" i="49"/>
  <c r="G687" i="49"/>
  <c r="G830" i="49" l="1"/>
  <c r="G296" i="49"/>
  <c r="G293" i="49"/>
  <c r="G1879" i="49"/>
  <c r="G1639" i="49"/>
  <c r="G1187" i="49"/>
  <c r="G685" i="49"/>
  <c r="G684" i="49"/>
  <c r="G428" i="49"/>
  <c r="G339" i="49"/>
  <c r="G338" i="49"/>
  <c r="G337" i="49"/>
  <c r="G336" i="49"/>
  <c r="G335" i="49"/>
  <c r="G334" i="49"/>
  <c r="G333" i="49"/>
  <c r="G313" i="49"/>
  <c r="G312" i="49"/>
  <c r="G311" i="49"/>
  <c r="G1876" i="49"/>
  <c r="G1877" i="49"/>
  <c r="G1878" i="49"/>
  <c r="G1690" i="49"/>
  <c r="G1691" i="49"/>
  <c r="G1413" i="49"/>
  <c r="G1186" i="49"/>
  <c r="G1188" i="49"/>
  <c r="G942" i="49" l="1"/>
  <c r="G686" i="49"/>
  <c r="G882" i="49"/>
  <c r="G1640" i="49"/>
  <c r="G1635" i="49"/>
  <c r="G1880" i="49"/>
  <c r="G1875" i="49"/>
  <c r="G1863" i="49"/>
  <c r="G1864" i="49"/>
  <c r="G1862" i="49"/>
  <c r="G1874" i="49"/>
  <c r="G1689" i="49"/>
  <c r="G1632" i="49"/>
  <c r="G1637" i="49"/>
  <c r="G1636" i="49"/>
  <c r="G1634" i="49"/>
  <c r="G1633" i="49"/>
  <c r="G1185" i="49"/>
  <c r="G1173" i="49"/>
  <c r="G1184" i="49"/>
  <c r="G1183" i="49"/>
  <c r="G1170" i="49"/>
  <c r="G1171" i="49"/>
  <c r="G1172" i="49"/>
  <c r="G1174" i="49"/>
  <c r="G1042" i="49"/>
  <c r="G1041" i="49"/>
  <c r="G1040" i="49"/>
  <c r="G829" i="49"/>
  <c r="G828" i="49"/>
  <c r="G1638" i="49"/>
  <c r="G508" i="49"/>
  <c r="G1239" i="49"/>
  <c r="G1071" i="49"/>
  <c r="G1070" i="49"/>
  <c r="G408" i="49"/>
  <c r="G266" i="49" l="1"/>
  <c r="G944" i="49"/>
  <c r="G728" i="49"/>
  <c r="G1923" i="49"/>
  <c r="G1257" i="49" l="1"/>
  <c r="G1096" i="49"/>
  <c r="G1881" i="49"/>
  <c r="G1851" i="49"/>
  <c r="G1860" i="49"/>
  <c r="G1861" i="49"/>
  <c r="G1852" i="49"/>
  <c r="G1857" i="49"/>
  <c r="L240" i="49" l="1"/>
  <c r="L241" i="49"/>
  <c r="L242" i="49"/>
  <c r="L243" i="49"/>
  <c r="G1688" i="49" l="1"/>
  <c r="G727" i="49"/>
  <c r="G939" i="49"/>
  <c r="G425" i="49"/>
  <c r="G1913" i="49"/>
  <c r="G1569" i="49" l="1"/>
  <c r="G1570" i="49"/>
  <c r="G1571" i="49"/>
  <c r="G1572" i="49"/>
  <c r="G1573" i="49"/>
  <c r="G1574" i="49"/>
  <c r="G132" i="49"/>
  <c r="G288" i="49"/>
  <c r="G289" i="49"/>
  <c r="G1160" i="49"/>
  <c r="G1161" i="49"/>
  <c r="G1166" i="49"/>
  <c r="G1167" i="49"/>
  <c r="G1168" i="49"/>
  <c r="G1169" i="49"/>
  <c r="G827" i="49"/>
  <c r="G1037" i="49"/>
  <c r="G1039" i="49"/>
  <c r="G1627" i="49"/>
  <c r="G1628" i="49"/>
  <c r="G1629" i="49"/>
  <c r="G1630" i="49"/>
  <c r="G1631" i="49"/>
  <c r="G1410" i="49"/>
  <c r="G1409" i="49"/>
  <c r="G424" i="49"/>
  <c r="G1261" i="49"/>
  <c r="G1755" i="49"/>
  <c r="G732" i="49" l="1"/>
  <c r="G1051" i="49" l="1"/>
  <c r="G898" i="49"/>
  <c r="G1050" i="49"/>
  <c r="G423" i="49"/>
  <c r="G422" i="49"/>
  <c r="G726" i="49"/>
  <c r="G644" i="49"/>
  <c r="G1320" i="49"/>
  <c r="G1049" i="49"/>
  <c r="G385" i="49"/>
  <c r="G94" i="49" l="1"/>
  <c r="G197" i="49"/>
  <c r="G310" i="49"/>
  <c r="G690" i="49"/>
  <c r="G382" i="49"/>
  <c r="G383" i="49"/>
  <c r="G642" i="49"/>
  <c r="G616" i="49"/>
  <c r="G551" i="49"/>
  <c r="G553" i="49"/>
  <c r="G552" i="49"/>
  <c r="G556" i="49"/>
  <c r="G614" i="49"/>
  <c r="G615" i="49"/>
  <c r="G730" i="49"/>
  <c r="G725" i="49"/>
  <c r="G692" i="49"/>
  <c r="G1815" i="49"/>
  <c r="G1814" i="49"/>
  <c r="G1615" i="49"/>
  <c r="G958" i="49"/>
  <c r="G773" i="49"/>
  <c r="G1830" i="49"/>
  <c r="G1817" i="49"/>
  <c r="G1816" i="49"/>
  <c r="G1831" i="49"/>
  <c r="G1832" i="49"/>
  <c r="G1873" i="49"/>
  <c r="G1872" i="49"/>
  <c r="G1859" i="49"/>
  <c r="G1888" i="49"/>
  <c r="G1655" i="49"/>
  <c r="G1901" i="49"/>
  <c r="G643" i="49"/>
  <c r="G731" i="49"/>
  <c r="G959" i="49"/>
  <c r="L749" i="49" l="1"/>
  <c r="G1127" i="49" l="1"/>
  <c r="G1131" i="49"/>
  <c r="G1132" i="49"/>
  <c r="G1136" i="49"/>
  <c r="G1137" i="49"/>
  <c r="G1130" i="49"/>
  <c r="F1315" i="49" l="1"/>
  <c r="L854" i="49" l="1"/>
  <c r="L386" i="49"/>
  <c r="L734" i="49"/>
  <c r="L614" i="49"/>
  <c r="L1756" i="49"/>
  <c r="L96" i="49"/>
  <c r="L1732" i="49"/>
  <c r="L1730" i="49"/>
  <c r="L1729" i="49"/>
  <c r="L818" i="49" l="1"/>
  <c r="L1109" i="49"/>
  <c r="L1108" i="49"/>
  <c r="L853" i="49"/>
  <c r="L1592" i="49"/>
  <c r="L1591" i="49"/>
  <c r="L134" i="49"/>
  <c r="L1587" i="49"/>
  <c r="L931" i="49" l="1"/>
  <c r="L378" i="49"/>
  <c r="L10" i="49"/>
  <c r="L194" i="49"/>
  <c r="L1387" i="49"/>
  <c r="L1676" i="49"/>
  <c r="L553" i="49" l="1"/>
  <c r="L549" i="49"/>
  <c r="L910" i="49" l="1"/>
  <c r="L1247" i="49"/>
  <c r="L407" i="49"/>
  <c r="L1701" i="49"/>
  <c r="L1813" i="49"/>
  <c r="L1812" i="49"/>
  <c r="L1811" i="49"/>
  <c r="L1810" i="49"/>
  <c r="L1809" i="49"/>
  <c r="L1808" i="49"/>
  <c r="L1675" i="49"/>
  <c r="L1586" i="49"/>
  <c r="L1585" i="49"/>
  <c r="L1584" i="49"/>
  <c r="L1583" i="49"/>
  <c r="L1575" i="49"/>
  <c r="L1598" i="49"/>
  <c r="L1378" i="49"/>
  <c r="L1368" i="49"/>
  <c r="L1330" i="49"/>
  <c r="L1329" i="49"/>
  <c r="L1107" i="49"/>
  <c r="L1102" i="49"/>
  <c r="L1101" i="49"/>
  <c r="L852" i="49"/>
  <c r="L817" i="49"/>
  <c r="L816" i="49"/>
  <c r="L658" i="49"/>
  <c r="L547" i="49"/>
  <c r="L546" i="49"/>
  <c r="L496" i="49"/>
  <c r="L403" i="49"/>
  <c r="L495" i="49"/>
  <c r="L494" i="49"/>
  <c r="L409" i="49"/>
  <c r="L205" i="49"/>
  <c r="L203" i="49"/>
  <c r="L202" i="49"/>
  <c r="L199" i="49"/>
  <c r="L377" i="49" l="1"/>
  <c r="L556" i="49"/>
  <c r="L1615" i="49"/>
  <c r="L887" i="49"/>
  <c r="G1330" i="49" l="1"/>
  <c r="L1047" i="49" l="1"/>
  <c r="L724" i="49"/>
  <c r="L930" i="49"/>
  <c r="L376" i="49"/>
  <c r="L375" i="49"/>
  <c r="L1718" i="49"/>
  <c r="L1719" i="49"/>
  <c r="F51" i="49" l="1"/>
  <c r="L51" i="49" s="1"/>
  <c r="L50" i="49"/>
  <c r="L723" i="49"/>
  <c r="L1045" i="49"/>
  <c r="L1044" i="49" l="1"/>
  <c r="L774" i="49"/>
  <c r="L374" i="49"/>
  <c r="L14" i="49"/>
  <c r="L657" i="49"/>
  <c r="L1807" i="49"/>
  <c r="L1806" i="49"/>
  <c r="L1805" i="49"/>
  <c r="L1804" i="49"/>
  <c r="L1568" i="49"/>
  <c r="L1567" i="49"/>
  <c r="L1566" i="49"/>
  <c r="L1293" i="49"/>
  <c r="L1246" i="49"/>
  <c r="L1245" i="49"/>
  <c r="L1021" i="49"/>
  <c r="L1020" i="49"/>
  <c r="L664" i="49"/>
  <c r="L663" i="49"/>
  <c r="L886" i="49" l="1"/>
  <c r="L929" i="49"/>
  <c r="L1328" i="49"/>
  <c r="L1327" i="49"/>
  <c r="L722" i="49"/>
  <c r="L1655" i="49"/>
  <c r="L979" i="49" l="1"/>
  <c r="L763" i="49" l="1"/>
  <c r="L46" i="49"/>
  <c r="L1803" i="49"/>
  <c r="L369" i="49"/>
  <c r="L550" i="49"/>
  <c r="L928" i="49"/>
  <c r="L885" i="49"/>
  <c r="L45" i="49"/>
  <c r="L1377" i="49" l="1"/>
  <c r="L851" i="49"/>
  <c r="L1802" i="49" l="1"/>
  <c r="L1801" i="49"/>
  <c r="L1019" i="49"/>
  <c r="L1018" i="49"/>
  <c r="L814" i="49"/>
  <c r="L1565" i="49"/>
  <c r="L1564" i="49"/>
  <c r="L44" i="49"/>
  <c r="L2" i="49"/>
  <c r="L493" i="49"/>
  <c r="L249" i="49"/>
  <c r="L537" i="49"/>
  <c r="L1062" i="49"/>
  <c r="L529" i="49"/>
  <c r="L535" i="49"/>
  <c r="L536" i="49"/>
  <c r="L884" i="49" l="1"/>
  <c r="L1725" i="49" l="1"/>
  <c r="L1726" i="49"/>
  <c r="L1562" i="49"/>
  <c r="L1563" i="49"/>
  <c r="L813" i="49" l="1"/>
  <c r="L42" i="49"/>
  <c r="L41" i="49"/>
  <c r="L1221" i="49" l="1"/>
  <c r="L43" i="49"/>
  <c r="L36" i="49"/>
  <c r="L1715" i="49" l="1"/>
  <c r="L1043" i="49"/>
  <c r="L284" i="49"/>
  <c r="L769" i="49"/>
  <c r="L768" i="49"/>
  <c r="L367" i="49"/>
  <c r="L926" i="49"/>
  <c r="L402" i="49" l="1"/>
  <c r="L1658" i="49"/>
  <c r="L1656" i="49"/>
  <c r="L1038" i="49"/>
  <c r="L1031" i="49"/>
  <c r="L1030" i="49"/>
  <c r="L1029" i="49"/>
  <c r="L1027" i="49"/>
  <c r="L1256" i="49"/>
  <c r="L935" i="49"/>
  <c r="L883" i="49"/>
  <c r="L364" i="49"/>
  <c r="L475" i="49"/>
  <c r="L474" i="49"/>
  <c r="L473" i="49"/>
  <c r="L472" i="49"/>
  <c r="L459" i="49"/>
  <c r="L468" i="49"/>
  <c r="L1100" i="49"/>
  <c r="L1099" i="49"/>
  <c r="L40" i="49"/>
  <c r="L1561" i="49"/>
  <c r="L1017" i="49"/>
  <c r="L39" i="49"/>
  <c r="L37" i="49"/>
  <c r="L812" i="49"/>
  <c r="G545" i="49" l="1"/>
  <c r="G281" i="49"/>
  <c r="G283" i="49"/>
  <c r="G1301" i="49"/>
  <c r="L283" i="49"/>
  <c r="L281" i="49"/>
  <c r="L545" i="49"/>
  <c r="L1301" i="49"/>
  <c r="L492" i="49" l="1"/>
  <c r="L396" i="49"/>
  <c r="L255" i="49"/>
  <c r="L781" i="49"/>
  <c r="L491" i="49"/>
  <c r="L35" i="49"/>
  <c r="L1724" i="49"/>
  <c r="L1016" i="49"/>
  <c r="L38" i="49"/>
  <c r="L1500" i="49"/>
  <c r="L1659" i="49"/>
  <c r="L1423" i="49"/>
  <c r="L1422" i="49"/>
  <c r="L366" i="49"/>
  <c r="L925" i="49"/>
  <c r="L924" i="49"/>
  <c r="L604" i="49"/>
  <c r="L541" i="49" l="1"/>
  <c r="L280" i="49"/>
  <c r="L1244" i="49" l="1"/>
  <c r="L603" i="49" l="1"/>
  <c r="L1326" i="49"/>
  <c r="L1325" i="49"/>
  <c r="L189" i="49" l="1"/>
  <c r="L1015" i="49"/>
  <c r="L1560" i="49"/>
  <c r="L34" i="49"/>
  <c r="L1559" i="49"/>
  <c r="L33" i="49"/>
  <c r="L811" i="49"/>
  <c r="L1558" i="49"/>
  <c r="L765" i="49"/>
  <c r="L1800" i="49"/>
  <c r="L1717" i="49"/>
  <c r="L1767" i="49"/>
  <c r="L365" i="49"/>
  <c r="L540" i="49"/>
  <c r="L516" i="49" l="1"/>
  <c r="L528" i="49"/>
  <c r="L130" i="49"/>
  <c r="L539" i="49" l="1"/>
  <c r="L279" i="49"/>
  <c r="L363" i="49"/>
  <c r="L277" i="49"/>
  <c r="L1262" i="49"/>
  <c r="L527" i="49" l="1"/>
  <c r="L530" i="49"/>
  <c r="L526" i="49"/>
  <c r="L531" i="49"/>
  <c r="L362" i="49"/>
  <c r="L810" i="49"/>
  <c r="L32" i="49"/>
  <c r="L1557" i="49"/>
  <c r="L239" i="49"/>
  <c r="L1556" i="49" l="1"/>
  <c r="L1696" i="49" l="1"/>
  <c r="L762" i="49" l="1"/>
  <c r="L481" i="49"/>
  <c r="L1243" i="49" l="1"/>
  <c r="L467" i="49" l="1"/>
  <c r="L31" i="49"/>
  <c r="L1555" i="49"/>
  <c r="L1014" i="49"/>
  <c r="L30" i="49"/>
  <c r="F879" i="49" l="1"/>
  <c r="O147" i="49"/>
  <c r="O636" i="49"/>
  <c r="L513" i="49"/>
  <c r="F1324" i="49"/>
  <c r="L1554" i="49"/>
  <c r="L809" i="49"/>
  <c r="L485" i="49"/>
  <c r="L1720" i="49" l="1"/>
  <c r="L309" i="49"/>
  <c r="L490" i="49"/>
  <c r="L401" i="49"/>
  <c r="L1066" i="49"/>
  <c r="G1550" i="49"/>
  <c r="L524" i="49"/>
  <c r="L525" i="49"/>
  <c r="L808" i="49"/>
  <c r="G808" i="49"/>
  <c r="L602" i="49"/>
  <c r="G1013" i="49"/>
  <c r="G54" i="49"/>
  <c r="G239" i="49"/>
  <c r="G238" i="49"/>
  <c r="G241" i="49"/>
  <c r="G223" i="49"/>
  <c r="G224" i="49"/>
  <c r="G243" i="49"/>
  <c r="G222" i="49"/>
  <c r="G244" i="49"/>
  <c r="G245" i="49"/>
  <c r="G212" i="49"/>
  <c r="G1324" i="49"/>
  <c r="G1329" i="49"/>
  <c r="G1315" i="49"/>
  <c r="G1273" i="49"/>
  <c r="G1272" i="49"/>
  <c r="G1274" i="49"/>
  <c r="G1155" i="49"/>
  <c r="G1156" i="49"/>
  <c r="G1323" i="49"/>
  <c r="L265" i="49" l="1"/>
  <c r="L1531" i="49"/>
  <c r="L261" i="49"/>
  <c r="L1528" i="49"/>
  <c r="L1461" i="49"/>
  <c r="L328" i="49"/>
  <c r="L1786" i="49"/>
  <c r="L1529" i="49"/>
  <c r="L327" i="49"/>
  <c r="L1545" i="49"/>
  <c r="L1530" i="49"/>
  <c r="L323" i="49"/>
  <c r="L1462" i="49"/>
  <c r="L324" i="49"/>
  <c r="L1532" i="49"/>
  <c r="L766" i="49"/>
  <c r="L252" i="49"/>
  <c r="L1463" i="49"/>
  <c r="L1533" i="49"/>
  <c r="L191" i="49"/>
  <c r="L758" i="49"/>
  <c r="L1534" i="49"/>
  <c r="L314" i="49"/>
  <c r="L315" i="49"/>
  <c r="L888" i="49"/>
  <c r="L316" i="49"/>
  <c r="L1537" i="49"/>
  <c r="L317" i="49"/>
  <c r="L771" i="49"/>
  <c r="L318" i="49"/>
  <c r="L1360" i="49"/>
  <c r="L752" i="49"/>
  <c r="L1361" i="49"/>
  <c r="L319" i="49"/>
  <c r="L1375" i="49"/>
  <c r="L58" i="49"/>
  <c r="L1543" i="49"/>
  <c r="L139" i="49"/>
  <c r="L353" i="49"/>
  <c r="L433" i="49"/>
  <c r="L434" i="49"/>
  <c r="L435" i="49"/>
  <c r="L667" i="49"/>
  <c r="L1424" i="49"/>
  <c r="L590" i="49"/>
  <c r="L759" i="49"/>
  <c r="L987" i="49"/>
  <c r="L1425" i="49"/>
  <c r="L1426" i="49"/>
  <c r="L59" i="49"/>
  <c r="L1544" i="49"/>
  <c r="L1785" i="49"/>
  <c r="L436" i="49"/>
  <c r="L1376" i="49"/>
  <c r="L1299" i="49"/>
  <c r="L760" i="49"/>
  <c r="L1427" i="49"/>
  <c r="L3" i="49"/>
  <c r="L1398" i="49"/>
  <c r="L788" i="49"/>
  <c r="L988" i="49"/>
  <c r="L1399" i="49"/>
  <c r="L750" i="49"/>
  <c r="L60" i="49"/>
  <c r="L745" i="49"/>
  <c r="L1428" i="49"/>
  <c r="L889" i="49"/>
  <c r="L437" i="49"/>
  <c r="L767" i="49"/>
  <c r="L1381" i="49"/>
  <c r="L668" i="49"/>
  <c r="L989" i="49"/>
  <c r="L1576" i="49"/>
  <c r="L226" i="49"/>
  <c r="L753" i="49"/>
  <c r="L990" i="49"/>
  <c r="L1088" i="49"/>
  <c r="L866" i="49"/>
  <c r="L1429" i="49"/>
  <c r="L1300" i="49"/>
  <c r="L213" i="49"/>
  <c r="L1098" i="49"/>
  <c r="L1577" i="49"/>
  <c r="L693" i="49"/>
  <c r="L593" i="49"/>
  <c r="L669" i="49"/>
  <c r="L1430" i="49"/>
  <c r="L1578" i="49"/>
  <c r="L1263" i="49"/>
  <c r="L1433" i="49"/>
  <c r="L1434" i="49"/>
  <c r="L61" i="49"/>
  <c r="L867" i="49"/>
  <c r="L694" i="49"/>
  <c r="L1579" i="49"/>
  <c r="L670" i="49"/>
  <c r="L1382" i="49"/>
  <c r="L991" i="49"/>
  <c r="L1435" i="49"/>
  <c r="L1222" i="49"/>
  <c r="L438" i="49"/>
  <c r="L594" i="49"/>
  <c r="L62" i="49"/>
  <c r="L1436" i="49"/>
  <c r="L227" i="49"/>
  <c r="L1443" i="49"/>
  <c r="L1444" i="49"/>
  <c r="L595" i="49"/>
  <c r="L890" i="49"/>
  <c r="L1400" i="49"/>
  <c r="L330" i="49"/>
  <c r="L329" i="49"/>
  <c r="L695" i="49"/>
  <c r="L696" i="49"/>
  <c r="L63" i="49"/>
  <c r="L868" i="49"/>
  <c r="L1445" i="49"/>
  <c r="L431" i="49"/>
  <c r="L1402" i="49"/>
  <c r="L1401" i="49"/>
  <c r="L64" i="49"/>
  <c r="L1446" i="49"/>
  <c r="L1447" i="49"/>
  <c r="L331" i="49"/>
  <c r="L1403" i="49"/>
  <c r="L754" i="49"/>
  <c r="L192" i="49"/>
  <c r="L1383" i="49"/>
  <c r="L4" i="49"/>
  <c r="L1448" i="49"/>
  <c r="L1722" i="49"/>
  <c r="L697" i="49"/>
  <c r="L698" i="49"/>
  <c r="L5" i="49"/>
  <c r="L671" i="49"/>
  <c r="L1449" i="49"/>
  <c r="L1450" i="49"/>
  <c r="L1404" i="49"/>
  <c r="L439" i="49"/>
  <c r="L440" i="49"/>
  <c r="L777" i="49"/>
  <c r="L1223" i="49"/>
  <c r="L228" i="49"/>
  <c r="L992" i="49"/>
  <c r="L65" i="49"/>
  <c r="L1451" i="49"/>
  <c r="L699" i="49"/>
  <c r="L779" i="49"/>
  <c r="L700" i="49"/>
  <c r="L775" i="49"/>
  <c r="L1405" i="49"/>
  <c r="L985" i="49"/>
  <c r="L1406" i="49"/>
  <c r="L701" i="49"/>
  <c r="L1452" i="49"/>
  <c r="L891" i="49"/>
  <c r="L591" i="49"/>
  <c r="L592" i="49"/>
  <c r="L1453" i="49"/>
  <c r="L1407" i="49"/>
  <c r="L66" i="49"/>
  <c r="L1057" i="49"/>
  <c r="L1454" i="49"/>
  <c r="L1455" i="49"/>
  <c r="L1408" i="49"/>
  <c r="L755" i="49"/>
  <c r="L1384" i="49"/>
  <c r="L184" i="49"/>
  <c r="L1224" i="49"/>
  <c r="L1431" i="49"/>
  <c r="L229" i="49"/>
  <c r="L441" i="49"/>
  <c r="L67" i="49"/>
  <c r="L672" i="49"/>
  <c r="L872" i="49"/>
  <c r="L1456" i="49"/>
  <c r="L140" i="49"/>
  <c r="L1580" i="49"/>
  <c r="L869" i="49"/>
  <c r="L68" i="49"/>
  <c r="L69" i="49"/>
  <c r="L70" i="49"/>
  <c r="L874" i="49"/>
  <c r="L141" i="49"/>
  <c r="L1432" i="49"/>
  <c r="L320" i="49"/>
  <c r="L71" i="49"/>
  <c r="L308" i="49"/>
  <c r="L993" i="49"/>
  <c r="L1457" i="49"/>
  <c r="L321" i="49"/>
  <c r="L756" i="49"/>
  <c r="L142" i="49"/>
  <c r="L322" i="49"/>
  <c r="L1437" i="49"/>
  <c r="L1385" i="49"/>
  <c r="L72" i="49"/>
  <c r="L1458" i="49"/>
  <c r="L6" i="49"/>
  <c r="L143" i="49"/>
  <c r="L442" i="49"/>
  <c r="L443" i="49"/>
  <c r="L1225" i="49"/>
  <c r="L230" i="49"/>
  <c r="L73" i="49"/>
  <c r="L144" i="49"/>
  <c r="L738" i="49"/>
  <c r="L1438" i="49"/>
  <c r="L757" i="49"/>
  <c r="L739" i="49"/>
  <c r="L1439" i="49"/>
  <c r="L74" i="49"/>
  <c r="L1459" i="49"/>
  <c r="L145" i="49"/>
  <c r="L1440" i="49"/>
  <c r="L332" i="49"/>
  <c r="L75" i="49"/>
  <c r="L146" i="49"/>
  <c r="L789" i="49"/>
  <c r="L1460" i="49"/>
  <c r="L984" i="49"/>
  <c r="L1466" i="49"/>
  <c r="L1441" i="49"/>
  <c r="L147" i="49"/>
  <c r="L597" i="49"/>
  <c r="L1442" i="49"/>
  <c r="L1227" i="49"/>
  <c r="L444" i="49"/>
  <c r="L1386" i="49"/>
  <c r="L76" i="49"/>
  <c r="L1467" i="49"/>
  <c r="L225" i="49"/>
  <c r="L77" i="49"/>
  <c r="L148" i="49"/>
  <c r="L1468" i="49"/>
  <c r="L1496" i="49"/>
  <c r="L13" i="49"/>
  <c r="L78" i="49"/>
  <c r="L79" i="49"/>
  <c r="L80" i="49"/>
  <c r="L994" i="49"/>
  <c r="L149" i="49"/>
  <c r="L1527" i="49"/>
  <c r="L1469" i="49"/>
  <c r="L1470" i="49"/>
  <c r="L673" i="49"/>
  <c r="L1228" i="49"/>
  <c r="L81" i="49"/>
  <c r="L150" i="49"/>
  <c r="L1388" i="49"/>
  <c r="L995" i="49"/>
  <c r="L1471" i="49"/>
  <c r="L445" i="49"/>
  <c r="L870" i="49"/>
  <c r="L151" i="49"/>
  <c r="L996" i="49"/>
  <c r="L1483" i="49"/>
  <c r="L1472" i="49"/>
  <c r="L152" i="49"/>
  <c r="L82" i="49"/>
  <c r="L137" i="49"/>
  <c r="L138" i="49"/>
  <c r="L153" i="49"/>
  <c r="L1484" i="49"/>
  <c r="L1477" i="49"/>
  <c r="L1478" i="49"/>
  <c r="L7" i="49"/>
  <c r="L741" i="49"/>
  <c r="L1303" i="49"/>
  <c r="L83" i="49"/>
  <c r="L154" i="49"/>
  <c r="L1521" i="49"/>
  <c r="L416" i="49"/>
  <c r="L1389" i="49"/>
  <c r="L84" i="49"/>
  <c r="L1479" i="49"/>
  <c r="L446" i="49"/>
  <c r="L448" i="49"/>
  <c r="L231" i="49"/>
  <c r="L411" i="49"/>
  <c r="L85" i="49"/>
  <c r="L674" i="49"/>
  <c r="L871" i="49"/>
  <c r="L1522" i="49"/>
  <c r="L155" i="49"/>
  <c r="L86" i="49"/>
  <c r="L87" i="49"/>
  <c r="L997" i="49"/>
  <c r="L1480" i="49"/>
  <c r="L1588" i="49"/>
  <c r="L88" i="49"/>
  <c r="L1481" i="49"/>
  <c r="L412" i="49"/>
  <c r="L598" i="49"/>
  <c r="L89" i="49"/>
  <c r="L599" i="49"/>
  <c r="L1072" i="49"/>
  <c r="L1289" i="49"/>
  <c r="L1482" i="49"/>
  <c r="L746" i="49"/>
  <c r="L156" i="49"/>
  <c r="L413" i="49"/>
  <c r="L934" i="49"/>
  <c r="L1074" i="49"/>
  <c r="L1229" i="49"/>
  <c r="L1390" i="49"/>
  <c r="L449" i="49"/>
  <c r="L450" i="49"/>
  <c r="L232" i="49"/>
  <c r="L90" i="49"/>
  <c r="L157" i="49"/>
  <c r="L1523" i="49"/>
  <c r="L790" i="49"/>
  <c r="L91" i="49"/>
  <c r="L998" i="49"/>
  <c r="L158" i="49"/>
  <c r="L675" i="49"/>
  <c r="L1485" i="49"/>
  <c r="L418" i="49"/>
  <c r="L1589" i="49"/>
  <c r="L92" i="49"/>
  <c r="L159" i="49"/>
  <c r="L451" i="49"/>
  <c r="L452" i="49"/>
  <c r="L1486" i="49"/>
  <c r="L999" i="49"/>
  <c r="L419" i="49"/>
  <c r="L160" i="49"/>
  <c r="L1524" i="49"/>
  <c r="L1768" i="49"/>
  <c r="L93" i="49"/>
  <c r="L326" i="49"/>
  <c r="L702" i="49"/>
  <c r="L1268" i="49"/>
  <c r="L1267" i="49"/>
  <c r="L703" i="49"/>
  <c r="L893" i="49"/>
  <c r="L892" i="49"/>
  <c r="L161" i="49"/>
  <c r="L676" i="49"/>
  <c r="L743" i="49"/>
  <c r="L1526" i="49"/>
  <c r="L1525" i="49"/>
  <c r="L1487" i="49"/>
  <c r="L97" i="49"/>
  <c r="L557" i="49"/>
  <c r="L162" i="49"/>
  <c r="L185" i="49"/>
  <c r="L187" i="49"/>
  <c r="L453" i="49"/>
  <c r="L454" i="49"/>
  <c r="L1230" i="49"/>
  <c r="L1488" i="49"/>
  <c r="L1373" i="49"/>
  <c r="L233" i="49"/>
  <c r="L660" i="49"/>
  <c r="L791" i="49"/>
  <c r="L1489" i="49"/>
  <c r="L744" i="49"/>
  <c r="L558" i="49"/>
  <c r="L1290" i="49"/>
  <c r="L98" i="49"/>
  <c r="L163" i="49"/>
  <c r="L432" i="49"/>
  <c r="L1391" i="49"/>
  <c r="L1297" i="49"/>
  <c r="L1079" i="49"/>
  <c r="L414" i="49"/>
  <c r="L1581" i="49"/>
  <c r="L164" i="49"/>
  <c r="L1264" i="49"/>
  <c r="L1490" i="49"/>
  <c r="L165" i="49"/>
  <c r="L792" i="49"/>
  <c r="L387" i="49"/>
  <c r="L559" i="49"/>
  <c r="L1284" i="49"/>
  <c r="L894" i="49"/>
  <c r="L99" i="49"/>
  <c r="L640" i="49"/>
  <c r="L704" i="49"/>
  <c r="L960" i="49"/>
  <c r="L705" i="49"/>
  <c r="L166" i="49"/>
  <c r="L1491" i="49"/>
  <c r="L564" i="49"/>
  <c r="L1464" i="49"/>
  <c r="L565" i="49"/>
  <c r="L100" i="49"/>
  <c r="L1000" i="49"/>
  <c r="L167" i="49"/>
  <c r="L1304" i="49"/>
  <c r="L566" i="49"/>
  <c r="L1492" i="49"/>
  <c r="L1493" i="49"/>
  <c r="L168" i="49"/>
  <c r="L390" i="49"/>
  <c r="L391" i="49"/>
  <c r="L267" i="49"/>
  <c r="L101" i="49"/>
  <c r="L648" i="49"/>
  <c r="L169" i="49"/>
  <c r="L649" i="49"/>
  <c r="L567" i="49"/>
  <c r="L706" i="49"/>
  <c r="L707" i="49"/>
  <c r="L1231" i="49"/>
  <c r="L1392" i="49"/>
  <c r="L170" i="49"/>
  <c r="L214" i="49"/>
  <c r="L188" i="49"/>
  <c r="L190" i="49"/>
  <c r="L455" i="49"/>
  <c r="L477" i="49"/>
  <c r="L986" i="49"/>
  <c r="L1494" i="49"/>
  <c r="L388" i="49"/>
  <c r="L1759" i="49"/>
  <c r="L1001" i="49"/>
  <c r="L568" i="49"/>
  <c r="L1091" i="49"/>
  <c r="L1269" i="49"/>
  <c r="L740" i="49"/>
  <c r="L1286" i="49"/>
  <c r="L895" i="49"/>
  <c r="L102" i="49"/>
  <c r="L183" i="49"/>
  <c r="L793" i="49"/>
  <c r="L1465" i="49"/>
  <c r="L103" i="49"/>
  <c r="L186" i="49"/>
  <c r="L1306" i="49"/>
  <c r="L1495" i="49"/>
  <c r="L708" i="49"/>
  <c r="L569" i="49"/>
  <c r="L650" i="49"/>
  <c r="L677" i="49"/>
  <c r="L1002" i="49"/>
  <c r="L961" i="49"/>
  <c r="L709" i="49"/>
  <c r="L200" i="49"/>
  <c r="L1497" i="49"/>
  <c r="L873" i="49"/>
  <c r="L104" i="49"/>
  <c r="L105" i="49"/>
  <c r="L678" i="49"/>
  <c r="L794" i="49"/>
  <c r="L570" i="49"/>
  <c r="L1473" i="49"/>
  <c r="L415" i="49"/>
  <c r="L204" i="49"/>
  <c r="L106" i="49"/>
  <c r="L1498" i="49"/>
  <c r="L206" i="49"/>
  <c r="L1582" i="49"/>
  <c r="L571" i="49"/>
  <c r="L710" i="49"/>
  <c r="L207" i="49"/>
  <c r="L1499" i="49"/>
  <c r="L94" i="49"/>
  <c r="L107" i="49"/>
  <c r="L964" i="49"/>
  <c r="L652" i="49"/>
  <c r="L653" i="49"/>
  <c r="L654" i="49"/>
  <c r="L655" i="49"/>
  <c r="L1721" i="49"/>
  <c r="L572" i="49"/>
  <c r="L196" i="49"/>
  <c r="L656" i="49"/>
  <c r="L1501" i="49"/>
  <c r="L208" i="49"/>
  <c r="L1003" i="49"/>
  <c r="L108" i="49"/>
  <c r="L209" i="49"/>
  <c r="L1502" i="49"/>
  <c r="L711" i="49"/>
  <c r="L1285" i="49"/>
  <c r="L573" i="49"/>
  <c r="L776" i="49"/>
  <c r="L962" i="49"/>
  <c r="L325" i="49"/>
  <c r="L1733" i="49"/>
  <c r="L1474" i="49"/>
  <c r="L195" i="49"/>
  <c r="L109" i="49"/>
  <c r="L389" i="49"/>
  <c r="L712" i="49"/>
  <c r="L210" i="49"/>
  <c r="L679" i="49"/>
  <c r="L1503" i="49"/>
  <c r="L1727" i="49"/>
  <c r="L211" i="49"/>
  <c r="L417" i="49"/>
  <c r="L963" i="49"/>
  <c r="L193" i="49"/>
  <c r="L110" i="49"/>
  <c r="L1728" i="49"/>
  <c r="L1004" i="49"/>
  <c r="L1319" i="49"/>
  <c r="L1475" i="49"/>
  <c r="L1734" i="49"/>
  <c r="L1054" i="49"/>
  <c r="L574" i="49"/>
  <c r="L1504" i="49"/>
  <c r="L1731" i="49"/>
  <c r="L751" i="49"/>
  <c r="L111" i="49"/>
  <c r="L1736" i="49"/>
  <c r="L478" i="49"/>
  <c r="L1005" i="49"/>
  <c r="L1505" i="49"/>
  <c r="L112" i="49"/>
  <c r="L410" i="49"/>
  <c r="L350" i="49"/>
  <c r="L969" i="49"/>
  <c r="L1357" i="49"/>
  <c r="L129" i="49"/>
  <c r="L1506" i="49"/>
  <c r="L1737" i="49"/>
  <c r="L747" i="49"/>
  <c r="L713" i="49"/>
  <c r="L575" i="49"/>
  <c r="L113" i="49"/>
  <c r="L600" i="49"/>
  <c r="L1232" i="49"/>
  <c r="L1738" i="49"/>
  <c r="L480" i="49"/>
  <c r="L778" i="49"/>
  <c r="L1507" i="49"/>
  <c r="L1298" i="49"/>
  <c r="L1332" i="49"/>
  <c r="L917" i="49"/>
  <c r="L114" i="49"/>
  <c r="L234" i="49"/>
  <c r="L1006" i="49"/>
  <c r="L795" i="49"/>
  <c r="L802" i="49"/>
  <c r="L1271" i="49"/>
  <c r="L1714" i="49"/>
  <c r="L397" i="49"/>
  <c r="L345" i="49"/>
  <c r="L346" i="49"/>
  <c r="L661" i="49"/>
  <c r="L1365" i="49"/>
  <c r="L115" i="49"/>
  <c r="L1092" i="49"/>
  <c r="L1508" i="49"/>
  <c r="L1509" i="49"/>
  <c r="L1739" i="49"/>
  <c r="L116" i="49"/>
  <c r="L662" i="49"/>
  <c r="L1740" i="49"/>
  <c r="L1682" i="49"/>
  <c r="L576" i="49"/>
  <c r="L347" i="49"/>
  <c r="L1657" i="49"/>
  <c r="L968" i="49"/>
  <c r="L680" i="49"/>
  <c r="L803" i="49"/>
  <c r="L1510" i="49"/>
  <c r="L1741" i="49"/>
  <c r="L714" i="49"/>
  <c r="L9" i="49"/>
  <c r="L1068" i="49"/>
  <c r="L1097" i="49"/>
  <c r="L1511" i="49"/>
  <c r="L1351" i="49"/>
  <c r="L117" i="49"/>
  <c r="L1007" i="49"/>
  <c r="L118" i="49"/>
  <c r="L1745" i="49"/>
  <c r="L804" i="49"/>
  <c r="L1291" i="49"/>
  <c r="L1292" i="49"/>
  <c r="L1352" i="49"/>
  <c r="L1746" i="49"/>
  <c r="L1353" i="49"/>
  <c r="L1335" i="49"/>
  <c r="L1512" i="49"/>
  <c r="L119" i="49"/>
  <c r="L645" i="49"/>
  <c r="L1270" i="49"/>
  <c r="L1513" i="49"/>
  <c r="L1749" i="49"/>
  <c r="L392" i="49"/>
  <c r="L1008" i="49"/>
  <c r="L1009" i="49"/>
  <c r="L918" i="49"/>
  <c r="L348" i="49"/>
  <c r="L349" i="49"/>
  <c r="L577" i="49"/>
  <c r="L912" i="49"/>
  <c r="L1514" i="49"/>
  <c r="L1750" i="49"/>
  <c r="L970" i="49"/>
  <c r="L276" i="49"/>
  <c r="L715" i="49"/>
  <c r="L716" i="49"/>
  <c r="L1354" i="49"/>
  <c r="L120" i="49"/>
  <c r="L250" i="49"/>
  <c r="L1670" i="49"/>
  <c r="L121" i="49"/>
  <c r="L122" i="49"/>
  <c r="L1515" i="49"/>
  <c r="L1751" i="49"/>
  <c r="L761" i="49"/>
  <c r="L1516" i="49"/>
  <c r="L264" i="49"/>
  <c r="L1089" i="49"/>
  <c r="L1355" i="49"/>
  <c r="L351" i="49"/>
  <c r="L578" i="49"/>
  <c r="L1683" i="49"/>
  <c r="L1090" i="49"/>
  <c r="L579" i="49"/>
  <c r="L482" i="49"/>
  <c r="L479" i="49"/>
  <c r="L484" i="49"/>
  <c r="L717" i="49"/>
  <c r="L471" i="49"/>
  <c r="L123" i="49"/>
  <c r="L124" i="49"/>
  <c r="L1753" i="49"/>
  <c r="L1517" i="49"/>
  <c r="L1518" i="49"/>
  <c r="L580" i="49"/>
  <c r="L352" i="49"/>
  <c r="L971" i="49"/>
  <c r="L1758" i="49"/>
  <c r="L913" i="49"/>
  <c r="L125" i="49"/>
  <c r="L1760" i="49"/>
  <c r="L1010" i="49"/>
  <c r="L1519" i="49"/>
  <c r="L356" i="49"/>
  <c r="L581" i="49"/>
  <c r="L1356" i="49"/>
  <c r="L919" i="49"/>
  <c r="L1684" i="49"/>
  <c r="L718" i="49"/>
  <c r="L1761" i="49"/>
  <c r="L972" i="49"/>
  <c r="L1266" i="49"/>
  <c r="L681" i="49"/>
  <c r="L1671" i="49"/>
  <c r="L1762" i="49"/>
  <c r="L126" i="49"/>
  <c r="L1011" i="49"/>
  <c r="L1520" i="49"/>
  <c r="L1535" i="49"/>
  <c r="L1358" i="49"/>
  <c r="L719" i="49"/>
  <c r="L127" i="49"/>
  <c r="L1672" i="49"/>
  <c r="L1716" i="49"/>
  <c r="L1763" i="49"/>
  <c r="L973" i="49"/>
  <c r="L1359" i="49"/>
  <c r="L582" i="49"/>
  <c r="L357" i="49"/>
  <c r="L1702" i="49"/>
  <c r="L1764" i="49"/>
  <c r="L1085" i="49"/>
  <c r="L1238" i="49"/>
  <c r="L22" i="49"/>
  <c r="L131" i="49"/>
  <c r="L235" i="49"/>
  <c r="L398" i="49"/>
  <c r="L601" i="49"/>
  <c r="L1317" i="49"/>
  <c r="L1765" i="49"/>
  <c r="L583" i="49"/>
  <c r="L358" i="49"/>
  <c r="L920" i="49"/>
  <c r="L682" i="49"/>
  <c r="L952" i="49"/>
  <c r="L720" i="49"/>
  <c r="L721" i="49"/>
  <c r="L215" i="49"/>
  <c r="L850" i="49"/>
  <c r="L1536" i="49"/>
  <c r="L974" i="49"/>
  <c r="L1318" i="49"/>
  <c r="L1538" i="49"/>
  <c r="L1307" i="49"/>
  <c r="L1673" i="49"/>
  <c r="L1766" i="49"/>
  <c r="L1421" i="49"/>
  <c r="L1366" i="49"/>
  <c r="L1814" i="49"/>
  <c r="L584" i="49"/>
  <c r="L278" i="49"/>
  <c r="L359" i="49"/>
  <c r="L128" i="49"/>
  <c r="L1769" i="49"/>
  <c r="L975" i="49"/>
  <c r="L1539" i="49"/>
  <c r="L1710" i="49"/>
  <c r="L1674" i="49"/>
  <c r="L921" i="49"/>
  <c r="L1815" i="49"/>
  <c r="L977" i="49"/>
  <c r="L23" i="49"/>
  <c r="L1316" i="49"/>
  <c r="L1770" i="49"/>
  <c r="L1311" i="49"/>
  <c r="L1312" i="49"/>
  <c r="L360" i="49"/>
  <c r="L1816" i="49"/>
  <c r="L1073" i="49"/>
  <c r="L1713" i="49"/>
  <c r="L1305" i="49"/>
  <c r="L1771" i="49"/>
  <c r="L922" i="49"/>
  <c r="L976" i="49"/>
  <c r="L610" i="49"/>
  <c r="L1540" i="49"/>
  <c r="L405" i="49"/>
  <c r="L1093" i="49"/>
  <c r="L1772" i="49"/>
  <c r="L24" i="49"/>
  <c r="L1240" i="49"/>
  <c r="L1541" i="49"/>
  <c r="L483" i="49"/>
  <c r="L486" i="49"/>
  <c r="L487" i="49"/>
  <c r="L488" i="49"/>
  <c r="L393" i="49"/>
  <c r="L1542" i="49"/>
  <c r="L780" i="49"/>
  <c r="L1711" i="49"/>
  <c r="L1773" i="49"/>
  <c r="L911" i="49"/>
  <c r="L236" i="49"/>
  <c r="L25" i="49"/>
  <c r="L26" i="49"/>
  <c r="L805" i="49"/>
  <c r="L1546" i="49"/>
  <c r="L923" i="49"/>
  <c r="L1817" i="49"/>
  <c r="L406" i="49"/>
  <c r="L683" i="49"/>
  <c r="L518" i="49"/>
  <c r="L519" i="49"/>
  <c r="L520" i="49"/>
  <c r="L1086" i="49"/>
  <c r="L282" i="49"/>
  <c r="L361" i="49"/>
  <c r="L1774" i="49"/>
  <c r="L399" i="49"/>
  <c r="L27" i="49"/>
  <c r="L1012" i="49"/>
  <c r="L1547" i="49"/>
  <c r="L135" i="49"/>
  <c r="L136" i="49"/>
  <c r="L1775" i="49"/>
  <c r="L458" i="49"/>
  <c r="L967" i="49"/>
  <c r="L1830" i="49"/>
  <c r="L651" i="49"/>
  <c r="L1680" i="49"/>
  <c r="L28" i="49"/>
  <c r="L1367" i="49"/>
  <c r="L1548" i="49"/>
  <c r="L1779" i="49"/>
  <c r="L1364" i="49"/>
  <c r="L274" i="49"/>
  <c r="L1831" i="49"/>
  <c r="L806" i="49"/>
  <c r="L1308" i="49"/>
  <c r="L275" i="49"/>
  <c r="L1780" i="49"/>
  <c r="L1321" i="49"/>
  <c r="L1322" i="49"/>
  <c r="L29" i="49"/>
  <c r="L1781" i="49"/>
  <c r="L1549" i="49"/>
  <c r="L1681" i="49"/>
  <c r="L1374" i="49"/>
  <c r="L457" i="49"/>
  <c r="L611" i="49"/>
  <c r="L268" i="49"/>
  <c r="L394" i="49"/>
  <c r="L489" i="49"/>
  <c r="L1013" i="49"/>
  <c r="L54" i="49"/>
  <c r="L1782" i="49"/>
  <c r="L237" i="49"/>
  <c r="L965" i="49"/>
  <c r="L1832" i="49"/>
  <c r="L915" i="49"/>
  <c r="L343" i="49"/>
  <c r="L55" i="49"/>
  <c r="L521" i="49"/>
  <c r="L522" i="49"/>
  <c r="L523" i="49"/>
  <c r="L1550" i="49"/>
  <c r="L966" i="49"/>
  <c r="L807" i="49"/>
  <c r="L400" i="49"/>
  <c r="L272" i="49"/>
  <c r="L612" i="49"/>
  <c r="L737" i="49"/>
  <c r="L1859" i="49"/>
  <c r="L1241" i="49"/>
  <c r="L56" i="49"/>
  <c r="L1551" i="49"/>
  <c r="L344" i="49"/>
  <c r="L613" i="49"/>
  <c r="L1872" i="49"/>
  <c r="L1789" i="49"/>
  <c r="L269" i="49"/>
  <c r="L273" i="49"/>
  <c r="L1660" i="49"/>
  <c r="L916" i="49"/>
  <c r="L1791" i="49"/>
  <c r="L1333" i="49"/>
  <c r="L1334" i="49"/>
  <c r="L1792" i="49"/>
  <c r="L466" i="49"/>
  <c r="L420" i="49"/>
  <c r="L421" i="49"/>
  <c r="L476" i="49"/>
  <c r="L1873" i="49"/>
  <c r="L1735" i="49"/>
  <c r="L57" i="49"/>
  <c r="L1552" i="49"/>
  <c r="L1553" i="49"/>
  <c r="L11" i="49"/>
  <c r="G1658" i="49"/>
  <c r="G409" i="49"/>
  <c r="G1782" i="49"/>
  <c r="G237" i="49"/>
  <c r="G965" i="49"/>
  <c r="G915" i="49"/>
  <c r="G343" i="49"/>
  <c r="G474" i="49"/>
  <c r="G55" i="49"/>
  <c r="G523" i="49"/>
  <c r="G966" i="49"/>
  <c r="G807" i="49"/>
  <c r="G400" i="49"/>
  <c r="G272" i="49"/>
  <c r="G612" i="49"/>
  <c r="G737" i="49"/>
  <c r="G56" i="49"/>
  <c r="G1551" i="49"/>
  <c r="G344" i="49"/>
  <c r="G613" i="49"/>
  <c r="G1789" i="49"/>
  <c r="G269" i="49"/>
  <c r="G273" i="49"/>
  <c r="G1660" i="49"/>
  <c r="G916" i="49"/>
  <c r="G1791" i="49"/>
  <c r="G1333" i="49"/>
  <c r="G1334" i="49"/>
  <c r="G1792" i="49"/>
  <c r="G475" i="49"/>
  <c r="G420" i="49"/>
  <c r="G421" i="49"/>
  <c r="G476" i="49"/>
  <c r="G935" i="49"/>
  <c r="G1256" i="49"/>
  <c r="G1735" i="49"/>
  <c r="G57" i="49"/>
  <c r="G1552" i="49"/>
  <c r="G1553" i="49"/>
  <c r="G696" i="49"/>
  <c r="G698" i="49"/>
  <c r="G700" i="49"/>
  <c r="G703" i="49"/>
  <c r="G893" i="49"/>
  <c r="G892" i="49"/>
  <c r="G894" i="49"/>
  <c r="G895" i="49"/>
  <c r="G705" i="49"/>
  <c r="G707" i="49"/>
  <c r="G709" i="49"/>
  <c r="G693" i="49"/>
  <c r="G262" i="49"/>
  <c r="G263" i="49"/>
  <c r="G265" i="49"/>
  <c r="G1531" i="49"/>
  <c r="G261" i="49"/>
  <c r="G1528" i="49"/>
  <c r="G1461" i="49"/>
  <c r="G328" i="49"/>
  <c r="G1786" i="49"/>
  <c r="G1529" i="49"/>
  <c r="G1545" i="49"/>
  <c r="G1530" i="49"/>
  <c r="G323" i="49"/>
  <c r="G1462" i="49"/>
  <c r="G324" i="49"/>
  <c r="G1532" i="49"/>
  <c r="G327" i="49"/>
  <c r="G252" i="49"/>
  <c r="G1463" i="49"/>
  <c r="G1533" i="49"/>
  <c r="G191" i="49"/>
  <c r="G758" i="49"/>
  <c r="G314" i="49"/>
  <c r="G315" i="49"/>
  <c r="G888" i="49"/>
  <c r="G316" i="49"/>
  <c r="G317" i="49"/>
  <c r="G318" i="49"/>
  <c r="G319" i="49"/>
  <c r="G771" i="49"/>
  <c r="G1534" i="49"/>
  <c r="G1537" i="49"/>
  <c r="G752" i="49"/>
  <c r="G1360" i="49"/>
  <c r="G1361" i="49"/>
  <c r="G1375" i="49"/>
  <c r="G1543" i="49"/>
  <c r="G759" i="49"/>
  <c r="G1544" i="49"/>
  <c r="G1785" i="49"/>
  <c r="G1376" i="49"/>
  <c r="G1299" i="49"/>
  <c r="G760" i="49"/>
  <c r="G1398" i="49"/>
  <c r="G1399" i="49"/>
  <c r="G750" i="49"/>
  <c r="G745" i="49"/>
  <c r="G889" i="49"/>
  <c r="G1576" i="49"/>
  <c r="G1300" i="49"/>
  <c r="G1577" i="49"/>
  <c r="G1578" i="49"/>
  <c r="G694" i="49"/>
  <c r="G1579" i="49"/>
  <c r="G753" i="49"/>
  <c r="G890" i="49"/>
  <c r="G1400" i="49"/>
  <c r="G330" i="49"/>
  <c r="G329" i="49"/>
  <c r="G695" i="49"/>
  <c r="G1402" i="49"/>
  <c r="G1401" i="49"/>
  <c r="G331" i="49"/>
  <c r="G1403" i="49"/>
  <c r="G754" i="49"/>
  <c r="G192" i="49"/>
  <c r="G697" i="49"/>
  <c r="G1404" i="49"/>
  <c r="G699" i="49"/>
  <c r="G779" i="49"/>
  <c r="G775" i="49"/>
  <c r="G1405" i="49"/>
  <c r="G1406" i="49"/>
  <c r="G701" i="49"/>
  <c r="G891" i="49"/>
  <c r="G1407" i="49"/>
  <c r="G1408" i="49"/>
  <c r="G755" i="49"/>
  <c r="G1431" i="49"/>
  <c r="G1580" i="49"/>
  <c r="G1432" i="49"/>
  <c r="G320" i="49"/>
  <c r="G321" i="49"/>
  <c r="G756" i="49"/>
  <c r="G322" i="49"/>
  <c r="G1437" i="49"/>
  <c r="G738" i="49"/>
  <c r="G1438" i="49"/>
  <c r="G757" i="49"/>
  <c r="G739" i="49"/>
  <c r="G1439" i="49"/>
  <c r="G1440" i="49"/>
  <c r="G332" i="49"/>
  <c r="G1441" i="49"/>
  <c r="G1442" i="49"/>
  <c r="G1496" i="49"/>
  <c r="G742" i="49"/>
  <c r="G1527" i="49"/>
  <c r="G1483" i="49"/>
  <c r="G1484" i="49"/>
  <c r="G741" i="49"/>
  <c r="G1521" i="49"/>
  <c r="G416" i="49"/>
  <c r="G411" i="49"/>
  <c r="G1522" i="49"/>
  <c r="G1588" i="49"/>
  <c r="G412" i="49"/>
  <c r="G746" i="49"/>
  <c r="G413" i="49"/>
  <c r="G934" i="49"/>
  <c r="G1523" i="49"/>
  <c r="G418" i="49"/>
  <c r="G1589" i="49"/>
  <c r="G419" i="49"/>
  <c r="G1524" i="49"/>
  <c r="G1768" i="49"/>
  <c r="G326" i="49"/>
  <c r="G702" i="49"/>
  <c r="G1268" i="49"/>
  <c r="G1267" i="49"/>
  <c r="G743" i="49"/>
  <c r="G1526" i="49"/>
  <c r="G1525" i="49"/>
  <c r="G557" i="49"/>
  <c r="G744" i="49"/>
  <c r="G558" i="49"/>
  <c r="G414" i="49"/>
  <c r="G1581" i="49"/>
  <c r="G387" i="49"/>
  <c r="G559" i="49"/>
  <c r="G1284" i="49"/>
  <c r="G704" i="49"/>
  <c r="G960" i="49"/>
  <c r="G564" i="49"/>
  <c r="G1464" i="49"/>
  <c r="G565" i="49"/>
  <c r="G566" i="49"/>
  <c r="G267" i="49"/>
  <c r="G567" i="49"/>
  <c r="G706" i="49"/>
  <c r="G388" i="49"/>
  <c r="G1759" i="49"/>
  <c r="G568" i="49"/>
  <c r="G740" i="49"/>
  <c r="G1286" i="49"/>
  <c r="G1465" i="49"/>
  <c r="G708" i="49"/>
  <c r="G569" i="49"/>
  <c r="G961" i="49"/>
  <c r="G873" i="49"/>
  <c r="G570" i="49"/>
  <c r="G1473" i="49"/>
  <c r="G415" i="49"/>
  <c r="G1582" i="49"/>
  <c r="G571" i="49"/>
  <c r="G710" i="49"/>
  <c r="G964" i="49"/>
  <c r="G572" i="49"/>
  <c r="G711" i="49"/>
  <c r="G1285" i="49"/>
  <c r="G573" i="49"/>
  <c r="G776" i="49"/>
  <c r="G962" i="49"/>
  <c r="G325" i="49"/>
  <c r="G1733" i="49"/>
  <c r="G1474" i="49"/>
  <c r="G195" i="49"/>
  <c r="G389" i="49"/>
  <c r="G712" i="49"/>
  <c r="G417" i="49"/>
  <c r="G963" i="49"/>
  <c r="G193" i="49"/>
  <c r="G1319" i="49"/>
  <c r="G1475" i="49"/>
  <c r="G1734" i="49"/>
  <c r="G1054" i="49"/>
  <c r="G574" i="49"/>
  <c r="G751" i="49"/>
  <c r="G350" i="49"/>
  <c r="G969" i="49"/>
  <c r="G1357" i="49"/>
  <c r="G747" i="49"/>
  <c r="G713" i="49"/>
  <c r="G575" i="49"/>
  <c r="G1298" i="49"/>
  <c r="G1332" i="49"/>
  <c r="G917" i="49"/>
  <c r="G345" i="49"/>
  <c r="G346" i="49"/>
  <c r="G1682" i="49"/>
  <c r="G576" i="49"/>
  <c r="G347" i="49"/>
  <c r="G1657" i="49"/>
  <c r="G968" i="49"/>
  <c r="G714" i="49"/>
  <c r="G1351" i="49"/>
  <c r="G1352" i="49"/>
  <c r="G1353" i="49"/>
  <c r="G918" i="49"/>
  <c r="G348" i="49"/>
  <c r="G349" i="49"/>
  <c r="G577" i="49"/>
  <c r="G970" i="49"/>
  <c r="G276" i="49"/>
  <c r="G715" i="49"/>
  <c r="G716" i="49"/>
  <c r="G1354" i="49"/>
  <c r="G761" i="49"/>
  <c r="G264" i="49"/>
  <c r="G1355" i="49"/>
  <c r="G351" i="49"/>
  <c r="G578" i="49"/>
  <c r="G1683" i="49"/>
  <c r="G579" i="49"/>
  <c r="G717" i="49"/>
  <c r="G471" i="49"/>
  <c r="G580" i="49"/>
  <c r="G352" i="49"/>
  <c r="G971" i="49"/>
  <c r="G356" i="49"/>
  <c r="G581" i="49"/>
  <c r="G1356" i="49"/>
  <c r="G919" i="49"/>
  <c r="G583" i="49"/>
  <c r="G718" i="49"/>
  <c r="G972" i="49"/>
  <c r="G1266" i="49"/>
  <c r="G1358" i="49"/>
  <c r="G719" i="49"/>
  <c r="G973" i="49"/>
  <c r="G278" i="49"/>
  <c r="G1359" i="49"/>
  <c r="G582" i="49"/>
  <c r="G357" i="49"/>
  <c r="G282" i="49"/>
  <c r="G358" i="49"/>
  <c r="G920" i="49"/>
  <c r="G720" i="49"/>
  <c r="G721" i="49"/>
  <c r="G974" i="49"/>
  <c r="G274" i="49"/>
  <c r="G275" i="49"/>
  <c r="G359" i="49"/>
  <c r="G1684" i="49"/>
  <c r="G1702" i="49"/>
  <c r="G921" i="49"/>
  <c r="G1710" i="49"/>
  <c r="G360" i="49"/>
  <c r="G1711" i="49"/>
  <c r="G1680" i="49"/>
  <c r="G922" i="49"/>
  <c r="G976" i="49"/>
  <c r="G1681" i="49"/>
  <c r="G584" i="49"/>
  <c r="G975" i="49"/>
  <c r="G923" i="49"/>
  <c r="G361" i="49"/>
  <c r="G458" i="49"/>
  <c r="G967" i="49"/>
  <c r="G610" i="49"/>
  <c r="G472" i="49"/>
  <c r="G473" i="49"/>
  <c r="G457" i="49"/>
  <c r="G611" i="49"/>
  <c r="G268" i="49"/>
  <c r="G201" i="49"/>
  <c r="I107" i="39"/>
  <c r="G862" i="6"/>
  <c r="C3" i="48"/>
  <c r="P3" i="48"/>
  <c r="R3" i="48"/>
  <c r="Q3" i="48" s="1"/>
  <c r="C4" i="48"/>
  <c r="P4" i="48"/>
  <c r="R4" i="48" s="1"/>
  <c r="C5" i="48"/>
  <c r="P5" i="48"/>
  <c r="R5" i="48" s="1"/>
  <c r="Q5" i="48" s="1"/>
  <c r="C6" i="48"/>
  <c r="P6" i="48"/>
  <c r="C7" i="48"/>
  <c r="P7" i="48"/>
  <c r="R7" i="48" s="1"/>
  <c r="Q7" i="48" s="1"/>
  <c r="C8" i="48"/>
  <c r="P8" i="48"/>
  <c r="R8" i="48" s="1"/>
  <c r="Q8" i="48" s="1"/>
  <c r="C9" i="48"/>
  <c r="P9" i="48"/>
  <c r="R9" i="48" s="1"/>
  <c r="Q9" i="48" s="1"/>
  <c r="C10" i="48"/>
  <c r="P10" i="48"/>
  <c r="C11" i="48"/>
  <c r="P11" i="48"/>
  <c r="R11" i="48" s="1"/>
  <c r="Q11" i="48" s="1"/>
  <c r="C12" i="48"/>
  <c r="P12" i="48"/>
  <c r="R12" i="48" s="1"/>
  <c r="Q12" i="48" s="1"/>
  <c r="C13" i="48"/>
  <c r="P13" i="48"/>
  <c r="R13" i="48" s="1"/>
  <c r="Q13" i="48" s="1"/>
  <c r="C14" i="48"/>
  <c r="P14" i="48"/>
  <c r="C15" i="48"/>
  <c r="P15" i="48"/>
  <c r="R15" i="48" s="1"/>
  <c r="Q15" i="48" s="1"/>
  <c r="C16" i="48"/>
  <c r="P16" i="48"/>
  <c r="R16" i="48" s="1"/>
  <c r="Q16" i="48" s="1"/>
  <c r="C17" i="48"/>
  <c r="P17" i="48"/>
  <c r="R17" i="48" s="1"/>
  <c r="Q17" i="48" s="1"/>
  <c r="C18" i="48"/>
  <c r="P18" i="48"/>
  <c r="C19" i="48"/>
  <c r="P19" i="48"/>
  <c r="R19" i="48" s="1"/>
  <c r="Q19" i="48" s="1"/>
  <c r="C20" i="48"/>
  <c r="P20" i="48"/>
  <c r="C21" i="48"/>
  <c r="P21" i="48"/>
  <c r="R21" i="48"/>
  <c r="Q21" i="48" s="1"/>
  <c r="C22" i="48"/>
  <c r="P22" i="48"/>
  <c r="R22" i="48" s="1"/>
  <c r="Q22" i="48" s="1"/>
  <c r="C23" i="48"/>
  <c r="P23" i="48"/>
  <c r="R23" i="48"/>
  <c r="Q23" i="48" s="1"/>
  <c r="C24" i="48"/>
  <c r="P24" i="48"/>
  <c r="R24" i="48"/>
  <c r="Q24" i="48" s="1"/>
  <c r="C25" i="48"/>
  <c r="P25" i="48"/>
  <c r="R25" i="48"/>
  <c r="Q25" i="48" s="1"/>
  <c r="C26" i="48"/>
  <c r="P26" i="48"/>
  <c r="R26" i="48"/>
  <c r="Q26" i="48" s="1"/>
  <c r="C27" i="48"/>
  <c r="P27" i="48"/>
  <c r="R27" i="48" s="1"/>
  <c r="Q27" i="48" s="1"/>
  <c r="C28" i="48"/>
  <c r="P28" i="48"/>
  <c r="R28" i="48"/>
  <c r="Q28" i="48" s="1"/>
  <c r="C29" i="48"/>
  <c r="P29" i="48"/>
  <c r="R29" i="48"/>
  <c r="Q29" i="48" s="1"/>
  <c r="C30" i="48"/>
  <c r="R30" i="48" s="1"/>
  <c r="Q30" i="48" s="1"/>
  <c r="P30" i="48"/>
  <c r="C31" i="48"/>
  <c r="P31" i="48"/>
  <c r="R31" i="48"/>
  <c r="Q31" i="48" s="1"/>
  <c r="C32" i="48"/>
  <c r="P32" i="48"/>
  <c r="R32" i="48"/>
  <c r="Q32" i="48" s="1"/>
  <c r="C33" i="48"/>
  <c r="P33" i="48"/>
  <c r="R33" i="48"/>
  <c r="Q33" i="48" s="1"/>
  <c r="C3" i="47"/>
  <c r="P3" i="47"/>
  <c r="R3" i="47" s="1"/>
  <c r="Q3" i="47" s="1"/>
  <c r="C4" i="47"/>
  <c r="P4" i="47"/>
  <c r="R4" i="47" s="1"/>
  <c r="Q4" i="47" s="1"/>
  <c r="C5" i="47"/>
  <c r="P5" i="47"/>
  <c r="C6" i="47"/>
  <c r="P6" i="47"/>
  <c r="R6" i="47" s="1"/>
  <c r="Q6" i="47" s="1"/>
  <c r="C7" i="47"/>
  <c r="P7" i="47"/>
  <c r="R7" i="47" s="1"/>
  <c r="Q7" i="47" s="1"/>
  <c r="C8" i="47"/>
  <c r="P8" i="47"/>
  <c r="R8" i="47" s="1"/>
  <c r="Q8" i="47" s="1"/>
  <c r="C9" i="47"/>
  <c r="P9" i="47"/>
  <c r="R9" i="47"/>
  <c r="Q9" i="47" s="1"/>
  <c r="C10" i="47"/>
  <c r="R10" i="47" s="1"/>
  <c r="Q10" i="47" s="1"/>
  <c r="P10" i="47"/>
  <c r="C11" i="47"/>
  <c r="P11" i="47"/>
  <c r="R11" i="47" s="1"/>
  <c r="Q11" i="47" s="1"/>
  <c r="C12" i="47"/>
  <c r="P12" i="47"/>
  <c r="R12" i="47"/>
  <c r="Q12" i="47" s="1"/>
  <c r="C13" i="47"/>
  <c r="P13" i="47"/>
  <c r="R13" i="47" s="1"/>
  <c r="Q13" i="47" s="1"/>
  <c r="C14" i="47"/>
  <c r="P14" i="47"/>
  <c r="R14" i="47" s="1"/>
  <c r="Q14" i="47" s="1"/>
  <c r="C15" i="47"/>
  <c r="P15" i="47"/>
  <c r="R15" i="47" s="1"/>
  <c r="Q15" i="47" s="1"/>
  <c r="C16" i="47"/>
  <c r="P16" i="47"/>
  <c r="R16" i="47" s="1"/>
  <c r="Q16" i="47" s="1"/>
  <c r="C17" i="47"/>
  <c r="P17" i="47"/>
  <c r="R17" i="47"/>
  <c r="Q17" i="47" s="1"/>
  <c r="C18" i="47"/>
  <c r="R18" i="47" s="1"/>
  <c r="Q18" i="47" s="1"/>
  <c r="P18" i="47"/>
  <c r="C19" i="47"/>
  <c r="P19" i="47"/>
  <c r="R19" i="47" s="1"/>
  <c r="Q19" i="47" s="1"/>
  <c r="C20" i="47"/>
  <c r="P20" i="47"/>
  <c r="R20" i="47"/>
  <c r="Q20" i="47" s="1"/>
  <c r="C21" i="47"/>
  <c r="P21" i="47"/>
  <c r="R21" i="47" s="1"/>
  <c r="Q21" i="47" s="1"/>
  <c r="C22" i="47"/>
  <c r="P22" i="47"/>
  <c r="R22" i="47" s="1"/>
  <c r="Q22" i="47" s="1"/>
  <c r="C23" i="47"/>
  <c r="P23" i="47"/>
  <c r="R23" i="47" s="1"/>
  <c r="Q23" i="47" s="1"/>
  <c r="C24" i="47"/>
  <c r="P24" i="47"/>
  <c r="R24" i="47" s="1"/>
  <c r="Q24" i="47" s="1"/>
  <c r="C25" i="47"/>
  <c r="P25" i="47"/>
  <c r="R25" i="47"/>
  <c r="Q25" i="47" s="1"/>
  <c r="C26" i="47"/>
  <c r="R26" i="47" s="1"/>
  <c r="Q26" i="47" s="1"/>
  <c r="P26" i="47"/>
  <c r="C27" i="47"/>
  <c r="P27" i="47"/>
  <c r="R27" i="47" s="1"/>
  <c r="Q27" i="47" s="1"/>
  <c r="C28" i="47"/>
  <c r="P28" i="47"/>
  <c r="R28" i="47"/>
  <c r="Q28" i="47" s="1"/>
  <c r="C29" i="47"/>
  <c r="P29" i="47"/>
  <c r="R29" i="47" s="1"/>
  <c r="Q29" i="47" s="1"/>
  <c r="C30" i="47"/>
  <c r="P30" i="47"/>
  <c r="R30" i="47" s="1"/>
  <c r="Q30" i="47" s="1"/>
  <c r="C31" i="47"/>
  <c r="P31" i="47"/>
  <c r="R31" i="47" s="1"/>
  <c r="Q31" i="47" s="1"/>
  <c r="C32" i="47"/>
  <c r="P32" i="47"/>
  <c r="R32" i="47" s="1"/>
  <c r="Q32" i="47" s="1"/>
  <c r="C33" i="47"/>
  <c r="P33" i="47"/>
  <c r="R33" i="47"/>
  <c r="Q33" i="47" s="1"/>
  <c r="Q33" i="44"/>
  <c r="Q32" i="44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R20" i="48" l="1"/>
  <c r="Q20" i="48" s="1"/>
  <c r="R18" i="48"/>
  <c r="Q18" i="48" s="1"/>
  <c r="R14" i="48"/>
  <c r="Q14" i="48" s="1"/>
  <c r="R10" i="48"/>
  <c r="Q10" i="48" s="1"/>
  <c r="R6" i="48"/>
  <c r="Q6" i="48" s="1"/>
  <c r="R34" i="48"/>
  <c r="Q4" i="48"/>
  <c r="P34" i="48"/>
  <c r="Q34" i="48" s="1"/>
  <c r="P34" i="47"/>
  <c r="R5" i="47"/>
  <c r="Q5" i="47" s="1"/>
  <c r="R34" i="47"/>
  <c r="Q34" i="47" s="1"/>
  <c r="S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M22" i="44"/>
  <c r="M19" i="44"/>
  <c r="C23" i="45"/>
  <c r="O18" i="5" l="1"/>
  <c r="G864" i="6" s="1"/>
  <c r="E856" i="6" l="1"/>
  <c r="E854" i="6"/>
  <c r="E853" i="6"/>
  <c r="E852" i="6"/>
  <c r="M12" i="44"/>
  <c r="D4" i="44" l="1"/>
  <c r="C85" i="39" l="1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84" i="39"/>
  <c r="P33" i="45" l="1"/>
  <c r="R33" i="45" s="1"/>
  <c r="Q33" i="45" s="1"/>
  <c r="C33" i="45"/>
  <c r="P32" i="45"/>
  <c r="R32" i="45" s="1"/>
  <c r="Q32" i="45" s="1"/>
  <c r="C32" i="45"/>
  <c r="P31" i="45"/>
  <c r="R31" i="45" s="1"/>
  <c r="Q31" i="45" s="1"/>
  <c r="C31" i="45"/>
  <c r="P30" i="45"/>
  <c r="C30" i="45"/>
  <c r="P29" i="45"/>
  <c r="C29" i="45"/>
  <c r="P28" i="45"/>
  <c r="C28" i="45"/>
  <c r="P27" i="45"/>
  <c r="R27" i="45" s="1"/>
  <c r="Q27" i="45" s="1"/>
  <c r="C27" i="45"/>
  <c r="P26" i="45"/>
  <c r="R26" i="45" s="1"/>
  <c r="Q26" i="45" s="1"/>
  <c r="C26" i="45"/>
  <c r="P25" i="45"/>
  <c r="R25" i="45" s="1"/>
  <c r="Q25" i="45" s="1"/>
  <c r="C25" i="45"/>
  <c r="P24" i="45"/>
  <c r="C24" i="45"/>
  <c r="P23" i="45"/>
  <c r="R23" i="45" s="1"/>
  <c r="Q23" i="45" s="1"/>
  <c r="P22" i="45"/>
  <c r="C22" i="45"/>
  <c r="P21" i="45"/>
  <c r="C21" i="45"/>
  <c r="P20" i="45"/>
  <c r="C20" i="45"/>
  <c r="P19" i="45"/>
  <c r="R19" i="45" s="1"/>
  <c r="Q19" i="45" s="1"/>
  <c r="C19" i="45"/>
  <c r="R18" i="45"/>
  <c r="Q18" i="45" s="1"/>
  <c r="P18" i="45"/>
  <c r="C18" i="45"/>
  <c r="P17" i="45"/>
  <c r="C17" i="45"/>
  <c r="P16" i="45"/>
  <c r="C16" i="45"/>
  <c r="P15" i="45"/>
  <c r="C15" i="45"/>
  <c r="R14" i="45"/>
  <c r="Q14" i="45" s="1"/>
  <c r="P14" i="45"/>
  <c r="C14" i="45"/>
  <c r="P13" i="45"/>
  <c r="C13" i="45"/>
  <c r="P12" i="45"/>
  <c r="C12" i="45"/>
  <c r="P11" i="45"/>
  <c r="R11" i="45" s="1"/>
  <c r="Q11" i="45" s="1"/>
  <c r="C11" i="45"/>
  <c r="P10" i="45"/>
  <c r="C10" i="45"/>
  <c r="P9" i="45"/>
  <c r="C9" i="45"/>
  <c r="P8" i="45"/>
  <c r="C8" i="45"/>
  <c r="P7" i="45"/>
  <c r="C7" i="45"/>
  <c r="P6" i="45"/>
  <c r="C6" i="45"/>
  <c r="P5" i="45"/>
  <c r="C5" i="45"/>
  <c r="R4" i="45"/>
  <c r="Q4" i="45" s="1"/>
  <c r="P4" i="45"/>
  <c r="C4" i="45"/>
  <c r="P3" i="45"/>
  <c r="C3" i="45"/>
  <c r="P33" i="44"/>
  <c r="C33" i="44"/>
  <c r="P32" i="44"/>
  <c r="C32" i="44"/>
  <c r="P31" i="44"/>
  <c r="R31" i="44" s="1"/>
  <c r="Q31" i="44" s="1"/>
  <c r="C872" i="6" s="1"/>
  <c r="C31" i="44"/>
  <c r="P30" i="44"/>
  <c r="C30" i="44"/>
  <c r="P29" i="44"/>
  <c r="C29" i="44"/>
  <c r="P28" i="44"/>
  <c r="C28" i="44"/>
  <c r="P27" i="44"/>
  <c r="R27" i="44" s="1"/>
  <c r="Q27" i="44" s="1"/>
  <c r="C868" i="6" s="1"/>
  <c r="C27" i="44"/>
  <c r="P26" i="44"/>
  <c r="C26" i="44"/>
  <c r="P25" i="44"/>
  <c r="C25" i="44"/>
  <c r="P24" i="44"/>
  <c r="C24" i="44"/>
  <c r="P23" i="44"/>
  <c r="C23" i="44"/>
  <c r="P22" i="44"/>
  <c r="C22" i="44"/>
  <c r="P21" i="44"/>
  <c r="C21" i="44"/>
  <c r="P20" i="44"/>
  <c r="C20" i="44"/>
  <c r="P19" i="44"/>
  <c r="C19" i="44"/>
  <c r="P18" i="44"/>
  <c r="R18" i="44" s="1"/>
  <c r="Q18" i="44" s="1"/>
  <c r="C18" i="44"/>
  <c r="P17" i="44"/>
  <c r="C17" i="44"/>
  <c r="P16" i="44"/>
  <c r="C16" i="44"/>
  <c r="P15" i="44"/>
  <c r="C15" i="44"/>
  <c r="P14" i="44"/>
  <c r="C14" i="44"/>
  <c r="P13" i="44"/>
  <c r="C13" i="44"/>
  <c r="P12" i="44"/>
  <c r="C12" i="44"/>
  <c r="P11" i="44"/>
  <c r="C11" i="44"/>
  <c r="P10" i="44"/>
  <c r="C10" i="44"/>
  <c r="P9" i="44"/>
  <c r="C9" i="44"/>
  <c r="P8" i="44"/>
  <c r="C8" i="44"/>
  <c r="P7" i="44"/>
  <c r="C7" i="44"/>
  <c r="P6" i="44"/>
  <c r="C6" i="44"/>
  <c r="P5" i="44"/>
  <c r="C5" i="44"/>
  <c r="P4" i="44"/>
  <c r="C4" i="44"/>
  <c r="P3" i="44"/>
  <c r="C3" i="44"/>
  <c r="E79" i="39"/>
  <c r="P24" i="42"/>
  <c r="E842" i="6"/>
  <c r="R30" i="45" l="1"/>
  <c r="Q30" i="45" s="1"/>
  <c r="R29" i="45"/>
  <c r="Q29" i="45" s="1"/>
  <c r="R28" i="45"/>
  <c r="Q28" i="45" s="1"/>
  <c r="R33" i="44"/>
  <c r="C874" i="6" s="1"/>
  <c r="R25" i="44"/>
  <c r="Q25" i="44" s="1"/>
  <c r="C866" i="6" s="1"/>
  <c r="R29" i="44"/>
  <c r="Q29" i="44" s="1"/>
  <c r="C870" i="6" s="1"/>
  <c r="R28" i="44"/>
  <c r="Q28" i="44" s="1"/>
  <c r="C869" i="6" s="1"/>
  <c r="R32" i="44"/>
  <c r="C873" i="6" s="1"/>
  <c r="R24" i="44"/>
  <c r="Q24" i="44" s="1"/>
  <c r="C865" i="6" s="1"/>
  <c r="R5" i="44"/>
  <c r="Q5" i="44" s="1"/>
  <c r="C846" i="6" s="1"/>
  <c r="R23" i="44"/>
  <c r="Q23" i="44" s="1"/>
  <c r="C864" i="6" s="1"/>
  <c r="R21" i="44"/>
  <c r="Q21" i="44" s="1"/>
  <c r="C862" i="6" s="1"/>
  <c r="R19" i="44"/>
  <c r="Q19" i="44" s="1"/>
  <c r="C860" i="6" s="1"/>
  <c r="R17" i="45"/>
  <c r="Q17" i="45" s="1"/>
  <c r="R16" i="45"/>
  <c r="Q16" i="45" s="1"/>
  <c r="R20" i="45"/>
  <c r="Q20" i="45" s="1"/>
  <c r="R21" i="45"/>
  <c r="Q21" i="45" s="1"/>
  <c r="R22" i="45"/>
  <c r="Q22" i="45" s="1"/>
  <c r="R24" i="45"/>
  <c r="Q24" i="45" s="1"/>
  <c r="R15" i="45"/>
  <c r="Q15" i="45" s="1"/>
  <c r="R13" i="45"/>
  <c r="Q13" i="45" s="1"/>
  <c r="R7" i="45"/>
  <c r="Q7" i="45" s="1"/>
  <c r="R12" i="45"/>
  <c r="Q12" i="45" s="1"/>
  <c r="R5" i="45"/>
  <c r="Q5" i="45" s="1"/>
  <c r="R6" i="45"/>
  <c r="Q6" i="45" s="1"/>
  <c r="R8" i="45"/>
  <c r="Q8" i="45" s="1"/>
  <c r="R9" i="45"/>
  <c r="Q9" i="45" s="1"/>
  <c r="P34" i="45"/>
  <c r="R10" i="45"/>
  <c r="Q10" i="45" s="1"/>
  <c r="R17" i="44"/>
  <c r="Q17" i="44" s="1"/>
  <c r="C858" i="6" s="1"/>
  <c r="R16" i="44"/>
  <c r="Q16" i="44" s="1"/>
  <c r="C857" i="6" s="1"/>
  <c r="R15" i="44"/>
  <c r="Q15" i="44" s="1"/>
  <c r="C856" i="6" s="1"/>
  <c r="R13" i="44"/>
  <c r="Q13" i="44" s="1"/>
  <c r="C854" i="6" s="1"/>
  <c r="P34" i="44"/>
  <c r="R11" i="44"/>
  <c r="Q11" i="44" s="1"/>
  <c r="C852" i="6" s="1"/>
  <c r="R9" i="44"/>
  <c r="Q9" i="44" s="1"/>
  <c r="C850" i="6" s="1"/>
  <c r="R8" i="44"/>
  <c r="Q8" i="44" s="1"/>
  <c r="C849" i="6" s="1"/>
  <c r="R7" i="44"/>
  <c r="Q7" i="44" s="1"/>
  <c r="C848" i="6" s="1"/>
  <c r="R3" i="45"/>
  <c r="R10" i="44"/>
  <c r="Q10" i="44" s="1"/>
  <c r="C851" i="6" s="1"/>
  <c r="R26" i="44"/>
  <c r="Q26" i="44" s="1"/>
  <c r="C867" i="6" s="1"/>
  <c r="R4" i="44"/>
  <c r="Q4" i="44" s="1"/>
  <c r="C845" i="6" s="1"/>
  <c r="R20" i="44"/>
  <c r="Q20" i="44" s="1"/>
  <c r="C861" i="6" s="1"/>
  <c r="C859" i="6"/>
  <c r="R12" i="44"/>
  <c r="Q12" i="44" s="1"/>
  <c r="C853" i="6" s="1"/>
  <c r="R3" i="44"/>
  <c r="Q3" i="44" s="1"/>
  <c r="C844" i="6" s="1"/>
  <c r="R6" i="44"/>
  <c r="Q6" i="44" s="1"/>
  <c r="C847" i="6" s="1"/>
  <c r="R14" i="44"/>
  <c r="Q14" i="44" s="1"/>
  <c r="C855" i="6" s="1"/>
  <c r="R22" i="44"/>
  <c r="Q22" i="44" s="1"/>
  <c r="C863" i="6" s="1"/>
  <c r="R30" i="44"/>
  <c r="Q30" i="44" s="1"/>
  <c r="C871" i="6" s="1"/>
  <c r="G863" i="6" l="1"/>
  <c r="R34" i="45"/>
  <c r="Q34" i="45" s="1"/>
  <c r="Q3" i="45"/>
  <c r="R34" i="44"/>
  <c r="Q34" i="44" s="1"/>
  <c r="G818" i="6" l="1"/>
  <c r="C17" i="43"/>
  <c r="C14" i="42"/>
  <c r="E816" i="6"/>
  <c r="E814" i="6"/>
  <c r="E810" i="6"/>
  <c r="E823" i="6"/>
  <c r="E809" i="6"/>
  <c r="P3" i="43"/>
  <c r="E811" i="6"/>
  <c r="C4" i="42"/>
  <c r="C5" i="42"/>
  <c r="C3" i="42"/>
  <c r="C7" i="42"/>
  <c r="C8" i="42"/>
  <c r="C9" i="42"/>
  <c r="C10" i="42"/>
  <c r="C11" i="42"/>
  <c r="C12" i="42"/>
  <c r="C13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6" i="42"/>
  <c r="C5" i="43"/>
  <c r="C6" i="43"/>
  <c r="C7" i="43"/>
  <c r="C8" i="43"/>
  <c r="C9" i="43"/>
  <c r="C10" i="43"/>
  <c r="C11" i="43"/>
  <c r="C12" i="43"/>
  <c r="C13" i="43"/>
  <c r="C14" i="43"/>
  <c r="C15" i="43"/>
  <c r="C16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4" i="43"/>
  <c r="C3" i="43"/>
  <c r="P33" i="43"/>
  <c r="P32" i="43"/>
  <c r="P31" i="43"/>
  <c r="P30" i="43"/>
  <c r="P29" i="43"/>
  <c r="P28" i="43"/>
  <c r="P27" i="43"/>
  <c r="P26" i="43"/>
  <c r="P25" i="43"/>
  <c r="P24" i="43"/>
  <c r="P23" i="43"/>
  <c r="P22" i="43"/>
  <c r="P21" i="43"/>
  <c r="P20" i="43"/>
  <c r="P19" i="43"/>
  <c r="P18" i="43"/>
  <c r="P17" i="43"/>
  <c r="P16" i="43"/>
  <c r="P15" i="43"/>
  <c r="P14" i="43"/>
  <c r="P13" i="43"/>
  <c r="P12" i="43"/>
  <c r="P11" i="43"/>
  <c r="P10" i="43"/>
  <c r="P9" i="43"/>
  <c r="P8" i="43"/>
  <c r="P7" i="43"/>
  <c r="P6" i="43"/>
  <c r="P5" i="43"/>
  <c r="P4" i="43"/>
  <c r="P33" i="42"/>
  <c r="P32" i="42"/>
  <c r="P31" i="42"/>
  <c r="P30" i="42"/>
  <c r="P29" i="42"/>
  <c r="P28" i="42"/>
  <c r="P27" i="42"/>
  <c r="P26" i="42"/>
  <c r="P25" i="42"/>
  <c r="P23" i="42"/>
  <c r="P22" i="42"/>
  <c r="P21" i="42"/>
  <c r="P20" i="42"/>
  <c r="P19" i="42"/>
  <c r="P18" i="42"/>
  <c r="P17" i="42"/>
  <c r="P16" i="42"/>
  <c r="P15" i="42"/>
  <c r="P14" i="42"/>
  <c r="P13" i="42"/>
  <c r="P12" i="42"/>
  <c r="P11" i="42"/>
  <c r="P10" i="42"/>
  <c r="P9" i="42"/>
  <c r="P8" i="42"/>
  <c r="P7" i="42"/>
  <c r="P6" i="42"/>
  <c r="P5" i="42"/>
  <c r="P4" i="42"/>
  <c r="P3" i="42"/>
  <c r="B801" i="6"/>
  <c r="E797" i="6"/>
  <c r="E793" i="6"/>
  <c r="E795" i="6"/>
  <c r="E801" i="6"/>
  <c r="P12" i="40"/>
  <c r="P11" i="40"/>
  <c r="E788" i="6"/>
  <c r="C33" i="41"/>
  <c r="P33" i="41"/>
  <c r="R33" i="41" s="1"/>
  <c r="Q33" i="41" s="1"/>
  <c r="C811" i="6" s="1"/>
  <c r="P32" i="41"/>
  <c r="C32" i="41"/>
  <c r="P31" i="41"/>
  <c r="C31" i="41"/>
  <c r="P30" i="41"/>
  <c r="C30" i="41"/>
  <c r="P29" i="41"/>
  <c r="C29" i="41"/>
  <c r="P28" i="41"/>
  <c r="C28" i="41"/>
  <c r="P27" i="41"/>
  <c r="C27" i="41"/>
  <c r="P26" i="41"/>
  <c r="C26" i="41"/>
  <c r="P25" i="41"/>
  <c r="C25" i="41"/>
  <c r="P24" i="41"/>
  <c r="C24" i="41"/>
  <c r="P23" i="41"/>
  <c r="C23" i="41"/>
  <c r="P22" i="41"/>
  <c r="C22" i="41"/>
  <c r="P21" i="41"/>
  <c r="C21" i="41"/>
  <c r="P20" i="41"/>
  <c r="C20" i="41"/>
  <c r="P19" i="41"/>
  <c r="C19" i="41"/>
  <c r="P18" i="41"/>
  <c r="C18" i="41"/>
  <c r="P17" i="41"/>
  <c r="C17" i="41"/>
  <c r="P16" i="41"/>
  <c r="C16" i="41"/>
  <c r="P15" i="41"/>
  <c r="C15" i="41"/>
  <c r="P14" i="41"/>
  <c r="C14" i="41"/>
  <c r="P13" i="41"/>
  <c r="C13" i="41"/>
  <c r="P12" i="41"/>
  <c r="C12" i="41"/>
  <c r="P11" i="41"/>
  <c r="C11" i="41"/>
  <c r="P10" i="41"/>
  <c r="C10" i="41"/>
  <c r="P9" i="41"/>
  <c r="C9" i="41"/>
  <c r="P8" i="41"/>
  <c r="C8" i="41"/>
  <c r="P7" i="41"/>
  <c r="C7" i="41"/>
  <c r="P6" i="41"/>
  <c r="C6" i="41"/>
  <c r="P5" i="41"/>
  <c r="C5" i="41"/>
  <c r="P4" i="41"/>
  <c r="C4" i="41"/>
  <c r="P3" i="41"/>
  <c r="C3" i="41"/>
  <c r="D26" i="37"/>
  <c r="D25" i="37"/>
  <c r="P24" i="37"/>
  <c r="P26" i="37"/>
  <c r="E776" i="6"/>
  <c r="P20" i="40"/>
  <c r="P21" i="40"/>
  <c r="P22" i="40"/>
  <c r="P23" i="40"/>
  <c r="P24" i="40"/>
  <c r="P25" i="40"/>
  <c r="P26" i="40"/>
  <c r="P27" i="40"/>
  <c r="P28" i="40"/>
  <c r="P29" i="40"/>
  <c r="P30" i="40"/>
  <c r="P31" i="40"/>
  <c r="P32" i="40"/>
  <c r="P33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" i="40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P19" i="40"/>
  <c r="P18" i="40"/>
  <c r="P17" i="40"/>
  <c r="P16" i="40"/>
  <c r="P15" i="40"/>
  <c r="P14" i="40"/>
  <c r="P13" i="40"/>
  <c r="R11" i="40"/>
  <c r="P10" i="40"/>
  <c r="P9" i="40"/>
  <c r="P8" i="40"/>
  <c r="P7" i="40"/>
  <c r="P6" i="40"/>
  <c r="P5" i="40"/>
  <c r="P4" i="40"/>
  <c r="P3" i="40"/>
  <c r="C19" i="38"/>
  <c r="E773" i="6"/>
  <c r="E767" i="6"/>
  <c r="F19" i="37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20" i="38"/>
  <c r="P20" i="38"/>
  <c r="P19" i="38"/>
  <c r="P18" i="38"/>
  <c r="P17" i="38"/>
  <c r="P16" i="38"/>
  <c r="P15" i="38"/>
  <c r="P14" i="38"/>
  <c r="P13" i="38"/>
  <c r="P12" i="38"/>
  <c r="P11" i="38"/>
  <c r="P10" i="38"/>
  <c r="P9" i="38"/>
  <c r="P8" i="38"/>
  <c r="P7" i="38"/>
  <c r="P6" i="38"/>
  <c r="P5" i="38"/>
  <c r="P4" i="38"/>
  <c r="P3" i="38"/>
  <c r="R3" i="38" s="1"/>
  <c r="Q3" i="38" s="1"/>
  <c r="C2" i="39" s="1"/>
  <c r="E761" i="6"/>
  <c r="E765" i="6"/>
  <c r="E762" i="6"/>
  <c r="E763" i="6"/>
  <c r="E759" i="6"/>
  <c r="K10" i="5"/>
  <c r="E757" i="6"/>
  <c r="E752" i="6"/>
  <c r="E751" i="6"/>
  <c r="M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R26" i="37" s="1"/>
  <c r="C27" i="37"/>
  <c r="C28" i="37"/>
  <c r="C29" i="37"/>
  <c r="C30" i="37"/>
  <c r="C31" i="37"/>
  <c r="C32" i="37"/>
  <c r="C5" i="37"/>
  <c r="C6" i="37"/>
  <c r="C7" i="37"/>
  <c r="C4" i="37"/>
  <c r="C3" i="37"/>
  <c r="C3" i="36"/>
  <c r="M3" i="37"/>
  <c r="P33" i="37"/>
  <c r="P32" i="37"/>
  <c r="P31" i="37"/>
  <c r="P30" i="37"/>
  <c r="P29" i="37"/>
  <c r="P28" i="37"/>
  <c r="P27" i="37"/>
  <c r="P25" i="37"/>
  <c r="P23" i="37"/>
  <c r="P22" i="37"/>
  <c r="P21" i="37"/>
  <c r="R21" i="37" s="1"/>
  <c r="Q21" i="37" s="1"/>
  <c r="P20" i="37"/>
  <c r="P19" i="37"/>
  <c r="P18" i="37"/>
  <c r="P17" i="37"/>
  <c r="P16" i="37"/>
  <c r="P15" i="37"/>
  <c r="P14" i="37"/>
  <c r="P13" i="37"/>
  <c r="P12" i="37"/>
  <c r="P11" i="37"/>
  <c r="P10" i="37"/>
  <c r="P9" i="37"/>
  <c r="P8" i="37"/>
  <c r="P7" i="37"/>
  <c r="P6" i="37"/>
  <c r="P5" i="37"/>
  <c r="P4" i="37"/>
  <c r="P3" i="37"/>
  <c r="R3" i="37" s="1"/>
  <c r="M32" i="36"/>
  <c r="J29" i="36"/>
  <c r="P29" i="36" s="1"/>
  <c r="E746" i="6"/>
  <c r="E747" i="6"/>
  <c r="E738" i="6"/>
  <c r="E740" i="6"/>
  <c r="E737" i="6"/>
  <c r="M23" i="36"/>
  <c r="E736" i="6"/>
  <c r="E734" i="6"/>
  <c r="C21" i="36"/>
  <c r="C17" i="36"/>
  <c r="E731" i="6"/>
  <c r="E732" i="6"/>
  <c r="E729" i="6"/>
  <c r="E727" i="6"/>
  <c r="E730" i="6"/>
  <c r="B729" i="6"/>
  <c r="E722" i="6"/>
  <c r="E723" i="6"/>
  <c r="M10" i="36"/>
  <c r="P4" i="36"/>
  <c r="P6" i="36"/>
  <c r="P7" i="36"/>
  <c r="P12" i="36"/>
  <c r="P11" i="36"/>
  <c r="P10" i="36"/>
  <c r="P8" i="36"/>
  <c r="P14" i="36"/>
  <c r="P15" i="36"/>
  <c r="P16" i="36"/>
  <c r="P17" i="36"/>
  <c r="P18" i="36"/>
  <c r="P19" i="36"/>
  <c r="P20" i="36"/>
  <c r="P21" i="36"/>
  <c r="R21" i="36" s="1"/>
  <c r="Q21" i="36" s="1"/>
  <c r="C736" i="6" s="1"/>
  <c r="P22" i="36"/>
  <c r="P23" i="36"/>
  <c r="P24" i="36"/>
  <c r="P25" i="36"/>
  <c r="P26" i="36"/>
  <c r="P27" i="36"/>
  <c r="P28" i="36"/>
  <c r="P30" i="36"/>
  <c r="P31" i="36"/>
  <c r="P32" i="36"/>
  <c r="P33" i="36"/>
  <c r="P13" i="36"/>
  <c r="P3" i="36"/>
  <c r="R3" i="36" s="1"/>
  <c r="C5" i="36"/>
  <c r="C7" i="36"/>
  <c r="R7" i="36" s="1"/>
  <c r="Q7" i="36" s="1"/>
  <c r="C722" i="6" s="1"/>
  <c r="C9" i="36"/>
  <c r="C10" i="36"/>
  <c r="C11" i="36"/>
  <c r="R11" i="36" s="1"/>
  <c r="C12" i="36"/>
  <c r="C13" i="36"/>
  <c r="R13" i="36" s="1"/>
  <c r="C14" i="36"/>
  <c r="R14" i="36" s="1"/>
  <c r="Q14" i="36" s="1"/>
  <c r="C729" i="6" s="1"/>
  <c r="C15" i="36"/>
  <c r="R15" i="36" s="1"/>
  <c r="C16" i="36"/>
  <c r="R16" i="36" s="1"/>
  <c r="C18" i="36"/>
  <c r="R18" i="36" s="1"/>
  <c r="Q18" i="36" s="1"/>
  <c r="C733" i="6" s="1"/>
  <c r="C19" i="36"/>
  <c r="C20" i="36"/>
  <c r="R20" i="36" s="1"/>
  <c r="C22" i="36"/>
  <c r="C23" i="36"/>
  <c r="C24" i="36"/>
  <c r="R24" i="36" s="1"/>
  <c r="C25" i="36"/>
  <c r="R25" i="36" s="1"/>
  <c r="Q25" i="36" s="1"/>
  <c r="C740" i="6" s="1"/>
  <c r="C26" i="36"/>
  <c r="C27" i="36"/>
  <c r="C28" i="36"/>
  <c r="R28" i="36" s="1"/>
  <c r="C29" i="36"/>
  <c r="C30" i="36"/>
  <c r="C31" i="36"/>
  <c r="C32" i="36"/>
  <c r="R32" i="36" s="1"/>
  <c r="C33" i="36"/>
  <c r="R33" i="36" s="1"/>
  <c r="Q33" i="36" s="1"/>
  <c r="C748" i="6" s="1"/>
  <c r="D3" i="36"/>
  <c r="D8" i="36"/>
  <c r="C8" i="36" s="1"/>
  <c r="R8" i="36" s="1"/>
  <c r="Q8" i="36" s="1"/>
  <c r="C723" i="6" s="1"/>
  <c r="D7" i="36"/>
  <c r="D6" i="36"/>
  <c r="C6" i="36" s="1"/>
  <c r="R6" i="36" s="1"/>
  <c r="D5" i="36"/>
  <c r="D4" i="36"/>
  <c r="C4" i="36" s="1"/>
  <c r="R4" i="36" s="1"/>
  <c r="Q4" i="36" s="1"/>
  <c r="C719" i="6" s="1"/>
  <c r="M5" i="36"/>
  <c r="P5" i="36" s="1"/>
  <c r="R5" i="36" s="1"/>
  <c r="Q5" i="36" s="1"/>
  <c r="C720" i="6" s="1"/>
  <c r="M9" i="36"/>
  <c r="P9" i="36" s="1"/>
  <c r="R9" i="36" s="1"/>
  <c r="E721" i="6"/>
  <c r="E718" i="6"/>
  <c r="K32" i="35"/>
  <c r="Q32" i="36"/>
  <c r="C747" i="6" s="1"/>
  <c r="Q28" i="36"/>
  <c r="C743" i="6" s="1"/>
  <c r="Q24" i="36"/>
  <c r="C739" i="6" s="1"/>
  <c r="Q20" i="36"/>
  <c r="C735" i="6" s="1"/>
  <c r="Q16" i="36"/>
  <c r="C731" i="6" s="1"/>
  <c r="Q15" i="36"/>
  <c r="C730" i="6" s="1"/>
  <c r="Q13" i="36"/>
  <c r="C728" i="6" s="1"/>
  <c r="Q11" i="36"/>
  <c r="C726" i="6" s="1"/>
  <c r="E707" i="6"/>
  <c r="E715" i="6"/>
  <c r="E711" i="6"/>
  <c r="E712" i="6"/>
  <c r="E709" i="6"/>
  <c r="K27" i="35"/>
  <c r="K26" i="35"/>
  <c r="M26" i="35" s="1"/>
  <c r="O26" i="35" s="1"/>
  <c r="N26" i="35" s="1"/>
  <c r="C710" i="6" s="1"/>
  <c r="K20" i="35"/>
  <c r="E701" i="6"/>
  <c r="K19" i="35"/>
  <c r="E697" i="6"/>
  <c r="E699" i="6"/>
  <c r="E696" i="6"/>
  <c r="K9" i="35"/>
  <c r="E689" i="6"/>
  <c r="E690" i="6"/>
  <c r="E687" i="6"/>
  <c r="K5" i="35"/>
  <c r="K4" i="35"/>
  <c r="E679" i="6"/>
  <c r="E671" i="6"/>
  <c r="E683" i="6"/>
  <c r="M32" i="35"/>
  <c r="O32" i="35" s="1"/>
  <c r="N32" i="35" s="1"/>
  <c r="C716" i="6" s="1"/>
  <c r="M31" i="35"/>
  <c r="O31" i="35" s="1"/>
  <c r="N31" i="35" s="1"/>
  <c r="C715" i="6" s="1"/>
  <c r="M30" i="35"/>
  <c r="O30" i="35" s="1"/>
  <c r="N30" i="35" s="1"/>
  <c r="C714" i="6" s="1"/>
  <c r="M29" i="35"/>
  <c r="O29" i="35" s="1"/>
  <c r="N29" i="35" s="1"/>
  <c r="C713" i="6" s="1"/>
  <c r="M28" i="35"/>
  <c r="O28" i="35" s="1"/>
  <c r="N28" i="35" s="1"/>
  <c r="C712" i="6" s="1"/>
  <c r="M27" i="35"/>
  <c r="O27" i="35" s="1"/>
  <c r="N27" i="35" s="1"/>
  <c r="C711" i="6" s="1"/>
  <c r="M25" i="35"/>
  <c r="O25" i="35" s="1"/>
  <c r="N25" i="35" s="1"/>
  <c r="C709" i="6" s="1"/>
  <c r="M24" i="35"/>
  <c r="O24" i="35" s="1"/>
  <c r="N24" i="35" s="1"/>
  <c r="C708" i="6" s="1"/>
  <c r="M23" i="35"/>
  <c r="O23" i="35" s="1"/>
  <c r="N23" i="35" s="1"/>
  <c r="C707" i="6" s="1"/>
  <c r="M22" i="35"/>
  <c r="O22" i="35" s="1"/>
  <c r="N22" i="35" s="1"/>
  <c r="C706" i="6" s="1"/>
  <c r="M21" i="35"/>
  <c r="O21" i="35" s="1"/>
  <c r="N21" i="35" s="1"/>
  <c r="C705" i="6" s="1"/>
  <c r="M20" i="35"/>
  <c r="O20" i="35" s="1"/>
  <c r="N20" i="35" s="1"/>
  <c r="C704" i="6" s="1"/>
  <c r="M19" i="35"/>
  <c r="O19" i="35" s="1"/>
  <c r="N19" i="35" s="1"/>
  <c r="C703" i="6" s="1"/>
  <c r="M18" i="35"/>
  <c r="O18" i="35" s="1"/>
  <c r="N18" i="35" s="1"/>
  <c r="C702" i="6" s="1"/>
  <c r="M17" i="35"/>
  <c r="O17" i="35" s="1"/>
  <c r="N17" i="35" s="1"/>
  <c r="C701" i="6" s="1"/>
  <c r="M16" i="35"/>
  <c r="O16" i="35" s="1"/>
  <c r="N16" i="35" s="1"/>
  <c r="C700" i="6" s="1"/>
  <c r="M15" i="35"/>
  <c r="O15" i="35" s="1"/>
  <c r="N15" i="35" s="1"/>
  <c r="C699" i="6" s="1"/>
  <c r="M14" i="35"/>
  <c r="O14" i="35" s="1"/>
  <c r="N14" i="35" s="1"/>
  <c r="C698" i="6" s="1"/>
  <c r="M13" i="35"/>
  <c r="O13" i="35" s="1"/>
  <c r="N13" i="35" s="1"/>
  <c r="C697" i="6" s="1"/>
  <c r="M12" i="35"/>
  <c r="O12" i="35" s="1"/>
  <c r="N12" i="35" s="1"/>
  <c r="C696" i="6" s="1"/>
  <c r="M11" i="35"/>
  <c r="O11" i="35" s="1"/>
  <c r="N11" i="35" s="1"/>
  <c r="C695" i="6" s="1"/>
  <c r="M10" i="35"/>
  <c r="O10" i="35" s="1"/>
  <c r="N10" i="35" s="1"/>
  <c r="C694" i="6" s="1"/>
  <c r="M9" i="35"/>
  <c r="O9" i="35" s="1"/>
  <c r="N9" i="35" s="1"/>
  <c r="C693" i="6" s="1"/>
  <c r="M8" i="35"/>
  <c r="O8" i="35" s="1"/>
  <c r="N8" i="35" s="1"/>
  <c r="C692" i="6" s="1"/>
  <c r="M7" i="35"/>
  <c r="O7" i="35" s="1"/>
  <c r="N7" i="35" s="1"/>
  <c r="C691" i="6" s="1"/>
  <c r="M6" i="35"/>
  <c r="O6" i="35" s="1"/>
  <c r="N6" i="35" s="1"/>
  <c r="C690" i="6" s="1"/>
  <c r="M5" i="35"/>
  <c r="O5" i="35" s="1"/>
  <c r="N5" i="35" s="1"/>
  <c r="C689" i="6" s="1"/>
  <c r="M4" i="35"/>
  <c r="O4" i="35" s="1"/>
  <c r="N4" i="35" s="1"/>
  <c r="C688" i="6" s="1"/>
  <c r="M3" i="35"/>
  <c r="O3" i="35" s="1"/>
  <c r="N3" i="35" s="1"/>
  <c r="C687" i="6" s="1"/>
  <c r="M2" i="35"/>
  <c r="E676" i="6"/>
  <c r="E678" i="6"/>
  <c r="E675" i="6"/>
  <c r="E674" i="6"/>
  <c r="E673" i="6"/>
  <c r="E669" i="6"/>
  <c r="E670" i="6"/>
  <c r="K20" i="34"/>
  <c r="K15" i="34"/>
  <c r="E665" i="6"/>
  <c r="E668" i="6"/>
  <c r="E662" i="6"/>
  <c r="E663" i="6"/>
  <c r="E659" i="6"/>
  <c r="E660" i="6"/>
  <c r="K5" i="34"/>
  <c r="E657" i="6"/>
  <c r="E656" i="6"/>
  <c r="E655" i="6"/>
  <c r="K32" i="32"/>
  <c r="M32" i="34"/>
  <c r="O32" i="34" s="1"/>
  <c r="N32" i="34" s="1"/>
  <c r="M31" i="34"/>
  <c r="O31" i="34" s="1"/>
  <c r="N31" i="34" s="1"/>
  <c r="C684" i="6" s="1"/>
  <c r="M30" i="34"/>
  <c r="O30" i="34" s="1"/>
  <c r="N30" i="34" s="1"/>
  <c r="C683" i="6" s="1"/>
  <c r="M29" i="34"/>
  <c r="O29" i="34" s="1"/>
  <c r="N29" i="34" s="1"/>
  <c r="C682" i="6" s="1"/>
  <c r="M28" i="34"/>
  <c r="O28" i="34" s="1"/>
  <c r="N28" i="34" s="1"/>
  <c r="C681" i="6" s="1"/>
  <c r="M27" i="34"/>
  <c r="O27" i="34" s="1"/>
  <c r="N27" i="34" s="1"/>
  <c r="C680" i="6" s="1"/>
  <c r="M26" i="34"/>
  <c r="O26" i="34" s="1"/>
  <c r="N26" i="34" s="1"/>
  <c r="C679" i="6" s="1"/>
  <c r="M25" i="34"/>
  <c r="O25" i="34" s="1"/>
  <c r="N25" i="34" s="1"/>
  <c r="C678" i="6" s="1"/>
  <c r="M24" i="34"/>
  <c r="O24" i="34" s="1"/>
  <c r="N24" i="34" s="1"/>
  <c r="C677" i="6" s="1"/>
  <c r="M23" i="34"/>
  <c r="O23" i="34" s="1"/>
  <c r="N23" i="34" s="1"/>
  <c r="C676" i="6" s="1"/>
  <c r="M22" i="34"/>
  <c r="O22" i="34" s="1"/>
  <c r="N22" i="34" s="1"/>
  <c r="C675" i="6" s="1"/>
  <c r="M21" i="34"/>
  <c r="O21" i="34" s="1"/>
  <c r="N21" i="34" s="1"/>
  <c r="C674" i="6" s="1"/>
  <c r="M20" i="34"/>
  <c r="O20" i="34" s="1"/>
  <c r="N20" i="34" s="1"/>
  <c r="C673" i="6" s="1"/>
  <c r="M19" i="34"/>
  <c r="O19" i="34" s="1"/>
  <c r="N19" i="34" s="1"/>
  <c r="C672" i="6" s="1"/>
  <c r="M18" i="34"/>
  <c r="O18" i="34" s="1"/>
  <c r="N18" i="34" s="1"/>
  <c r="C671" i="6" s="1"/>
  <c r="M17" i="34"/>
  <c r="O17" i="34" s="1"/>
  <c r="N17" i="34" s="1"/>
  <c r="C670" i="6" s="1"/>
  <c r="M16" i="34"/>
  <c r="O16" i="34" s="1"/>
  <c r="N16" i="34" s="1"/>
  <c r="C669" i="6" s="1"/>
  <c r="M15" i="34"/>
  <c r="O15" i="34" s="1"/>
  <c r="N15" i="34" s="1"/>
  <c r="C668" i="6" s="1"/>
  <c r="M14" i="34"/>
  <c r="O14" i="34" s="1"/>
  <c r="N14" i="34" s="1"/>
  <c r="C667" i="6" s="1"/>
  <c r="M13" i="34"/>
  <c r="O13" i="34" s="1"/>
  <c r="N13" i="34" s="1"/>
  <c r="C666" i="6" s="1"/>
  <c r="M12" i="34"/>
  <c r="O12" i="34" s="1"/>
  <c r="N12" i="34" s="1"/>
  <c r="C665" i="6" s="1"/>
  <c r="M11" i="34"/>
  <c r="O11" i="34" s="1"/>
  <c r="N11" i="34" s="1"/>
  <c r="C664" i="6" s="1"/>
  <c r="M10" i="34"/>
  <c r="O10" i="34" s="1"/>
  <c r="N10" i="34" s="1"/>
  <c r="C663" i="6" s="1"/>
  <c r="M9" i="34"/>
  <c r="M8" i="34"/>
  <c r="O8" i="34" s="1"/>
  <c r="N8" i="34" s="1"/>
  <c r="C661" i="6" s="1"/>
  <c r="M7" i="34"/>
  <c r="O7" i="34" s="1"/>
  <c r="N7" i="34" s="1"/>
  <c r="C660" i="6" s="1"/>
  <c r="M6" i="34"/>
  <c r="O6" i="34" s="1"/>
  <c r="N6" i="34" s="1"/>
  <c r="C659" i="6" s="1"/>
  <c r="M5" i="34"/>
  <c r="O5" i="34" s="1"/>
  <c r="N5" i="34" s="1"/>
  <c r="C658" i="6" s="1"/>
  <c r="M4" i="34"/>
  <c r="O4" i="34" s="1"/>
  <c r="N4" i="34" s="1"/>
  <c r="C657" i="6" s="1"/>
  <c r="M3" i="34"/>
  <c r="O3" i="34" s="1"/>
  <c r="N3" i="34" s="1"/>
  <c r="C656" i="6" s="1"/>
  <c r="M2" i="34"/>
  <c r="E652" i="6"/>
  <c r="K29" i="32"/>
  <c r="M29" i="32" s="1"/>
  <c r="O29" i="32" s="1"/>
  <c r="N29" i="32" s="1"/>
  <c r="C650" i="6" s="1"/>
  <c r="E645" i="6"/>
  <c r="B644" i="6"/>
  <c r="E643" i="6"/>
  <c r="E636" i="6"/>
  <c r="E635" i="6"/>
  <c r="K23" i="32"/>
  <c r="K17" i="32"/>
  <c r="M17" i="32" s="1"/>
  <c r="O17" i="32" s="1"/>
  <c r="N17" i="32" s="1"/>
  <c r="C638" i="6" s="1"/>
  <c r="K15" i="32"/>
  <c r="M15" i="32" s="1"/>
  <c r="O15" i="32" s="1"/>
  <c r="N15" i="32" s="1"/>
  <c r="C636" i="6" s="1"/>
  <c r="E634" i="6"/>
  <c r="E633" i="6"/>
  <c r="E631" i="6"/>
  <c r="E623" i="6"/>
  <c r="E628" i="6"/>
  <c r="E624" i="6"/>
  <c r="B9" i="32"/>
  <c r="K9" i="32"/>
  <c r="M9" i="32" s="1"/>
  <c r="O9" i="32" s="1"/>
  <c r="N9" i="32" s="1"/>
  <c r="C630" i="6" s="1"/>
  <c r="C1" i="33"/>
  <c r="M32" i="32"/>
  <c r="O32" i="32" s="1"/>
  <c r="N32" i="32" s="1"/>
  <c r="C653" i="6" s="1"/>
  <c r="M31" i="32"/>
  <c r="O31" i="32" s="1"/>
  <c r="N31" i="32" s="1"/>
  <c r="C652" i="6" s="1"/>
  <c r="M30" i="32"/>
  <c r="O30" i="32" s="1"/>
  <c r="N30" i="32" s="1"/>
  <c r="C651" i="6" s="1"/>
  <c r="M28" i="32"/>
  <c r="O28" i="32" s="1"/>
  <c r="N28" i="32" s="1"/>
  <c r="C649" i="6" s="1"/>
  <c r="M27" i="32"/>
  <c r="O27" i="32" s="1"/>
  <c r="N27" i="32" s="1"/>
  <c r="C648" i="6" s="1"/>
  <c r="M26" i="32"/>
  <c r="O26" i="32" s="1"/>
  <c r="N26" i="32" s="1"/>
  <c r="C647" i="6" s="1"/>
  <c r="M25" i="32"/>
  <c r="O25" i="32" s="1"/>
  <c r="N25" i="32" s="1"/>
  <c r="C646" i="6" s="1"/>
  <c r="M24" i="32"/>
  <c r="O24" i="32" s="1"/>
  <c r="N24" i="32" s="1"/>
  <c r="C645" i="6" s="1"/>
  <c r="M23" i="32"/>
  <c r="O23" i="32" s="1"/>
  <c r="N23" i="32" s="1"/>
  <c r="C644" i="6" s="1"/>
  <c r="M22" i="32"/>
  <c r="O22" i="32" s="1"/>
  <c r="N22" i="32" s="1"/>
  <c r="C643" i="6" s="1"/>
  <c r="M21" i="32"/>
  <c r="O21" i="32" s="1"/>
  <c r="N21" i="32" s="1"/>
  <c r="C642" i="6" s="1"/>
  <c r="M20" i="32"/>
  <c r="O20" i="32" s="1"/>
  <c r="N20" i="32" s="1"/>
  <c r="C641" i="6" s="1"/>
  <c r="M19" i="32"/>
  <c r="O19" i="32" s="1"/>
  <c r="N19" i="32" s="1"/>
  <c r="C640" i="6" s="1"/>
  <c r="M18" i="32"/>
  <c r="O18" i="32" s="1"/>
  <c r="N18" i="32" s="1"/>
  <c r="C639" i="6" s="1"/>
  <c r="M16" i="32"/>
  <c r="O16" i="32" s="1"/>
  <c r="N16" i="32" s="1"/>
  <c r="C637" i="6" s="1"/>
  <c r="M14" i="32"/>
  <c r="O14" i="32" s="1"/>
  <c r="N14" i="32" s="1"/>
  <c r="C635" i="6" s="1"/>
  <c r="M13" i="32"/>
  <c r="O13" i="32" s="1"/>
  <c r="N13" i="32" s="1"/>
  <c r="C634" i="6" s="1"/>
  <c r="M12" i="32"/>
  <c r="O12" i="32" s="1"/>
  <c r="N12" i="32" s="1"/>
  <c r="C633" i="6" s="1"/>
  <c r="M11" i="32"/>
  <c r="O11" i="32" s="1"/>
  <c r="N11" i="32" s="1"/>
  <c r="C632" i="6" s="1"/>
  <c r="M10" i="32"/>
  <c r="O10" i="32" s="1"/>
  <c r="N10" i="32" s="1"/>
  <c r="C631" i="6" s="1"/>
  <c r="M8" i="32"/>
  <c r="O8" i="32" s="1"/>
  <c r="N8" i="32" s="1"/>
  <c r="C629" i="6" s="1"/>
  <c r="M7" i="32"/>
  <c r="O7" i="32" s="1"/>
  <c r="N7" i="32" s="1"/>
  <c r="C628" i="6" s="1"/>
  <c r="M6" i="32"/>
  <c r="O6" i="32" s="1"/>
  <c r="N6" i="32" s="1"/>
  <c r="C627" i="6" s="1"/>
  <c r="M5" i="32"/>
  <c r="O5" i="32" s="1"/>
  <c r="N5" i="32" s="1"/>
  <c r="C626" i="6" s="1"/>
  <c r="M4" i="32"/>
  <c r="O4" i="32" s="1"/>
  <c r="N4" i="32" s="1"/>
  <c r="C625" i="6" s="1"/>
  <c r="M3" i="32"/>
  <c r="O3" i="32" s="1"/>
  <c r="N3" i="32" s="1"/>
  <c r="C624" i="6" s="1"/>
  <c r="M2" i="32"/>
  <c r="B621" i="6"/>
  <c r="E614" i="6"/>
  <c r="K25" i="31"/>
  <c r="K23" i="31"/>
  <c r="E608" i="6"/>
  <c r="E609" i="6"/>
  <c r="E602" i="6"/>
  <c r="E605" i="6"/>
  <c r="E600" i="6"/>
  <c r="E601" i="6"/>
  <c r="K11" i="31"/>
  <c r="M11" i="31" s="1"/>
  <c r="O11" i="31" s="1"/>
  <c r="N11" i="31" s="1"/>
  <c r="C601" i="6" s="1"/>
  <c r="E599" i="6"/>
  <c r="E598" i="6"/>
  <c r="E596" i="6"/>
  <c r="E595" i="6"/>
  <c r="E592" i="6"/>
  <c r="E586" i="6"/>
  <c r="M31" i="31"/>
  <c r="O31" i="31" s="1"/>
  <c r="N31" i="31" s="1"/>
  <c r="C621" i="6" s="1"/>
  <c r="M30" i="31"/>
  <c r="O30" i="31" s="1"/>
  <c r="N30" i="31" s="1"/>
  <c r="C620" i="6" s="1"/>
  <c r="M29" i="31"/>
  <c r="O29" i="31" s="1"/>
  <c r="N29" i="31" s="1"/>
  <c r="C619" i="6" s="1"/>
  <c r="M28" i="31"/>
  <c r="O28" i="31" s="1"/>
  <c r="N28" i="31" s="1"/>
  <c r="C618" i="6" s="1"/>
  <c r="M27" i="31"/>
  <c r="O27" i="31" s="1"/>
  <c r="N27" i="31" s="1"/>
  <c r="C617" i="6" s="1"/>
  <c r="M26" i="31"/>
  <c r="O26" i="31" s="1"/>
  <c r="N26" i="31" s="1"/>
  <c r="C616" i="6" s="1"/>
  <c r="M25" i="31"/>
  <c r="O25" i="31" s="1"/>
  <c r="N25" i="31" s="1"/>
  <c r="C615" i="6" s="1"/>
  <c r="M24" i="31"/>
  <c r="O24" i="31" s="1"/>
  <c r="N24" i="31" s="1"/>
  <c r="C614" i="6" s="1"/>
  <c r="M23" i="31"/>
  <c r="O23" i="31" s="1"/>
  <c r="N23" i="31" s="1"/>
  <c r="C613" i="6" s="1"/>
  <c r="M22" i="31"/>
  <c r="O22" i="31" s="1"/>
  <c r="N22" i="31" s="1"/>
  <c r="C612" i="6" s="1"/>
  <c r="M21" i="31"/>
  <c r="O21" i="31" s="1"/>
  <c r="N21" i="31" s="1"/>
  <c r="C611" i="6" s="1"/>
  <c r="M20" i="31"/>
  <c r="O20" i="31" s="1"/>
  <c r="N20" i="31" s="1"/>
  <c r="C610" i="6" s="1"/>
  <c r="M19" i="31"/>
  <c r="O19" i="31" s="1"/>
  <c r="N19" i="31" s="1"/>
  <c r="C609" i="6" s="1"/>
  <c r="M18" i="31"/>
  <c r="O18" i="31" s="1"/>
  <c r="N18" i="31" s="1"/>
  <c r="C608" i="6" s="1"/>
  <c r="M17" i="31"/>
  <c r="O17" i="31" s="1"/>
  <c r="N17" i="31" s="1"/>
  <c r="C607" i="6" s="1"/>
  <c r="M16" i="31"/>
  <c r="O16" i="31" s="1"/>
  <c r="N16" i="31" s="1"/>
  <c r="C606" i="6" s="1"/>
  <c r="M15" i="31"/>
  <c r="O15" i="31" s="1"/>
  <c r="N15" i="31" s="1"/>
  <c r="C605" i="6" s="1"/>
  <c r="M14" i="31"/>
  <c r="O14" i="31" s="1"/>
  <c r="N14" i="31" s="1"/>
  <c r="C604" i="6" s="1"/>
  <c r="M13" i="31"/>
  <c r="O13" i="31" s="1"/>
  <c r="N13" i="31" s="1"/>
  <c r="C603" i="6" s="1"/>
  <c r="M12" i="31"/>
  <c r="O12" i="31" s="1"/>
  <c r="N12" i="31" s="1"/>
  <c r="C602" i="6" s="1"/>
  <c r="M10" i="31"/>
  <c r="O10" i="31" s="1"/>
  <c r="N10" i="31" s="1"/>
  <c r="C600" i="6" s="1"/>
  <c r="M9" i="31"/>
  <c r="O9" i="31" s="1"/>
  <c r="N9" i="31" s="1"/>
  <c r="C599" i="6" s="1"/>
  <c r="M8" i="31"/>
  <c r="O8" i="31" s="1"/>
  <c r="N8" i="31" s="1"/>
  <c r="C598" i="6" s="1"/>
  <c r="M7" i="31"/>
  <c r="O7" i="31" s="1"/>
  <c r="N7" i="31" s="1"/>
  <c r="C597" i="6" s="1"/>
  <c r="M6" i="31"/>
  <c r="O6" i="31" s="1"/>
  <c r="N6" i="31" s="1"/>
  <c r="C596" i="6" s="1"/>
  <c r="M5" i="31"/>
  <c r="O5" i="31" s="1"/>
  <c r="N5" i="31" s="1"/>
  <c r="C595" i="6" s="1"/>
  <c r="M4" i="31"/>
  <c r="O4" i="31" s="1"/>
  <c r="N4" i="31" s="1"/>
  <c r="C594" i="6" s="1"/>
  <c r="M3" i="31"/>
  <c r="O3" i="31" s="1"/>
  <c r="N3" i="31" s="1"/>
  <c r="C593" i="6" s="1"/>
  <c r="M2" i="31"/>
  <c r="E576" i="6"/>
  <c r="E580" i="6"/>
  <c r="E584" i="6"/>
  <c r="E574" i="6"/>
  <c r="B578" i="6"/>
  <c r="E566" i="6"/>
  <c r="M32" i="30"/>
  <c r="O32" i="30" s="1"/>
  <c r="N32" i="30" s="1"/>
  <c r="C590" i="6" s="1"/>
  <c r="M31" i="30"/>
  <c r="O31" i="30" s="1"/>
  <c r="N31" i="30" s="1"/>
  <c r="C589" i="6" s="1"/>
  <c r="M30" i="30"/>
  <c r="O30" i="30" s="1"/>
  <c r="N30" i="30" s="1"/>
  <c r="C588" i="6" s="1"/>
  <c r="M29" i="30"/>
  <c r="O29" i="30" s="1"/>
  <c r="N29" i="30" s="1"/>
  <c r="C587" i="6" s="1"/>
  <c r="M28" i="30"/>
  <c r="O28" i="30" s="1"/>
  <c r="N28" i="30" s="1"/>
  <c r="C586" i="6" s="1"/>
  <c r="M27" i="30"/>
  <c r="O27" i="30" s="1"/>
  <c r="N27" i="30" s="1"/>
  <c r="C585" i="6" s="1"/>
  <c r="M26" i="30"/>
  <c r="O26" i="30" s="1"/>
  <c r="N26" i="30" s="1"/>
  <c r="C584" i="6" s="1"/>
  <c r="M25" i="30"/>
  <c r="O25" i="30" s="1"/>
  <c r="N25" i="30" s="1"/>
  <c r="C583" i="6" s="1"/>
  <c r="M24" i="30"/>
  <c r="O24" i="30" s="1"/>
  <c r="N24" i="30" s="1"/>
  <c r="C582" i="6" s="1"/>
  <c r="M23" i="30"/>
  <c r="O23" i="30" s="1"/>
  <c r="N23" i="30" s="1"/>
  <c r="C581" i="6" s="1"/>
  <c r="M22" i="30"/>
  <c r="O22" i="30" s="1"/>
  <c r="N22" i="30" s="1"/>
  <c r="C580" i="6" s="1"/>
  <c r="M21" i="30"/>
  <c r="O21" i="30" s="1"/>
  <c r="N21" i="30" s="1"/>
  <c r="C579" i="6" s="1"/>
  <c r="M20" i="30"/>
  <c r="O20" i="30" s="1"/>
  <c r="N20" i="30" s="1"/>
  <c r="C578" i="6" s="1"/>
  <c r="M19" i="30"/>
  <c r="O19" i="30" s="1"/>
  <c r="N19" i="30" s="1"/>
  <c r="C577" i="6" s="1"/>
  <c r="M18" i="30"/>
  <c r="O18" i="30" s="1"/>
  <c r="N18" i="30" s="1"/>
  <c r="C576" i="6" s="1"/>
  <c r="M17" i="30"/>
  <c r="O17" i="30" s="1"/>
  <c r="N17" i="30" s="1"/>
  <c r="C575" i="6" s="1"/>
  <c r="M16" i="30"/>
  <c r="O16" i="30" s="1"/>
  <c r="N16" i="30" s="1"/>
  <c r="C574" i="6" s="1"/>
  <c r="M15" i="30"/>
  <c r="O15" i="30" s="1"/>
  <c r="N15" i="30" s="1"/>
  <c r="C573" i="6" s="1"/>
  <c r="M14" i="30"/>
  <c r="O14" i="30" s="1"/>
  <c r="N14" i="30" s="1"/>
  <c r="C572" i="6" s="1"/>
  <c r="M13" i="30"/>
  <c r="O13" i="30" s="1"/>
  <c r="N13" i="30" s="1"/>
  <c r="C571" i="6" s="1"/>
  <c r="M12" i="30"/>
  <c r="O12" i="30" s="1"/>
  <c r="N12" i="30" s="1"/>
  <c r="C570" i="6" s="1"/>
  <c r="M11" i="30"/>
  <c r="O11" i="30" s="1"/>
  <c r="N11" i="30" s="1"/>
  <c r="C569" i="6" s="1"/>
  <c r="M10" i="30"/>
  <c r="O10" i="30" s="1"/>
  <c r="N10" i="30" s="1"/>
  <c r="C568" i="6" s="1"/>
  <c r="M9" i="30"/>
  <c r="O9" i="30" s="1"/>
  <c r="N9" i="30" s="1"/>
  <c r="C567" i="6" s="1"/>
  <c r="M8" i="30"/>
  <c r="O8" i="30" s="1"/>
  <c r="N8" i="30" s="1"/>
  <c r="C566" i="6" s="1"/>
  <c r="M7" i="30"/>
  <c r="O7" i="30" s="1"/>
  <c r="N7" i="30" s="1"/>
  <c r="C565" i="6" s="1"/>
  <c r="M6" i="30"/>
  <c r="O6" i="30" s="1"/>
  <c r="N6" i="30" s="1"/>
  <c r="C564" i="6" s="1"/>
  <c r="M5" i="30"/>
  <c r="O5" i="30" s="1"/>
  <c r="N5" i="30" s="1"/>
  <c r="C563" i="6" s="1"/>
  <c r="M4" i="30"/>
  <c r="O4" i="30" s="1"/>
  <c r="N4" i="30" s="1"/>
  <c r="C562" i="6" s="1"/>
  <c r="M3" i="30"/>
  <c r="O3" i="30" s="1"/>
  <c r="N3" i="30" s="1"/>
  <c r="C561" i="6" s="1"/>
  <c r="M2" i="30"/>
  <c r="E558" i="6"/>
  <c r="E553" i="6"/>
  <c r="B551" i="6"/>
  <c r="E551" i="6"/>
  <c r="E545" i="6"/>
  <c r="E547" i="6"/>
  <c r="E546" i="6"/>
  <c r="E548" i="6"/>
  <c r="E544" i="6"/>
  <c r="E542" i="6"/>
  <c r="B543" i="6"/>
  <c r="E541" i="6"/>
  <c r="C4" i="5"/>
  <c r="E535" i="6"/>
  <c r="E537" i="6"/>
  <c r="E527" i="6"/>
  <c r="E530" i="6"/>
  <c r="M32" i="29"/>
  <c r="O32" i="29" s="1"/>
  <c r="N32" i="29" s="1"/>
  <c r="M31" i="29"/>
  <c r="O31" i="29" s="1"/>
  <c r="N31" i="29" s="1"/>
  <c r="M30" i="29"/>
  <c r="O30" i="29" s="1"/>
  <c r="N30" i="29" s="1"/>
  <c r="C558" i="6" s="1"/>
  <c r="M29" i="29"/>
  <c r="O29" i="29" s="1"/>
  <c r="N29" i="29" s="1"/>
  <c r="C557" i="6" s="1"/>
  <c r="M28" i="29"/>
  <c r="O28" i="29" s="1"/>
  <c r="N28" i="29" s="1"/>
  <c r="C556" i="6" s="1"/>
  <c r="M27" i="29"/>
  <c r="O27" i="29" s="1"/>
  <c r="N27" i="29" s="1"/>
  <c r="C555" i="6" s="1"/>
  <c r="M26" i="29"/>
  <c r="O26" i="29" s="1"/>
  <c r="N26" i="29" s="1"/>
  <c r="C554" i="6" s="1"/>
  <c r="M25" i="29"/>
  <c r="O25" i="29" s="1"/>
  <c r="N25" i="29" s="1"/>
  <c r="C553" i="6" s="1"/>
  <c r="M24" i="29"/>
  <c r="O24" i="29" s="1"/>
  <c r="N24" i="29" s="1"/>
  <c r="C552" i="6" s="1"/>
  <c r="M23" i="29"/>
  <c r="O23" i="29" s="1"/>
  <c r="N23" i="29" s="1"/>
  <c r="C551" i="6" s="1"/>
  <c r="M22" i="29"/>
  <c r="O22" i="29" s="1"/>
  <c r="N22" i="29" s="1"/>
  <c r="C550" i="6" s="1"/>
  <c r="M21" i="29"/>
  <c r="O21" i="29" s="1"/>
  <c r="N21" i="29" s="1"/>
  <c r="C549" i="6" s="1"/>
  <c r="M20" i="29"/>
  <c r="O20" i="29" s="1"/>
  <c r="N20" i="29" s="1"/>
  <c r="C548" i="6" s="1"/>
  <c r="M19" i="29"/>
  <c r="O19" i="29" s="1"/>
  <c r="N19" i="29" s="1"/>
  <c r="C547" i="6" s="1"/>
  <c r="M18" i="29"/>
  <c r="O18" i="29" s="1"/>
  <c r="N18" i="29" s="1"/>
  <c r="C546" i="6" s="1"/>
  <c r="M17" i="29"/>
  <c r="O17" i="29" s="1"/>
  <c r="N17" i="29" s="1"/>
  <c r="C545" i="6" s="1"/>
  <c r="M16" i="29"/>
  <c r="O16" i="29" s="1"/>
  <c r="N16" i="29" s="1"/>
  <c r="C544" i="6" s="1"/>
  <c r="M15" i="29"/>
  <c r="O15" i="29" s="1"/>
  <c r="N15" i="29" s="1"/>
  <c r="C543" i="6" s="1"/>
  <c r="M14" i="29"/>
  <c r="O14" i="29" s="1"/>
  <c r="N14" i="29" s="1"/>
  <c r="C542" i="6" s="1"/>
  <c r="M13" i="29"/>
  <c r="O13" i="29" s="1"/>
  <c r="N13" i="29" s="1"/>
  <c r="C541" i="6" s="1"/>
  <c r="M12" i="29"/>
  <c r="O12" i="29" s="1"/>
  <c r="N12" i="29" s="1"/>
  <c r="C540" i="6" s="1"/>
  <c r="M11" i="29"/>
  <c r="O11" i="29" s="1"/>
  <c r="N11" i="29" s="1"/>
  <c r="C539" i="6" s="1"/>
  <c r="M10" i="29"/>
  <c r="O10" i="29" s="1"/>
  <c r="N10" i="29" s="1"/>
  <c r="C538" i="6" s="1"/>
  <c r="M9" i="29"/>
  <c r="O9" i="29" s="1"/>
  <c r="N9" i="29" s="1"/>
  <c r="C537" i="6" s="1"/>
  <c r="M8" i="29"/>
  <c r="O8" i="29" s="1"/>
  <c r="N8" i="29" s="1"/>
  <c r="C536" i="6" s="1"/>
  <c r="M7" i="29"/>
  <c r="O7" i="29" s="1"/>
  <c r="N7" i="29" s="1"/>
  <c r="C535" i="6" s="1"/>
  <c r="M6" i="29"/>
  <c r="O6" i="29" s="1"/>
  <c r="N6" i="29" s="1"/>
  <c r="C534" i="6" s="1"/>
  <c r="M5" i="29"/>
  <c r="O5" i="29" s="1"/>
  <c r="N5" i="29" s="1"/>
  <c r="C533" i="6" s="1"/>
  <c r="M4" i="29"/>
  <c r="O4" i="29" s="1"/>
  <c r="N4" i="29" s="1"/>
  <c r="C532" i="6" s="1"/>
  <c r="M3" i="29"/>
  <c r="O3" i="29" s="1"/>
  <c r="N3" i="29" s="1"/>
  <c r="C531" i="6" s="1"/>
  <c r="M2" i="29"/>
  <c r="E526" i="6"/>
  <c r="E523" i="6"/>
  <c r="E519" i="6"/>
  <c r="E522" i="6"/>
  <c r="E520" i="6"/>
  <c r="E515" i="6"/>
  <c r="E513" i="6"/>
  <c r="E516" i="6"/>
  <c r="E508" i="6"/>
  <c r="E506" i="6"/>
  <c r="E500" i="6"/>
  <c r="E487" i="6"/>
  <c r="E489" i="6"/>
  <c r="E488" i="6"/>
  <c r="E493" i="6"/>
  <c r="E501" i="6"/>
  <c r="C500" i="6"/>
  <c r="M32" i="28"/>
  <c r="O32" i="28" s="1"/>
  <c r="N32" i="28" s="1"/>
  <c r="C528" i="6" s="1"/>
  <c r="M31" i="28"/>
  <c r="O31" i="28" s="1"/>
  <c r="N31" i="28" s="1"/>
  <c r="C527" i="6" s="1"/>
  <c r="M30" i="28"/>
  <c r="O30" i="28" s="1"/>
  <c r="N30" i="28" s="1"/>
  <c r="C526" i="6" s="1"/>
  <c r="M29" i="28"/>
  <c r="O29" i="28" s="1"/>
  <c r="N29" i="28" s="1"/>
  <c r="C525" i="6" s="1"/>
  <c r="M28" i="28"/>
  <c r="O28" i="28" s="1"/>
  <c r="N28" i="28" s="1"/>
  <c r="C524" i="6" s="1"/>
  <c r="M27" i="28"/>
  <c r="O27" i="28" s="1"/>
  <c r="N27" i="28" s="1"/>
  <c r="C523" i="6" s="1"/>
  <c r="M26" i="28"/>
  <c r="O26" i="28" s="1"/>
  <c r="N26" i="28" s="1"/>
  <c r="C522" i="6" s="1"/>
  <c r="M25" i="28"/>
  <c r="O25" i="28" s="1"/>
  <c r="N25" i="28" s="1"/>
  <c r="C521" i="6" s="1"/>
  <c r="M24" i="28"/>
  <c r="O24" i="28" s="1"/>
  <c r="N24" i="28" s="1"/>
  <c r="C520" i="6" s="1"/>
  <c r="M23" i="28"/>
  <c r="O23" i="28" s="1"/>
  <c r="N23" i="28" s="1"/>
  <c r="C519" i="6" s="1"/>
  <c r="M22" i="28"/>
  <c r="O22" i="28" s="1"/>
  <c r="N22" i="28" s="1"/>
  <c r="C518" i="6" s="1"/>
  <c r="M21" i="28"/>
  <c r="O21" i="28" s="1"/>
  <c r="N21" i="28" s="1"/>
  <c r="C517" i="6" s="1"/>
  <c r="M20" i="28"/>
  <c r="O20" i="28" s="1"/>
  <c r="M19" i="28"/>
  <c r="O19" i="28" s="1"/>
  <c r="N19" i="28" s="1"/>
  <c r="C515" i="6" s="1"/>
  <c r="M18" i="28"/>
  <c r="O18" i="28" s="1"/>
  <c r="N18" i="28" s="1"/>
  <c r="C514" i="6" s="1"/>
  <c r="M17" i="28"/>
  <c r="O17" i="28" s="1"/>
  <c r="N17" i="28" s="1"/>
  <c r="C513" i="6" s="1"/>
  <c r="M16" i="28"/>
  <c r="O16" i="28" s="1"/>
  <c r="N16" i="28" s="1"/>
  <c r="C512" i="6" s="1"/>
  <c r="M15" i="28"/>
  <c r="O15" i="28" s="1"/>
  <c r="N15" i="28" s="1"/>
  <c r="C511" i="6" s="1"/>
  <c r="M14" i="28"/>
  <c r="O14" i="28" s="1"/>
  <c r="N14" i="28" s="1"/>
  <c r="C510" i="6" s="1"/>
  <c r="M13" i="28"/>
  <c r="O13" i="28" s="1"/>
  <c r="N13" i="28" s="1"/>
  <c r="C509" i="6" s="1"/>
  <c r="M12" i="28"/>
  <c r="O12" i="28" s="1"/>
  <c r="N12" i="28" s="1"/>
  <c r="C508" i="6" s="1"/>
  <c r="M11" i="28"/>
  <c r="O11" i="28" s="1"/>
  <c r="N11" i="28" s="1"/>
  <c r="C507" i="6" s="1"/>
  <c r="M10" i="28"/>
  <c r="O10" i="28" s="1"/>
  <c r="N10" i="28" s="1"/>
  <c r="C506" i="6" s="1"/>
  <c r="M9" i="28"/>
  <c r="O9" i="28" s="1"/>
  <c r="N9" i="28" s="1"/>
  <c r="C505" i="6" s="1"/>
  <c r="M8" i="28"/>
  <c r="O8" i="28" s="1"/>
  <c r="N8" i="28" s="1"/>
  <c r="C504" i="6" s="1"/>
  <c r="M7" i="28"/>
  <c r="O7" i="28" s="1"/>
  <c r="N7" i="28" s="1"/>
  <c r="C503" i="6" s="1"/>
  <c r="M6" i="28"/>
  <c r="O6" i="28" s="1"/>
  <c r="N6" i="28" s="1"/>
  <c r="C502" i="6" s="1"/>
  <c r="M5" i="28"/>
  <c r="O5" i="28" s="1"/>
  <c r="N5" i="28" s="1"/>
  <c r="C501" i="6" s="1"/>
  <c r="M4" i="28"/>
  <c r="O4" i="28" s="1"/>
  <c r="N4" i="28" s="1"/>
  <c r="M3" i="28"/>
  <c r="O3" i="28" s="1"/>
  <c r="N3" i="28" s="1"/>
  <c r="C499" i="6" s="1"/>
  <c r="M2" i="28"/>
  <c r="C31" i="27"/>
  <c r="E484" i="6"/>
  <c r="E486" i="6"/>
  <c r="E460" i="6"/>
  <c r="E461" i="6"/>
  <c r="E472" i="6"/>
  <c r="E476" i="6"/>
  <c r="E473" i="6"/>
  <c r="E471" i="6"/>
  <c r="N22" i="26"/>
  <c r="M6" i="27"/>
  <c r="O6" i="27"/>
  <c r="N6" i="27" s="1"/>
  <c r="M7" i="27"/>
  <c r="O7" i="27"/>
  <c r="N7" i="27" s="1"/>
  <c r="C471" i="6" s="1"/>
  <c r="M8" i="27"/>
  <c r="O8" i="27"/>
  <c r="N8" i="27" s="1"/>
  <c r="C472" i="6" s="1"/>
  <c r="M9" i="27"/>
  <c r="O9" i="27"/>
  <c r="N9" i="27" s="1"/>
  <c r="C473" i="6" s="1"/>
  <c r="M10" i="27"/>
  <c r="O10" i="27"/>
  <c r="N10" i="27" s="1"/>
  <c r="M11" i="27"/>
  <c r="O11" i="27"/>
  <c r="N11" i="27" s="1"/>
  <c r="C475" i="6" s="1"/>
  <c r="M12" i="27"/>
  <c r="O12" i="27"/>
  <c r="N12" i="27" s="1"/>
  <c r="M13" i="27"/>
  <c r="O13" i="27"/>
  <c r="N13" i="27" s="1"/>
  <c r="C477" i="6" s="1"/>
  <c r="C474" i="6"/>
  <c r="C476" i="6"/>
  <c r="K25" i="26"/>
  <c r="M25" i="26" s="1"/>
  <c r="O25" i="26" s="1"/>
  <c r="M32" i="27"/>
  <c r="O32" i="27" s="1"/>
  <c r="N32" i="27" s="1"/>
  <c r="C496" i="6" s="1"/>
  <c r="M31" i="27"/>
  <c r="O31" i="27" s="1"/>
  <c r="N31" i="27" s="1"/>
  <c r="C495" i="6" s="1"/>
  <c r="M30" i="27"/>
  <c r="O30" i="27" s="1"/>
  <c r="N30" i="27" s="1"/>
  <c r="C494" i="6" s="1"/>
  <c r="M29" i="27"/>
  <c r="O29" i="27" s="1"/>
  <c r="N29" i="27" s="1"/>
  <c r="C493" i="6" s="1"/>
  <c r="M28" i="27"/>
  <c r="O28" i="27" s="1"/>
  <c r="N28" i="27" s="1"/>
  <c r="C492" i="6" s="1"/>
  <c r="M27" i="27"/>
  <c r="O27" i="27" s="1"/>
  <c r="N27" i="27" s="1"/>
  <c r="C491" i="6" s="1"/>
  <c r="M26" i="27"/>
  <c r="O26" i="27" s="1"/>
  <c r="N26" i="27" s="1"/>
  <c r="C490" i="6" s="1"/>
  <c r="M25" i="27"/>
  <c r="O25" i="27" s="1"/>
  <c r="N25" i="27" s="1"/>
  <c r="C489" i="6" s="1"/>
  <c r="M24" i="27"/>
  <c r="O24" i="27" s="1"/>
  <c r="N24" i="27" s="1"/>
  <c r="C488" i="6" s="1"/>
  <c r="M23" i="27"/>
  <c r="O23" i="27" s="1"/>
  <c r="N23" i="27" s="1"/>
  <c r="C487" i="6" s="1"/>
  <c r="M22" i="27"/>
  <c r="O22" i="27" s="1"/>
  <c r="N22" i="27" s="1"/>
  <c r="C486" i="6" s="1"/>
  <c r="M21" i="27"/>
  <c r="O21" i="27" s="1"/>
  <c r="N21" i="27" s="1"/>
  <c r="C485" i="6" s="1"/>
  <c r="M20" i="27"/>
  <c r="O20" i="27" s="1"/>
  <c r="N20" i="27" s="1"/>
  <c r="C484" i="6" s="1"/>
  <c r="M19" i="27"/>
  <c r="O19" i="27" s="1"/>
  <c r="N19" i="27" s="1"/>
  <c r="C483" i="6" s="1"/>
  <c r="M18" i="27"/>
  <c r="O18" i="27" s="1"/>
  <c r="N18" i="27" s="1"/>
  <c r="C482" i="6" s="1"/>
  <c r="M17" i="27"/>
  <c r="O17" i="27" s="1"/>
  <c r="N17" i="27" s="1"/>
  <c r="C481" i="6" s="1"/>
  <c r="M16" i="27"/>
  <c r="O16" i="27" s="1"/>
  <c r="N16" i="27" s="1"/>
  <c r="C480" i="6" s="1"/>
  <c r="M15" i="27"/>
  <c r="O15" i="27" s="1"/>
  <c r="N15" i="27" s="1"/>
  <c r="C479" i="6" s="1"/>
  <c r="M14" i="27"/>
  <c r="O14" i="27" s="1"/>
  <c r="N14" i="27" s="1"/>
  <c r="C478" i="6" s="1"/>
  <c r="C470" i="6"/>
  <c r="M5" i="27"/>
  <c r="O5" i="27" s="1"/>
  <c r="N5" i="27" s="1"/>
  <c r="C469" i="6" s="1"/>
  <c r="M4" i="27"/>
  <c r="O4" i="27" s="1"/>
  <c r="N4" i="27" s="1"/>
  <c r="C468" i="6" s="1"/>
  <c r="M3" i="27"/>
  <c r="O3" i="27" s="1"/>
  <c r="N3" i="27" s="1"/>
  <c r="C467" i="6" s="1"/>
  <c r="M2" i="27"/>
  <c r="E453" i="6"/>
  <c r="E451" i="6"/>
  <c r="E456" i="6"/>
  <c r="E452" i="6"/>
  <c r="K23" i="26"/>
  <c r="K21" i="26"/>
  <c r="E450" i="6"/>
  <c r="E449" i="6"/>
  <c r="E448" i="6"/>
  <c r="E447" i="6"/>
  <c r="E442" i="6"/>
  <c r="E446" i="6"/>
  <c r="E434" i="6"/>
  <c r="E432" i="6"/>
  <c r="E435" i="6"/>
  <c r="E436" i="6"/>
  <c r="M32" i="26"/>
  <c r="O32" i="26" s="1"/>
  <c r="N32" i="26" s="1"/>
  <c r="C464" i="6" s="1"/>
  <c r="M31" i="26"/>
  <c r="O31" i="26" s="1"/>
  <c r="N31" i="26" s="1"/>
  <c r="M30" i="26"/>
  <c r="O30" i="26" s="1"/>
  <c r="N30" i="26" s="1"/>
  <c r="M29" i="26"/>
  <c r="O29" i="26" s="1"/>
  <c r="N29" i="26" s="1"/>
  <c r="M28" i="26"/>
  <c r="O28" i="26" s="1"/>
  <c r="N28" i="26" s="1"/>
  <c r="M27" i="26"/>
  <c r="O27" i="26" s="1"/>
  <c r="N27" i="26" s="1"/>
  <c r="M26" i="26"/>
  <c r="O26" i="26" s="1"/>
  <c r="N26" i="26" s="1"/>
  <c r="C458" i="6" s="1"/>
  <c r="M24" i="26"/>
  <c r="O24" i="26" s="1"/>
  <c r="N24" i="26" s="1"/>
  <c r="C456" i="6" s="1"/>
  <c r="M23" i="26"/>
  <c r="O23" i="26" s="1"/>
  <c r="N23" i="26" s="1"/>
  <c r="C455" i="6" s="1"/>
  <c r="M22" i="26"/>
  <c r="O22" i="26" s="1"/>
  <c r="M21" i="26"/>
  <c r="O21" i="26" s="1"/>
  <c r="N21" i="26" s="1"/>
  <c r="C453" i="6" s="1"/>
  <c r="M20" i="26"/>
  <c r="O20" i="26" s="1"/>
  <c r="N20" i="26" s="1"/>
  <c r="C452" i="6" s="1"/>
  <c r="M19" i="26"/>
  <c r="O19" i="26" s="1"/>
  <c r="N19" i="26" s="1"/>
  <c r="C451" i="6" s="1"/>
  <c r="M18" i="26"/>
  <c r="O18" i="26" s="1"/>
  <c r="N18" i="26" s="1"/>
  <c r="C450" i="6" s="1"/>
  <c r="M17" i="26"/>
  <c r="O17" i="26" s="1"/>
  <c r="N17" i="26" s="1"/>
  <c r="C449" i="6" s="1"/>
  <c r="M16" i="26"/>
  <c r="O16" i="26" s="1"/>
  <c r="N16" i="26" s="1"/>
  <c r="C448" i="6" s="1"/>
  <c r="M15" i="26"/>
  <c r="O15" i="26" s="1"/>
  <c r="N15" i="26" s="1"/>
  <c r="C447" i="6" s="1"/>
  <c r="M14" i="26"/>
  <c r="O14" i="26" s="1"/>
  <c r="N14" i="26" s="1"/>
  <c r="C446" i="6" s="1"/>
  <c r="M13" i="26"/>
  <c r="O13" i="26" s="1"/>
  <c r="N13" i="26" s="1"/>
  <c r="C445" i="6" s="1"/>
  <c r="M12" i="26"/>
  <c r="O12" i="26" s="1"/>
  <c r="N12" i="26" s="1"/>
  <c r="C444" i="6" s="1"/>
  <c r="M11" i="26"/>
  <c r="O11" i="26" s="1"/>
  <c r="N11" i="26" s="1"/>
  <c r="C443" i="6" s="1"/>
  <c r="M10" i="26"/>
  <c r="O10" i="26" s="1"/>
  <c r="N10" i="26" s="1"/>
  <c r="C442" i="6" s="1"/>
  <c r="M9" i="26"/>
  <c r="O9" i="26" s="1"/>
  <c r="N9" i="26" s="1"/>
  <c r="C441" i="6" s="1"/>
  <c r="M8" i="26"/>
  <c r="O8" i="26" s="1"/>
  <c r="N8" i="26" s="1"/>
  <c r="C440" i="6" s="1"/>
  <c r="M7" i="26"/>
  <c r="O7" i="26" s="1"/>
  <c r="N7" i="26" s="1"/>
  <c r="C439" i="6" s="1"/>
  <c r="M6" i="26"/>
  <c r="O6" i="26" s="1"/>
  <c r="N6" i="26" s="1"/>
  <c r="C438" i="6" s="1"/>
  <c r="M5" i="26"/>
  <c r="O5" i="26" s="1"/>
  <c r="N5" i="26" s="1"/>
  <c r="C437" i="6" s="1"/>
  <c r="M4" i="26"/>
  <c r="O4" i="26" s="1"/>
  <c r="N4" i="26" s="1"/>
  <c r="C436" i="6" s="1"/>
  <c r="M3" i="26"/>
  <c r="O3" i="26" s="1"/>
  <c r="N3" i="26" s="1"/>
  <c r="C435" i="6" s="1"/>
  <c r="M2" i="26"/>
  <c r="M31" i="25"/>
  <c r="O31" i="25" s="1"/>
  <c r="M32" i="25"/>
  <c r="O32" i="25" s="1"/>
  <c r="N32" i="25" s="1"/>
  <c r="C432" i="6" s="1"/>
  <c r="M29" i="25"/>
  <c r="O29" i="25" s="1"/>
  <c r="N29" i="25" s="1"/>
  <c r="C429" i="6" s="1"/>
  <c r="E424" i="6"/>
  <c r="E421" i="6"/>
  <c r="E419" i="6"/>
  <c r="E422" i="6"/>
  <c r="E428" i="6"/>
  <c r="E427" i="6"/>
  <c r="K27" i="25"/>
  <c r="M27" i="25" s="1"/>
  <c r="O27" i="25" s="1"/>
  <c r="N27" i="25" s="1"/>
  <c r="C427" i="6" s="1"/>
  <c r="E420" i="6"/>
  <c r="E418" i="6"/>
  <c r="E417" i="6"/>
  <c r="E410" i="6"/>
  <c r="E411" i="6"/>
  <c r="E414" i="6"/>
  <c r="K12" i="25"/>
  <c r="M12" i="25" s="1"/>
  <c r="O12" i="25" s="1"/>
  <c r="N12" i="25" s="1"/>
  <c r="C412" i="6" s="1"/>
  <c r="K11" i="25"/>
  <c r="M11" i="25" s="1"/>
  <c r="O11" i="25" s="1"/>
  <c r="N11" i="25" s="1"/>
  <c r="C411" i="6" s="1"/>
  <c r="K6" i="25"/>
  <c r="E405" i="6"/>
  <c r="E404" i="6"/>
  <c r="E398" i="6"/>
  <c r="E403" i="6"/>
  <c r="K5" i="25"/>
  <c r="N31" i="25"/>
  <c r="C431" i="6" s="1"/>
  <c r="M30" i="25"/>
  <c r="O30" i="25" s="1"/>
  <c r="N30" i="25" s="1"/>
  <c r="C430" i="6" s="1"/>
  <c r="M28" i="25"/>
  <c r="O28" i="25" s="1"/>
  <c r="N28" i="25" s="1"/>
  <c r="C428" i="6" s="1"/>
  <c r="M26" i="25"/>
  <c r="O26" i="25" s="1"/>
  <c r="N26" i="25" s="1"/>
  <c r="C426" i="6" s="1"/>
  <c r="M25" i="25"/>
  <c r="O25" i="25" s="1"/>
  <c r="N25" i="25" s="1"/>
  <c r="C425" i="6" s="1"/>
  <c r="M24" i="25"/>
  <c r="O24" i="25" s="1"/>
  <c r="N24" i="25" s="1"/>
  <c r="C424" i="6" s="1"/>
  <c r="M23" i="25"/>
  <c r="O23" i="25" s="1"/>
  <c r="N23" i="25" s="1"/>
  <c r="C423" i="6" s="1"/>
  <c r="M22" i="25"/>
  <c r="O22" i="25" s="1"/>
  <c r="N22" i="25" s="1"/>
  <c r="C422" i="6" s="1"/>
  <c r="M21" i="25"/>
  <c r="O21" i="25" s="1"/>
  <c r="N21" i="25" s="1"/>
  <c r="C421" i="6" s="1"/>
  <c r="M20" i="25"/>
  <c r="O20" i="25" s="1"/>
  <c r="N20" i="25" s="1"/>
  <c r="C420" i="6" s="1"/>
  <c r="M19" i="25"/>
  <c r="O19" i="25" s="1"/>
  <c r="N19" i="25" s="1"/>
  <c r="C419" i="6" s="1"/>
  <c r="M18" i="25"/>
  <c r="O18" i="25" s="1"/>
  <c r="N18" i="25" s="1"/>
  <c r="C418" i="6" s="1"/>
  <c r="M17" i="25"/>
  <c r="O17" i="25" s="1"/>
  <c r="N17" i="25" s="1"/>
  <c r="C417" i="6" s="1"/>
  <c r="M16" i="25"/>
  <c r="O16" i="25" s="1"/>
  <c r="N16" i="25" s="1"/>
  <c r="C416" i="6" s="1"/>
  <c r="M15" i="25"/>
  <c r="O15" i="25" s="1"/>
  <c r="N15" i="25" s="1"/>
  <c r="C415" i="6" s="1"/>
  <c r="M14" i="25"/>
  <c r="O14" i="25" s="1"/>
  <c r="N14" i="25" s="1"/>
  <c r="C414" i="6" s="1"/>
  <c r="M13" i="25"/>
  <c r="O13" i="25" s="1"/>
  <c r="N13" i="25" s="1"/>
  <c r="C413" i="6" s="1"/>
  <c r="M10" i="25"/>
  <c r="O10" i="25" s="1"/>
  <c r="N10" i="25" s="1"/>
  <c r="C410" i="6" s="1"/>
  <c r="M9" i="25"/>
  <c r="O9" i="25" s="1"/>
  <c r="N9" i="25" s="1"/>
  <c r="C409" i="6" s="1"/>
  <c r="M8" i="25"/>
  <c r="O8" i="25" s="1"/>
  <c r="N8" i="25" s="1"/>
  <c r="C408" i="6" s="1"/>
  <c r="M7" i="25"/>
  <c r="O7" i="25" s="1"/>
  <c r="N7" i="25" s="1"/>
  <c r="C407" i="6" s="1"/>
  <c r="M6" i="25"/>
  <c r="O6" i="25" s="1"/>
  <c r="N6" i="25" s="1"/>
  <c r="C406" i="6" s="1"/>
  <c r="M5" i="25"/>
  <c r="O5" i="25" s="1"/>
  <c r="N5" i="25" s="1"/>
  <c r="C405" i="6" s="1"/>
  <c r="M4" i="25"/>
  <c r="O4" i="25" s="1"/>
  <c r="N4" i="25" s="1"/>
  <c r="C404" i="6" s="1"/>
  <c r="M3" i="25"/>
  <c r="O3" i="25" s="1"/>
  <c r="N3" i="25" s="1"/>
  <c r="C403" i="6" s="1"/>
  <c r="M2" i="25"/>
  <c r="B399" i="6"/>
  <c r="E394" i="6"/>
  <c r="E393" i="6"/>
  <c r="E389" i="6"/>
  <c r="E391" i="6"/>
  <c r="E385" i="6"/>
  <c r="E386" i="6"/>
  <c r="E390" i="6"/>
  <c r="E395" i="6"/>
  <c r="K23" i="23"/>
  <c r="M23" i="23" s="1"/>
  <c r="O23" i="23" s="1"/>
  <c r="N23" i="23" s="1"/>
  <c r="C392" i="6" s="1"/>
  <c r="E382" i="6"/>
  <c r="E383" i="6"/>
  <c r="E381" i="6"/>
  <c r="E384" i="6"/>
  <c r="K13" i="23"/>
  <c r="E380" i="6"/>
  <c r="E374" i="6"/>
  <c r="O32" i="23"/>
  <c r="N32" i="23" s="1"/>
  <c r="M31" i="23"/>
  <c r="O31" i="23" s="1"/>
  <c r="N31" i="23" s="1"/>
  <c r="M30" i="23"/>
  <c r="O30" i="23" s="1"/>
  <c r="N30" i="23" s="1"/>
  <c r="M29" i="23"/>
  <c r="O29" i="23" s="1"/>
  <c r="N29" i="23" s="1"/>
  <c r="M28" i="23"/>
  <c r="O28" i="23" s="1"/>
  <c r="N28" i="23" s="1"/>
  <c r="M27" i="23"/>
  <c r="O27" i="23" s="1"/>
  <c r="N27" i="23" s="1"/>
  <c r="M26" i="23"/>
  <c r="O26" i="23" s="1"/>
  <c r="N26" i="23" s="1"/>
  <c r="M25" i="23"/>
  <c r="O25" i="23" s="1"/>
  <c r="N25" i="23" s="1"/>
  <c r="M24" i="23"/>
  <c r="O24" i="23" s="1"/>
  <c r="N24" i="23" s="1"/>
  <c r="M22" i="23"/>
  <c r="O22" i="23" s="1"/>
  <c r="N22" i="23" s="1"/>
  <c r="M21" i="23"/>
  <c r="O21" i="23" s="1"/>
  <c r="N21" i="23" s="1"/>
  <c r="M20" i="23"/>
  <c r="O20" i="23" s="1"/>
  <c r="N20" i="23" s="1"/>
  <c r="M19" i="23"/>
  <c r="O19" i="23" s="1"/>
  <c r="N19" i="23" s="1"/>
  <c r="M18" i="23"/>
  <c r="O18" i="23" s="1"/>
  <c r="N18" i="23" s="1"/>
  <c r="M17" i="23"/>
  <c r="O17" i="23" s="1"/>
  <c r="N17" i="23" s="1"/>
  <c r="M16" i="23"/>
  <c r="O16" i="23" s="1"/>
  <c r="N16" i="23" s="1"/>
  <c r="M15" i="23"/>
  <c r="O15" i="23" s="1"/>
  <c r="N15" i="23" s="1"/>
  <c r="M14" i="23"/>
  <c r="O14" i="23" s="1"/>
  <c r="N14" i="23" s="1"/>
  <c r="M13" i="23"/>
  <c r="O13" i="23" s="1"/>
  <c r="N13" i="23" s="1"/>
  <c r="M12" i="23"/>
  <c r="O12" i="23" s="1"/>
  <c r="N12" i="23" s="1"/>
  <c r="M11" i="23"/>
  <c r="O11" i="23" s="1"/>
  <c r="N11" i="23" s="1"/>
  <c r="M10" i="23"/>
  <c r="O10" i="23" s="1"/>
  <c r="N10" i="23" s="1"/>
  <c r="M9" i="23"/>
  <c r="O9" i="23" s="1"/>
  <c r="N9" i="23" s="1"/>
  <c r="M8" i="23"/>
  <c r="O8" i="23" s="1"/>
  <c r="N8" i="23" s="1"/>
  <c r="M7" i="23"/>
  <c r="O7" i="23" s="1"/>
  <c r="N7" i="23" s="1"/>
  <c r="M6" i="23"/>
  <c r="O6" i="23" s="1"/>
  <c r="N6" i="23" s="1"/>
  <c r="M5" i="23"/>
  <c r="O5" i="23" s="1"/>
  <c r="N5" i="23" s="1"/>
  <c r="M4" i="23"/>
  <c r="O4" i="23" s="1"/>
  <c r="N4" i="23" s="1"/>
  <c r="M3" i="23"/>
  <c r="O3" i="23" s="1"/>
  <c r="N3" i="23" s="1"/>
  <c r="M2" i="23"/>
  <c r="M32" i="22"/>
  <c r="O32" i="22" s="1"/>
  <c r="N32" i="22" s="1"/>
  <c r="M31" i="22"/>
  <c r="O31" i="22" s="1"/>
  <c r="N31" i="22" s="1"/>
  <c r="M30" i="22"/>
  <c r="O30" i="22" s="1"/>
  <c r="N30" i="22" s="1"/>
  <c r="M29" i="22"/>
  <c r="O29" i="22" s="1"/>
  <c r="N29" i="22" s="1"/>
  <c r="M28" i="22"/>
  <c r="O28" i="22" s="1"/>
  <c r="N28" i="22" s="1"/>
  <c r="M27" i="22"/>
  <c r="O27" i="22" s="1"/>
  <c r="N27" i="22" s="1"/>
  <c r="M26" i="22"/>
  <c r="O26" i="22" s="1"/>
  <c r="N26" i="22" s="1"/>
  <c r="M25" i="22"/>
  <c r="O25" i="22" s="1"/>
  <c r="N25" i="22" s="1"/>
  <c r="K24" i="22"/>
  <c r="M24" i="22" s="1"/>
  <c r="O24" i="22" s="1"/>
  <c r="N24" i="22" s="1"/>
  <c r="M23" i="22"/>
  <c r="O23" i="22" s="1"/>
  <c r="N23" i="22" s="1"/>
  <c r="M22" i="22"/>
  <c r="O22" i="22" s="1"/>
  <c r="N22" i="22" s="1"/>
  <c r="M21" i="22"/>
  <c r="O21" i="22" s="1"/>
  <c r="N21" i="22" s="1"/>
  <c r="M20" i="22"/>
  <c r="O20" i="22" s="1"/>
  <c r="N20" i="22" s="1"/>
  <c r="M19" i="22"/>
  <c r="O19" i="22" s="1"/>
  <c r="N19" i="22" s="1"/>
  <c r="M18" i="22"/>
  <c r="O18" i="22" s="1"/>
  <c r="N18" i="22" s="1"/>
  <c r="M17" i="22"/>
  <c r="O17" i="22" s="1"/>
  <c r="N17" i="22" s="1"/>
  <c r="M16" i="22"/>
  <c r="O16" i="22" s="1"/>
  <c r="N16" i="22" s="1"/>
  <c r="M15" i="22"/>
  <c r="O15" i="22" s="1"/>
  <c r="N15" i="22" s="1"/>
  <c r="M14" i="22"/>
  <c r="O14" i="22" s="1"/>
  <c r="N14" i="22" s="1"/>
  <c r="M13" i="22"/>
  <c r="O13" i="22" s="1"/>
  <c r="N13" i="22" s="1"/>
  <c r="M12" i="22"/>
  <c r="O12" i="22" s="1"/>
  <c r="N12" i="22" s="1"/>
  <c r="M11" i="22"/>
  <c r="O11" i="22" s="1"/>
  <c r="N11" i="22" s="1"/>
  <c r="M10" i="22"/>
  <c r="O10" i="22" s="1"/>
  <c r="N10" i="22" s="1"/>
  <c r="M9" i="22"/>
  <c r="O9" i="22" s="1"/>
  <c r="N9" i="22" s="1"/>
  <c r="M8" i="22"/>
  <c r="O8" i="22" s="1"/>
  <c r="N8" i="22" s="1"/>
  <c r="M7" i="22"/>
  <c r="O7" i="22" s="1"/>
  <c r="N7" i="22" s="1"/>
  <c r="M6" i="22"/>
  <c r="O6" i="22" s="1"/>
  <c r="N6" i="22" s="1"/>
  <c r="M5" i="22"/>
  <c r="O5" i="22" s="1"/>
  <c r="N5" i="22" s="1"/>
  <c r="M4" i="22"/>
  <c r="O4" i="22" s="1"/>
  <c r="N4" i="22" s="1"/>
  <c r="M3" i="22"/>
  <c r="O3" i="22" s="1"/>
  <c r="N3" i="22" s="1"/>
  <c r="M2" i="22"/>
  <c r="M32" i="21"/>
  <c r="O32" i="21" s="1"/>
  <c r="N32" i="21" s="1"/>
  <c r="M31" i="21"/>
  <c r="O31" i="21" s="1"/>
  <c r="N31" i="21" s="1"/>
  <c r="M30" i="21"/>
  <c r="O30" i="21" s="1"/>
  <c r="N30" i="21" s="1"/>
  <c r="K29" i="21"/>
  <c r="M29" i="21" s="1"/>
  <c r="O29" i="21" s="1"/>
  <c r="N29" i="21" s="1"/>
  <c r="M28" i="21"/>
  <c r="O28" i="21" s="1"/>
  <c r="N28" i="21" s="1"/>
  <c r="M27" i="21"/>
  <c r="O27" i="21" s="1"/>
  <c r="N27" i="21" s="1"/>
  <c r="K26" i="21"/>
  <c r="M26" i="21" s="1"/>
  <c r="O26" i="21" s="1"/>
  <c r="N26" i="21" s="1"/>
  <c r="M25" i="21"/>
  <c r="O25" i="21" s="1"/>
  <c r="N25" i="21" s="1"/>
  <c r="M24" i="21"/>
  <c r="O24" i="21" s="1"/>
  <c r="N24" i="21" s="1"/>
  <c r="M23" i="21"/>
  <c r="O23" i="21" s="1"/>
  <c r="N23" i="21" s="1"/>
  <c r="M22" i="21"/>
  <c r="O22" i="21" s="1"/>
  <c r="N22" i="21" s="1"/>
  <c r="M21" i="21"/>
  <c r="O21" i="21" s="1"/>
  <c r="N21" i="21" s="1"/>
  <c r="M20" i="21"/>
  <c r="O20" i="21" s="1"/>
  <c r="N20" i="21" s="1"/>
  <c r="M19" i="21"/>
  <c r="O19" i="21" s="1"/>
  <c r="N19" i="21" s="1"/>
  <c r="K18" i="21"/>
  <c r="M18" i="21" s="1"/>
  <c r="O18" i="21" s="1"/>
  <c r="N18" i="21" s="1"/>
  <c r="M17" i="21"/>
  <c r="O17" i="21" s="1"/>
  <c r="N17" i="21" s="1"/>
  <c r="M16" i="21"/>
  <c r="O16" i="21" s="1"/>
  <c r="N16" i="21" s="1"/>
  <c r="M15" i="21"/>
  <c r="O15" i="21" s="1"/>
  <c r="N15" i="21" s="1"/>
  <c r="M14" i="21"/>
  <c r="O14" i="21" s="1"/>
  <c r="N14" i="21" s="1"/>
  <c r="M13" i="21"/>
  <c r="O13" i="21" s="1"/>
  <c r="N13" i="21" s="1"/>
  <c r="M12" i="21"/>
  <c r="O12" i="21" s="1"/>
  <c r="N12" i="21" s="1"/>
  <c r="M11" i="21"/>
  <c r="O11" i="21" s="1"/>
  <c r="N11" i="21" s="1"/>
  <c r="M10" i="21"/>
  <c r="O10" i="21" s="1"/>
  <c r="N10" i="21" s="1"/>
  <c r="M9" i="21"/>
  <c r="O9" i="21" s="1"/>
  <c r="N9" i="21" s="1"/>
  <c r="M8" i="21"/>
  <c r="O8" i="21" s="1"/>
  <c r="N8" i="21" s="1"/>
  <c r="M7" i="21"/>
  <c r="O7" i="21" s="1"/>
  <c r="N7" i="21" s="1"/>
  <c r="M6" i="21"/>
  <c r="O6" i="21" s="1"/>
  <c r="N6" i="21" s="1"/>
  <c r="M5" i="21"/>
  <c r="O5" i="21" s="1"/>
  <c r="N5" i="21" s="1"/>
  <c r="M4" i="21"/>
  <c r="O4" i="21" s="1"/>
  <c r="N4" i="21" s="1"/>
  <c r="M3" i="21"/>
  <c r="O3" i="21" s="1"/>
  <c r="N3" i="21" s="1"/>
  <c r="M2" i="21"/>
  <c r="M32" i="20"/>
  <c r="O32" i="20" s="1"/>
  <c r="N32" i="20" s="1"/>
  <c r="M31" i="20"/>
  <c r="O31" i="20" s="1"/>
  <c r="N31" i="20" s="1"/>
  <c r="M30" i="20"/>
  <c r="O30" i="20" s="1"/>
  <c r="N30" i="20" s="1"/>
  <c r="M29" i="20"/>
  <c r="O29" i="20" s="1"/>
  <c r="N29" i="20" s="1"/>
  <c r="M28" i="20"/>
  <c r="O28" i="20" s="1"/>
  <c r="N28" i="20" s="1"/>
  <c r="M27" i="20"/>
  <c r="O27" i="20" s="1"/>
  <c r="N27" i="20" s="1"/>
  <c r="M26" i="20"/>
  <c r="O26" i="20" s="1"/>
  <c r="N26" i="20" s="1"/>
  <c r="M25" i="20"/>
  <c r="O25" i="20" s="1"/>
  <c r="N25" i="20" s="1"/>
  <c r="M24" i="20"/>
  <c r="O24" i="20" s="1"/>
  <c r="N24" i="20" s="1"/>
  <c r="M23" i="20"/>
  <c r="O23" i="20" s="1"/>
  <c r="N23" i="20" s="1"/>
  <c r="M22" i="20"/>
  <c r="O22" i="20" s="1"/>
  <c r="N22" i="20" s="1"/>
  <c r="M21" i="20"/>
  <c r="O21" i="20" s="1"/>
  <c r="N21" i="20" s="1"/>
  <c r="M20" i="20"/>
  <c r="O20" i="20" s="1"/>
  <c r="N20" i="20" s="1"/>
  <c r="M19" i="20"/>
  <c r="O19" i="20" s="1"/>
  <c r="N19" i="20" s="1"/>
  <c r="M18" i="20"/>
  <c r="O18" i="20" s="1"/>
  <c r="N18" i="20" s="1"/>
  <c r="M17" i="20"/>
  <c r="O17" i="20" s="1"/>
  <c r="N17" i="20" s="1"/>
  <c r="M16" i="20"/>
  <c r="O16" i="20" s="1"/>
  <c r="N16" i="20" s="1"/>
  <c r="M15" i="20"/>
  <c r="O15" i="20" s="1"/>
  <c r="N15" i="20" s="1"/>
  <c r="M14" i="20"/>
  <c r="O14" i="20" s="1"/>
  <c r="N14" i="20" s="1"/>
  <c r="M13" i="20"/>
  <c r="O13" i="20" s="1"/>
  <c r="N13" i="20" s="1"/>
  <c r="M12" i="20"/>
  <c r="O12" i="20" s="1"/>
  <c r="N12" i="20" s="1"/>
  <c r="M11" i="20"/>
  <c r="O11" i="20" s="1"/>
  <c r="N11" i="20" s="1"/>
  <c r="M10" i="20"/>
  <c r="O10" i="20" s="1"/>
  <c r="N10" i="20" s="1"/>
  <c r="M9" i="20"/>
  <c r="O9" i="20" s="1"/>
  <c r="N9" i="20" s="1"/>
  <c r="K8" i="20"/>
  <c r="M8" i="20" s="1"/>
  <c r="O8" i="20" s="1"/>
  <c r="N8" i="20" s="1"/>
  <c r="M7" i="20"/>
  <c r="O7" i="20" s="1"/>
  <c r="N7" i="20" s="1"/>
  <c r="M6" i="20"/>
  <c r="O6" i="20" s="1"/>
  <c r="N6" i="20" s="1"/>
  <c r="M5" i="20"/>
  <c r="O5" i="20" s="1"/>
  <c r="N5" i="20" s="1"/>
  <c r="M4" i="20"/>
  <c r="O4" i="20" s="1"/>
  <c r="N4" i="20" s="1"/>
  <c r="M3" i="20"/>
  <c r="O3" i="20" s="1"/>
  <c r="N3" i="20" s="1"/>
  <c r="M2" i="20"/>
  <c r="M33" i="19"/>
  <c r="O33" i="19" s="1"/>
  <c r="N33" i="19" s="1"/>
  <c r="D32" i="19"/>
  <c r="M32" i="19" s="1"/>
  <c r="O32" i="19" s="1"/>
  <c r="N32" i="19" s="1"/>
  <c r="M31" i="19"/>
  <c r="O31" i="19" s="1"/>
  <c r="N31" i="19" s="1"/>
  <c r="M30" i="19"/>
  <c r="O30" i="19" s="1"/>
  <c r="N30" i="19" s="1"/>
  <c r="M29" i="19"/>
  <c r="O29" i="19" s="1"/>
  <c r="N29" i="19" s="1"/>
  <c r="L28" i="19"/>
  <c r="B28" i="19"/>
  <c r="L27" i="19"/>
  <c r="B27" i="19"/>
  <c r="M26" i="19"/>
  <c r="O26" i="19" s="1"/>
  <c r="N26" i="19" s="1"/>
  <c r="M25" i="19"/>
  <c r="O25" i="19" s="1"/>
  <c r="N25" i="19" s="1"/>
  <c r="M24" i="19"/>
  <c r="O24" i="19" s="1"/>
  <c r="N24" i="19" s="1"/>
  <c r="M23" i="19"/>
  <c r="O23" i="19" s="1"/>
  <c r="N23" i="19" s="1"/>
  <c r="M22" i="19"/>
  <c r="O22" i="19" s="1"/>
  <c r="N22" i="19" s="1"/>
  <c r="M21" i="19"/>
  <c r="O21" i="19" s="1"/>
  <c r="N21" i="19" s="1"/>
  <c r="K20" i="19"/>
  <c r="M20" i="19" s="1"/>
  <c r="O20" i="19" s="1"/>
  <c r="N20" i="19" s="1"/>
  <c r="M19" i="19"/>
  <c r="O19" i="19" s="1"/>
  <c r="N19" i="19" s="1"/>
  <c r="M18" i="19"/>
  <c r="O18" i="19" s="1"/>
  <c r="N18" i="19" s="1"/>
  <c r="M17" i="19"/>
  <c r="O17" i="19" s="1"/>
  <c r="N17" i="19" s="1"/>
  <c r="M16" i="19"/>
  <c r="O16" i="19" s="1"/>
  <c r="N16" i="19" s="1"/>
  <c r="M15" i="19"/>
  <c r="O15" i="19" s="1"/>
  <c r="N15" i="19" s="1"/>
  <c r="M14" i="19"/>
  <c r="O14" i="19" s="1"/>
  <c r="N14" i="19" s="1"/>
  <c r="M13" i="19"/>
  <c r="O13" i="19" s="1"/>
  <c r="N13" i="19" s="1"/>
  <c r="M12" i="19"/>
  <c r="O12" i="19" s="1"/>
  <c r="N12" i="19" s="1"/>
  <c r="M11" i="19"/>
  <c r="O11" i="19" s="1"/>
  <c r="N11" i="19" s="1"/>
  <c r="M10" i="19"/>
  <c r="O10" i="19" s="1"/>
  <c r="N10" i="19" s="1"/>
  <c r="M9" i="19"/>
  <c r="O9" i="19" s="1"/>
  <c r="N9" i="19" s="1"/>
  <c r="M8" i="19"/>
  <c r="O8" i="19" s="1"/>
  <c r="N8" i="19" s="1"/>
  <c r="M7" i="19"/>
  <c r="O7" i="19" s="1"/>
  <c r="N7" i="19" s="1"/>
  <c r="M6" i="19"/>
  <c r="O6" i="19" s="1"/>
  <c r="N6" i="19" s="1"/>
  <c r="M5" i="19"/>
  <c r="O5" i="19" s="1"/>
  <c r="N5" i="19" s="1"/>
  <c r="M4" i="19"/>
  <c r="O4" i="19" s="1"/>
  <c r="N4" i="19" s="1"/>
  <c r="M3" i="19"/>
  <c r="O3" i="19" s="1"/>
  <c r="N3" i="19" s="1"/>
  <c r="M2" i="19"/>
  <c r="M33" i="18"/>
  <c r="O33" i="18" s="1"/>
  <c r="N33" i="18" s="1"/>
  <c r="M32" i="18"/>
  <c r="O32" i="18" s="1"/>
  <c r="N32" i="18" s="1"/>
  <c r="M31" i="18"/>
  <c r="O31" i="18" s="1"/>
  <c r="N31" i="18" s="1"/>
  <c r="M30" i="18"/>
  <c r="O30" i="18" s="1"/>
  <c r="N30" i="18" s="1"/>
  <c r="K29" i="18"/>
  <c r="M29" i="18" s="1"/>
  <c r="O29" i="18" s="1"/>
  <c r="N29" i="18" s="1"/>
  <c r="M28" i="18"/>
  <c r="O28" i="18" s="1"/>
  <c r="N28" i="18" s="1"/>
  <c r="M27" i="18"/>
  <c r="O27" i="18" s="1"/>
  <c r="N27" i="18" s="1"/>
  <c r="M26" i="18"/>
  <c r="O26" i="18" s="1"/>
  <c r="N26" i="18" s="1"/>
  <c r="M25" i="18"/>
  <c r="O25" i="18" s="1"/>
  <c r="N25" i="18" s="1"/>
  <c r="M24" i="18"/>
  <c r="O24" i="18" s="1"/>
  <c r="N24" i="18" s="1"/>
  <c r="M23" i="18"/>
  <c r="O23" i="18" s="1"/>
  <c r="N23" i="18" s="1"/>
  <c r="M22" i="18"/>
  <c r="O22" i="18" s="1"/>
  <c r="N22" i="18" s="1"/>
  <c r="M21" i="18"/>
  <c r="O21" i="18" s="1"/>
  <c r="N21" i="18" s="1"/>
  <c r="M20" i="18"/>
  <c r="O20" i="18" s="1"/>
  <c r="N20" i="18" s="1"/>
  <c r="M19" i="18"/>
  <c r="O19" i="18" s="1"/>
  <c r="N19" i="18" s="1"/>
  <c r="M18" i="18"/>
  <c r="O18" i="18" s="1"/>
  <c r="N18" i="18" s="1"/>
  <c r="M17" i="18"/>
  <c r="O17" i="18" s="1"/>
  <c r="N17" i="18" s="1"/>
  <c r="M16" i="18"/>
  <c r="O16" i="18" s="1"/>
  <c r="N16" i="18" s="1"/>
  <c r="K15" i="18"/>
  <c r="M15" i="18" s="1"/>
  <c r="O15" i="18" s="1"/>
  <c r="N15" i="18" s="1"/>
  <c r="M14" i="18"/>
  <c r="O14" i="18" s="1"/>
  <c r="N14" i="18" s="1"/>
  <c r="M13" i="18"/>
  <c r="O13" i="18" s="1"/>
  <c r="N13" i="18" s="1"/>
  <c r="M12" i="18"/>
  <c r="O12" i="18" s="1"/>
  <c r="N12" i="18" s="1"/>
  <c r="M11" i="18"/>
  <c r="O11" i="18" s="1"/>
  <c r="N11" i="18" s="1"/>
  <c r="M10" i="18"/>
  <c r="O10" i="18" s="1"/>
  <c r="N10" i="18" s="1"/>
  <c r="M9" i="18"/>
  <c r="O9" i="18" s="1"/>
  <c r="N9" i="18" s="1"/>
  <c r="M8" i="18"/>
  <c r="O8" i="18" s="1"/>
  <c r="N8" i="18" s="1"/>
  <c r="M7" i="18"/>
  <c r="O7" i="18" s="1"/>
  <c r="N7" i="18" s="1"/>
  <c r="M6" i="18"/>
  <c r="O6" i="18" s="1"/>
  <c r="N6" i="18" s="1"/>
  <c r="M5" i="18"/>
  <c r="O5" i="18" s="1"/>
  <c r="N5" i="18" s="1"/>
  <c r="M4" i="18"/>
  <c r="O4" i="18" s="1"/>
  <c r="N4" i="18" s="1"/>
  <c r="M3" i="18"/>
  <c r="O3" i="18" s="1"/>
  <c r="N3" i="18" s="1"/>
  <c r="M2" i="18"/>
  <c r="M33" i="17"/>
  <c r="O33" i="17" s="1"/>
  <c r="N33" i="17" s="1"/>
  <c r="M32" i="17"/>
  <c r="O32" i="17" s="1"/>
  <c r="N32" i="17" s="1"/>
  <c r="M31" i="17"/>
  <c r="O31" i="17" s="1"/>
  <c r="N31" i="17" s="1"/>
  <c r="M30" i="17"/>
  <c r="O30" i="17" s="1"/>
  <c r="N30" i="17" s="1"/>
  <c r="M29" i="17"/>
  <c r="O29" i="17" s="1"/>
  <c r="N29" i="17" s="1"/>
  <c r="M28" i="17"/>
  <c r="O28" i="17" s="1"/>
  <c r="N28" i="17" s="1"/>
  <c r="M27" i="17"/>
  <c r="O27" i="17" s="1"/>
  <c r="N27" i="17" s="1"/>
  <c r="M26" i="17"/>
  <c r="O26" i="17" s="1"/>
  <c r="N26" i="17" s="1"/>
  <c r="M25" i="17"/>
  <c r="O25" i="17" s="1"/>
  <c r="N25" i="17" s="1"/>
  <c r="M24" i="17"/>
  <c r="O24" i="17" s="1"/>
  <c r="N24" i="17" s="1"/>
  <c r="M23" i="17"/>
  <c r="O23" i="17" s="1"/>
  <c r="N23" i="17" s="1"/>
  <c r="M22" i="17"/>
  <c r="O22" i="17" s="1"/>
  <c r="N22" i="17" s="1"/>
  <c r="M21" i="17"/>
  <c r="O21" i="17" s="1"/>
  <c r="N21" i="17" s="1"/>
  <c r="M20" i="17"/>
  <c r="O20" i="17" s="1"/>
  <c r="N20" i="17" s="1"/>
  <c r="K19" i="17"/>
  <c r="M19" i="17" s="1"/>
  <c r="O19" i="17" s="1"/>
  <c r="N19" i="17" s="1"/>
  <c r="C198" i="6" s="1"/>
  <c r="K18" i="17"/>
  <c r="M18" i="17" s="1"/>
  <c r="O18" i="17" s="1"/>
  <c r="N18" i="17" s="1"/>
  <c r="C197" i="6" s="1"/>
  <c r="M17" i="17"/>
  <c r="O17" i="17" s="1"/>
  <c r="N17" i="17" s="1"/>
  <c r="M16" i="17"/>
  <c r="O16" i="17" s="1"/>
  <c r="N16" i="17" s="1"/>
  <c r="M15" i="17"/>
  <c r="O15" i="17" s="1"/>
  <c r="N15" i="17" s="1"/>
  <c r="M14" i="17"/>
  <c r="O14" i="17" s="1"/>
  <c r="N14" i="17" s="1"/>
  <c r="M13" i="17"/>
  <c r="O13" i="17" s="1"/>
  <c r="N13" i="17" s="1"/>
  <c r="M12" i="17"/>
  <c r="O12" i="17" s="1"/>
  <c r="N12" i="17" s="1"/>
  <c r="M11" i="17"/>
  <c r="O11" i="17" s="1"/>
  <c r="N11" i="17" s="1"/>
  <c r="M10" i="17"/>
  <c r="O10" i="17" s="1"/>
  <c r="N10" i="17" s="1"/>
  <c r="K9" i="17"/>
  <c r="M9" i="17" s="1"/>
  <c r="O9" i="17" s="1"/>
  <c r="N9" i="17" s="1"/>
  <c r="C188" i="6" s="1"/>
  <c r="M8" i="17"/>
  <c r="O8" i="17" s="1"/>
  <c r="N8" i="17" s="1"/>
  <c r="M7" i="17"/>
  <c r="O7" i="17" s="1"/>
  <c r="N7" i="17" s="1"/>
  <c r="M6" i="17"/>
  <c r="O6" i="17" s="1"/>
  <c r="N6" i="17" s="1"/>
  <c r="M5" i="17"/>
  <c r="O5" i="17" s="1"/>
  <c r="N5" i="17" s="1"/>
  <c r="M4" i="17"/>
  <c r="O4" i="17" s="1"/>
  <c r="N4" i="17" s="1"/>
  <c r="M3" i="17"/>
  <c r="O3" i="17" s="1"/>
  <c r="N3" i="17" s="1"/>
  <c r="M2" i="17"/>
  <c r="M33" i="16"/>
  <c r="O33" i="16" s="1"/>
  <c r="N33" i="16" s="1"/>
  <c r="M32" i="16"/>
  <c r="O32" i="16" s="1"/>
  <c r="N32" i="16" s="1"/>
  <c r="M31" i="16"/>
  <c r="O31" i="16" s="1"/>
  <c r="N31" i="16" s="1"/>
  <c r="M30" i="16"/>
  <c r="O30" i="16" s="1"/>
  <c r="N30" i="16" s="1"/>
  <c r="M29" i="16"/>
  <c r="O29" i="16" s="1"/>
  <c r="N29" i="16" s="1"/>
  <c r="M28" i="16"/>
  <c r="O28" i="16" s="1"/>
  <c r="N28" i="16" s="1"/>
  <c r="M27" i="16"/>
  <c r="O27" i="16" s="1"/>
  <c r="N27" i="16" s="1"/>
  <c r="M26" i="16"/>
  <c r="O26" i="16" s="1"/>
  <c r="N26" i="16" s="1"/>
  <c r="M25" i="16"/>
  <c r="O25" i="16" s="1"/>
  <c r="N25" i="16" s="1"/>
  <c r="M24" i="16"/>
  <c r="O24" i="16" s="1"/>
  <c r="N24" i="16" s="1"/>
  <c r="M23" i="16"/>
  <c r="O23" i="16" s="1"/>
  <c r="N23" i="16" s="1"/>
  <c r="M22" i="16"/>
  <c r="O22" i="16" s="1"/>
  <c r="N22" i="16" s="1"/>
  <c r="M21" i="16"/>
  <c r="O21" i="16" s="1"/>
  <c r="N21" i="16" s="1"/>
  <c r="M20" i="16"/>
  <c r="O20" i="16" s="1"/>
  <c r="N20" i="16" s="1"/>
  <c r="D19" i="16"/>
  <c r="M19" i="16" s="1"/>
  <c r="O19" i="16" s="1"/>
  <c r="N19" i="16" s="1"/>
  <c r="M18" i="16"/>
  <c r="O18" i="16" s="1"/>
  <c r="N18" i="16" s="1"/>
  <c r="M17" i="16"/>
  <c r="O17" i="16" s="1"/>
  <c r="N17" i="16" s="1"/>
  <c r="M16" i="16"/>
  <c r="O16" i="16" s="1"/>
  <c r="N16" i="16" s="1"/>
  <c r="M15" i="16"/>
  <c r="O15" i="16" s="1"/>
  <c r="N15" i="16" s="1"/>
  <c r="M14" i="16"/>
  <c r="O14" i="16" s="1"/>
  <c r="N14" i="16" s="1"/>
  <c r="M13" i="16"/>
  <c r="O13" i="16" s="1"/>
  <c r="N13" i="16" s="1"/>
  <c r="M12" i="16"/>
  <c r="O12" i="16" s="1"/>
  <c r="N12" i="16" s="1"/>
  <c r="M11" i="16"/>
  <c r="O11" i="16" s="1"/>
  <c r="N11" i="16" s="1"/>
  <c r="M10" i="16"/>
  <c r="O10" i="16" s="1"/>
  <c r="N10" i="16" s="1"/>
  <c r="M9" i="16"/>
  <c r="O9" i="16" s="1"/>
  <c r="N9" i="16" s="1"/>
  <c r="M8" i="16"/>
  <c r="O8" i="16" s="1"/>
  <c r="N8" i="16" s="1"/>
  <c r="M7" i="16"/>
  <c r="O7" i="16" s="1"/>
  <c r="N7" i="16" s="1"/>
  <c r="M6" i="16"/>
  <c r="O6" i="16" s="1"/>
  <c r="N6" i="16" s="1"/>
  <c r="M5" i="16"/>
  <c r="O5" i="16" s="1"/>
  <c r="N5" i="16" s="1"/>
  <c r="M4" i="16"/>
  <c r="O4" i="16" s="1"/>
  <c r="N4" i="16" s="1"/>
  <c r="M3" i="16"/>
  <c r="O3" i="16" s="1"/>
  <c r="N3" i="16" s="1"/>
  <c r="M2" i="16"/>
  <c r="M33" i="15"/>
  <c r="O33" i="15" s="1"/>
  <c r="N33" i="15" s="1"/>
  <c r="M32" i="15"/>
  <c r="O32" i="15" s="1"/>
  <c r="N32" i="15" s="1"/>
  <c r="M31" i="15"/>
  <c r="O31" i="15" s="1"/>
  <c r="N31" i="15" s="1"/>
  <c r="M30" i="15"/>
  <c r="O30" i="15" s="1"/>
  <c r="N30" i="15" s="1"/>
  <c r="M29" i="15"/>
  <c r="O29" i="15" s="1"/>
  <c r="N29" i="15" s="1"/>
  <c r="M28" i="15"/>
  <c r="O28" i="15" s="1"/>
  <c r="N28" i="15" s="1"/>
  <c r="M27" i="15"/>
  <c r="O27" i="15" s="1"/>
  <c r="N27" i="15" s="1"/>
  <c r="M26" i="15"/>
  <c r="O26" i="15" s="1"/>
  <c r="N26" i="15" s="1"/>
  <c r="M25" i="15"/>
  <c r="O25" i="15" s="1"/>
  <c r="N25" i="15" s="1"/>
  <c r="M24" i="15"/>
  <c r="O24" i="15" s="1"/>
  <c r="N24" i="15" s="1"/>
  <c r="M23" i="15"/>
  <c r="O23" i="15" s="1"/>
  <c r="N23" i="15" s="1"/>
  <c r="M22" i="15"/>
  <c r="O22" i="15" s="1"/>
  <c r="N22" i="15" s="1"/>
  <c r="M21" i="15"/>
  <c r="O21" i="15" s="1"/>
  <c r="N21" i="15" s="1"/>
  <c r="M20" i="15"/>
  <c r="O20" i="15" s="1"/>
  <c r="N20" i="15" s="1"/>
  <c r="M19" i="15"/>
  <c r="O19" i="15" s="1"/>
  <c r="N19" i="15" s="1"/>
  <c r="M18" i="15"/>
  <c r="O18" i="15" s="1"/>
  <c r="N18" i="15" s="1"/>
  <c r="M17" i="15"/>
  <c r="O17" i="15" s="1"/>
  <c r="N17" i="15" s="1"/>
  <c r="M16" i="15"/>
  <c r="O16" i="15" s="1"/>
  <c r="N16" i="15" s="1"/>
  <c r="M15" i="15"/>
  <c r="O15" i="15" s="1"/>
  <c r="N15" i="15" s="1"/>
  <c r="M14" i="15"/>
  <c r="O14" i="15" s="1"/>
  <c r="N14" i="15" s="1"/>
  <c r="M13" i="15"/>
  <c r="O13" i="15" s="1"/>
  <c r="N13" i="15" s="1"/>
  <c r="M12" i="15"/>
  <c r="O12" i="15" s="1"/>
  <c r="N12" i="15" s="1"/>
  <c r="M11" i="15"/>
  <c r="O11" i="15" s="1"/>
  <c r="N11" i="15" s="1"/>
  <c r="M10" i="15"/>
  <c r="O10" i="15" s="1"/>
  <c r="N10" i="15" s="1"/>
  <c r="M9" i="15"/>
  <c r="O9" i="15" s="1"/>
  <c r="N9" i="15" s="1"/>
  <c r="M8" i="15"/>
  <c r="O8" i="15" s="1"/>
  <c r="N8" i="15" s="1"/>
  <c r="M7" i="15"/>
  <c r="O7" i="15" s="1"/>
  <c r="N7" i="15" s="1"/>
  <c r="M6" i="15"/>
  <c r="O6" i="15" s="1"/>
  <c r="N6" i="15" s="1"/>
  <c r="M5" i="15"/>
  <c r="O5" i="15" s="1"/>
  <c r="N5" i="15" s="1"/>
  <c r="M4" i="15"/>
  <c r="O4" i="15" s="1"/>
  <c r="N4" i="15" s="1"/>
  <c r="M3" i="15"/>
  <c r="O3" i="15" s="1"/>
  <c r="N3" i="15" s="1"/>
  <c r="M2" i="15"/>
  <c r="M33" i="14"/>
  <c r="O33" i="14" s="1"/>
  <c r="N33" i="14" s="1"/>
  <c r="M32" i="14"/>
  <c r="O32" i="14" s="1"/>
  <c r="N32" i="14" s="1"/>
  <c r="M31" i="14"/>
  <c r="O31" i="14" s="1"/>
  <c r="N31" i="14" s="1"/>
  <c r="M30" i="14"/>
  <c r="O30" i="14" s="1"/>
  <c r="N30" i="14" s="1"/>
  <c r="M29" i="14"/>
  <c r="O29" i="14" s="1"/>
  <c r="N29" i="14" s="1"/>
  <c r="E28" i="14"/>
  <c r="M28" i="14" s="1"/>
  <c r="O28" i="14" s="1"/>
  <c r="N28" i="14" s="1"/>
  <c r="M27" i="14"/>
  <c r="O27" i="14" s="1"/>
  <c r="N27" i="14" s="1"/>
  <c r="M26" i="14"/>
  <c r="O26" i="14" s="1"/>
  <c r="N26" i="14" s="1"/>
  <c r="M25" i="14"/>
  <c r="O25" i="14" s="1"/>
  <c r="N25" i="14" s="1"/>
  <c r="M24" i="14"/>
  <c r="O24" i="14" s="1"/>
  <c r="N24" i="14" s="1"/>
  <c r="M23" i="14"/>
  <c r="O23" i="14" s="1"/>
  <c r="N23" i="14" s="1"/>
  <c r="M22" i="14"/>
  <c r="O22" i="14" s="1"/>
  <c r="N22" i="14" s="1"/>
  <c r="M21" i="14"/>
  <c r="O21" i="14" s="1"/>
  <c r="N21" i="14" s="1"/>
  <c r="O20" i="14"/>
  <c r="N20" i="14" s="1"/>
  <c r="C106" i="6" s="1"/>
  <c r="M19" i="14"/>
  <c r="O19" i="14" s="1"/>
  <c r="N19" i="14" s="1"/>
  <c r="M18" i="14"/>
  <c r="O18" i="14" s="1"/>
  <c r="N18" i="14" s="1"/>
  <c r="M17" i="14"/>
  <c r="O17" i="14" s="1"/>
  <c r="N17" i="14" s="1"/>
  <c r="M16" i="14"/>
  <c r="O16" i="14" s="1"/>
  <c r="N16" i="14" s="1"/>
  <c r="M15" i="14"/>
  <c r="O15" i="14" s="1"/>
  <c r="N15" i="14" s="1"/>
  <c r="E14" i="14"/>
  <c r="M14" i="14" s="1"/>
  <c r="O14" i="14" s="1"/>
  <c r="N14" i="14" s="1"/>
  <c r="M13" i="14"/>
  <c r="O13" i="14" s="1"/>
  <c r="N13" i="14" s="1"/>
  <c r="M12" i="14"/>
  <c r="O12" i="14" s="1"/>
  <c r="N12" i="14" s="1"/>
  <c r="M11" i="14"/>
  <c r="O11" i="14" s="1"/>
  <c r="N11" i="14" s="1"/>
  <c r="M10" i="14"/>
  <c r="O10" i="14" s="1"/>
  <c r="N10" i="14" s="1"/>
  <c r="M9" i="14"/>
  <c r="O9" i="14" s="1"/>
  <c r="N9" i="14" s="1"/>
  <c r="M8" i="14"/>
  <c r="M7" i="14"/>
  <c r="O7" i="14" s="1"/>
  <c r="N7" i="14" s="1"/>
  <c r="M6" i="14"/>
  <c r="O6" i="14" s="1"/>
  <c r="N6" i="14" s="1"/>
  <c r="M5" i="14"/>
  <c r="O5" i="14" s="1"/>
  <c r="N5" i="14" s="1"/>
  <c r="M4" i="14"/>
  <c r="O4" i="14" s="1"/>
  <c r="N4" i="14" s="1"/>
  <c r="M3" i="14"/>
  <c r="O3" i="14" s="1"/>
  <c r="N3" i="14" s="1"/>
  <c r="M2" i="14"/>
  <c r="M33" i="13"/>
  <c r="O33" i="13" s="1"/>
  <c r="N33" i="13" s="1"/>
  <c r="N32" i="13"/>
  <c r="M32" i="13"/>
  <c r="M31" i="13"/>
  <c r="O31" i="13" s="1"/>
  <c r="N31" i="13" s="1"/>
  <c r="M30" i="13"/>
  <c r="O30" i="13" s="1"/>
  <c r="N30" i="13" s="1"/>
  <c r="M29" i="13"/>
  <c r="O29" i="13" s="1"/>
  <c r="N29" i="13" s="1"/>
  <c r="M28" i="13"/>
  <c r="O28" i="13" s="1"/>
  <c r="N28" i="13" s="1"/>
  <c r="M27" i="13"/>
  <c r="O27" i="13" s="1"/>
  <c r="N27" i="13" s="1"/>
  <c r="M26" i="13"/>
  <c r="O26" i="13" s="1"/>
  <c r="N26" i="13" s="1"/>
  <c r="M25" i="13"/>
  <c r="O25" i="13" s="1"/>
  <c r="N25" i="13" s="1"/>
  <c r="M24" i="13"/>
  <c r="O24" i="13" s="1"/>
  <c r="N24" i="13" s="1"/>
  <c r="M23" i="13"/>
  <c r="O23" i="13" s="1"/>
  <c r="N23" i="13" s="1"/>
  <c r="N22" i="13"/>
  <c r="M21" i="13"/>
  <c r="O21" i="13" s="1"/>
  <c r="N21" i="13" s="1"/>
  <c r="M20" i="13"/>
  <c r="O20" i="13" s="1"/>
  <c r="N20" i="13" s="1"/>
  <c r="M19" i="13"/>
  <c r="O19" i="13" s="1"/>
  <c r="N19" i="13" s="1"/>
  <c r="M18" i="13"/>
  <c r="O18" i="13" s="1"/>
  <c r="N18" i="13" s="1"/>
  <c r="M17" i="13"/>
  <c r="O17" i="13" s="1"/>
  <c r="N17" i="13" s="1"/>
  <c r="M16" i="13"/>
  <c r="O16" i="13" s="1"/>
  <c r="N16" i="13" s="1"/>
  <c r="M14" i="13"/>
  <c r="O14" i="13" s="1"/>
  <c r="N14" i="13" s="1"/>
  <c r="M13" i="13"/>
  <c r="O13" i="13" s="1"/>
  <c r="N13" i="13" s="1"/>
  <c r="M12" i="13"/>
  <c r="O12" i="13" s="1"/>
  <c r="N12" i="13" s="1"/>
  <c r="M11" i="13"/>
  <c r="O11" i="13" s="1"/>
  <c r="N11" i="13" s="1"/>
  <c r="M10" i="13"/>
  <c r="O10" i="13" s="1"/>
  <c r="N10" i="13" s="1"/>
  <c r="M9" i="13"/>
  <c r="O9" i="13" s="1"/>
  <c r="N9" i="13" s="1"/>
  <c r="M8" i="13"/>
  <c r="M7" i="13"/>
  <c r="O7" i="13" s="1"/>
  <c r="N7" i="13" s="1"/>
  <c r="M6" i="13"/>
  <c r="O6" i="13" s="1"/>
  <c r="N6" i="13" s="1"/>
  <c r="M5" i="13"/>
  <c r="O5" i="13" s="1"/>
  <c r="N5" i="13" s="1"/>
  <c r="M4" i="13"/>
  <c r="O4" i="13" s="1"/>
  <c r="N4" i="13" s="1"/>
  <c r="M3" i="13"/>
  <c r="O3" i="13" s="1"/>
  <c r="N3" i="13" s="1"/>
  <c r="M2" i="13"/>
  <c r="M33" i="12"/>
  <c r="O33" i="12" s="1"/>
  <c r="N33" i="12" s="1"/>
  <c r="M32" i="12"/>
  <c r="M31" i="12"/>
  <c r="O31" i="12" s="1"/>
  <c r="N31" i="12" s="1"/>
  <c r="M30" i="12"/>
  <c r="O30" i="12" s="1"/>
  <c r="N30" i="12" s="1"/>
  <c r="M29" i="12"/>
  <c r="O29" i="12" s="1"/>
  <c r="N29" i="12" s="1"/>
  <c r="M28" i="12"/>
  <c r="O28" i="12" s="1"/>
  <c r="N28" i="12" s="1"/>
  <c r="M27" i="12"/>
  <c r="O27" i="12" s="1"/>
  <c r="N27" i="12" s="1"/>
  <c r="M26" i="12"/>
  <c r="O26" i="12" s="1"/>
  <c r="N26" i="12" s="1"/>
  <c r="O25" i="12"/>
  <c r="M24" i="12"/>
  <c r="O24" i="12" s="1"/>
  <c r="N24" i="12" s="1"/>
  <c r="M23" i="12"/>
  <c r="O23" i="12" s="1"/>
  <c r="N23" i="12" s="1"/>
  <c r="M22" i="12"/>
  <c r="O22" i="12" s="1"/>
  <c r="N22" i="12" s="1"/>
  <c r="M21" i="12"/>
  <c r="O21" i="12" s="1"/>
  <c r="N21" i="12" s="1"/>
  <c r="M20" i="12"/>
  <c r="O20" i="12" s="1"/>
  <c r="N20" i="12" s="1"/>
  <c r="M19" i="12"/>
  <c r="O19" i="12" s="1"/>
  <c r="N19" i="12" s="1"/>
  <c r="M18" i="12"/>
  <c r="O18" i="12" s="1"/>
  <c r="M17" i="12"/>
  <c r="O17" i="12" s="1"/>
  <c r="N17" i="12" s="1"/>
  <c r="M16" i="12"/>
  <c r="O16" i="12" s="1"/>
  <c r="N16" i="12" s="1"/>
  <c r="M15" i="12"/>
  <c r="O15" i="12" s="1"/>
  <c r="N15" i="12" s="1"/>
  <c r="M14" i="12"/>
  <c r="O14" i="12" s="1"/>
  <c r="N14" i="12" s="1"/>
  <c r="M13" i="12"/>
  <c r="O13" i="12" s="1"/>
  <c r="N13" i="12" s="1"/>
  <c r="C36" i="6" s="1"/>
  <c r="M12" i="12"/>
  <c r="O12" i="12" s="1"/>
  <c r="N12" i="12" s="1"/>
  <c r="M10" i="12"/>
  <c r="O10" i="12" s="1"/>
  <c r="N10" i="12" s="1"/>
  <c r="M9" i="12"/>
  <c r="O9" i="12" s="1"/>
  <c r="N9" i="12" s="1"/>
  <c r="M8" i="12"/>
  <c r="O8" i="12" s="1"/>
  <c r="N8" i="12" s="1"/>
  <c r="M7" i="12"/>
  <c r="O7" i="12" s="1"/>
  <c r="N7" i="12" s="1"/>
  <c r="M6" i="12"/>
  <c r="O6" i="12" s="1"/>
  <c r="N6" i="12" s="1"/>
  <c r="M5" i="12"/>
  <c r="O5" i="12" s="1"/>
  <c r="N5" i="12" s="1"/>
  <c r="M4" i="12"/>
  <c r="O4" i="12" s="1"/>
  <c r="N4" i="12" s="1"/>
  <c r="C27" i="6" s="1"/>
  <c r="M3" i="12"/>
  <c r="O3" i="12" s="1"/>
  <c r="N3" i="12" s="1"/>
  <c r="M2" i="12"/>
  <c r="M33" i="11"/>
  <c r="O33" i="11" s="1"/>
  <c r="N33" i="11" s="1"/>
  <c r="M32" i="11"/>
  <c r="O32" i="11" s="1"/>
  <c r="N32" i="11" s="1"/>
  <c r="M31" i="11"/>
  <c r="O31" i="11" s="1"/>
  <c r="N31" i="11" s="1"/>
  <c r="M30" i="11"/>
  <c r="O30" i="11" s="1"/>
  <c r="N30" i="11" s="1"/>
  <c r="M29" i="11"/>
  <c r="O29" i="11" s="1"/>
  <c r="N29" i="11" s="1"/>
  <c r="M28" i="11"/>
  <c r="O28" i="11" s="1"/>
  <c r="N28" i="11" s="1"/>
  <c r="O27" i="11"/>
  <c r="N27" i="11"/>
  <c r="H26" i="11"/>
  <c r="M26" i="11" s="1"/>
  <c r="O26" i="11" s="1"/>
  <c r="N26" i="11" s="1"/>
  <c r="L25" i="11"/>
  <c r="M24" i="11"/>
  <c r="O24" i="11" s="1"/>
  <c r="N24" i="11" s="1"/>
  <c r="M23" i="11"/>
  <c r="O23" i="11" s="1"/>
  <c r="N23" i="11" s="1"/>
  <c r="M22" i="11"/>
  <c r="O22" i="11" s="1"/>
  <c r="N22" i="11" s="1"/>
  <c r="M21" i="11"/>
  <c r="O21" i="11" s="1"/>
  <c r="N21" i="11" s="1"/>
  <c r="C13" i="6" s="1"/>
  <c r="O20" i="11"/>
  <c r="N20" i="11"/>
  <c r="M19" i="11"/>
  <c r="O19" i="11" s="1"/>
  <c r="N19" i="11" s="1"/>
  <c r="M18" i="11"/>
  <c r="O18" i="11" s="1"/>
  <c r="N18" i="11" s="1"/>
  <c r="M17" i="11"/>
  <c r="O17" i="11" s="1"/>
  <c r="N17" i="11" s="1"/>
  <c r="M16" i="11"/>
  <c r="O16" i="11" s="1"/>
  <c r="N16" i="11" s="1"/>
  <c r="M15" i="11"/>
  <c r="O15" i="11" s="1"/>
  <c r="N15" i="11" s="1"/>
  <c r="C7" i="6" s="1"/>
  <c r="M14" i="11"/>
  <c r="O14" i="11" s="1"/>
  <c r="N14" i="11" s="1"/>
  <c r="C6" i="6" s="1"/>
  <c r="M12" i="11"/>
  <c r="O12" i="11" s="1"/>
  <c r="N12" i="11" s="1"/>
  <c r="M11" i="11"/>
  <c r="O11" i="11" s="1"/>
  <c r="N11" i="11" s="1"/>
  <c r="C3" i="6" s="1"/>
  <c r="M10" i="11"/>
  <c r="O10" i="11" s="1"/>
  <c r="N10" i="11" s="1"/>
  <c r="M9" i="11"/>
  <c r="O9" i="11" s="1"/>
  <c r="N9" i="11" s="1"/>
  <c r="M8" i="11"/>
  <c r="O8" i="11" s="1"/>
  <c r="N8" i="11" s="1"/>
  <c r="M7" i="11"/>
  <c r="O7" i="11" s="1"/>
  <c r="N7" i="11" s="1"/>
  <c r="O6" i="11"/>
  <c r="M5" i="11"/>
  <c r="O5" i="11" s="1"/>
  <c r="N5" i="11" s="1"/>
  <c r="M4" i="11"/>
  <c r="O4" i="11" s="1"/>
  <c r="N4" i="11" s="1"/>
  <c r="M3" i="11"/>
  <c r="O3" i="11" s="1"/>
  <c r="N3" i="11" s="1"/>
  <c r="M2" i="11"/>
  <c r="M33" i="10"/>
  <c r="O33" i="10" s="1"/>
  <c r="N33" i="10" s="1"/>
  <c r="M32" i="10"/>
  <c r="O32" i="10" s="1"/>
  <c r="N32" i="10" s="1"/>
  <c r="M31" i="10"/>
  <c r="O31" i="10" s="1"/>
  <c r="N31" i="10" s="1"/>
  <c r="O30" i="10"/>
  <c r="M29" i="10"/>
  <c r="O29" i="10" s="1"/>
  <c r="N29" i="10" s="1"/>
  <c r="M28" i="10"/>
  <c r="O28" i="10" s="1"/>
  <c r="N28" i="10" s="1"/>
  <c r="M27" i="10"/>
  <c r="O27" i="10" s="1"/>
  <c r="N27" i="10" s="1"/>
  <c r="M26" i="10"/>
  <c r="O26" i="10" s="1"/>
  <c r="N26" i="10" s="1"/>
  <c r="M25" i="10"/>
  <c r="O25" i="10" s="1"/>
  <c r="N25" i="10" s="1"/>
  <c r="M24" i="10"/>
  <c r="O24" i="10" s="1"/>
  <c r="N24" i="10" s="1"/>
  <c r="M22" i="10"/>
  <c r="O22" i="10" s="1"/>
  <c r="N22" i="10" s="1"/>
  <c r="M21" i="10"/>
  <c r="O21" i="10" s="1"/>
  <c r="N21" i="10" s="1"/>
  <c r="M20" i="10"/>
  <c r="O20" i="10" s="1"/>
  <c r="N20" i="10" s="1"/>
  <c r="M19" i="10"/>
  <c r="O19" i="10" s="1"/>
  <c r="N19" i="10" s="1"/>
  <c r="M18" i="10"/>
  <c r="O18" i="10" s="1"/>
  <c r="N18" i="10" s="1"/>
  <c r="M17" i="10"/>
  <c r="O17" i="10" s="1"/>
  <c r="N17" i="10" s="1"/>
  <c r="M16" i="10"/>
  <c r="O16" i="10" s="1"/>
  <c r="N16" i="10" s="1"/>
  <c r="M15" i="10"/>
  <c r="O15" i="10" s="1"/>
  <c r="N15" i="10" s="1"/>
  <c r="M14" i="10"/>
  <c r="O14" i="10" s="1"/>
  <c r="N14" i="10" s="1"/>
  <c r="M13" i="10"/>
  <c r="O13" i="10" s="1"/>
  <c r="N13" i="10" s="1"/>
  <c r="M12" i="10"/>
  <c r="O12" i="10" s="1"/>
  <c r="N12" i="10" s="1"/>
  <c r="M11" i="10"/>
  <c r="O11" i="10" s="1"/>
  <c r="N11" i="10" s="1"/>
  <c r="M10" i="10"/>
  <c r="O10" i="10" s="1"/>
  <c r="N10" i="10" s="1"/>
  <c r="M8" i="10"/>
  <c r="O8" i="10" s="1"/>
  <c r="N8" i="10" s="1"/>
  <c r="P7" i="10"/>
  <c r="M7" i="10"/>
  <c r="O7" i="10" s="1"/>
  <c r="N7" i="10" s="1"/>
  <c r="M6" i="10"/>
  <c r="O6" i="10" s="1"/>
  <c r="N6" i="10" s="1"/>
  <c r="P5" i="10"/>
  <c r="M5" i="10"/>
  <c r="O5" i="10" s="1"/>
  <c r="N5" i="10" s="1"/>
  <c r="M4" i="10"/>
  <c r="O4" i="10" s="1"/>
  <c r="N4" i="10" s="1"/>
  <c r="M3" i="10"/>
  <c r="O3" i="10" s="1"/>
  <c r="N3" i="10" s="1"/>
  <c r="M2" i="10"/>
  <c r="M33" i="9"/>
  <c r="O33" i="9" s="1"/>
  <c r="N33" i="9" s="1"/>
  <c r="M32" i="9"/>
  <c r="O32" i="9" s="1"/>
  <c r="N32" i="9" s="1"/>
  <c r="M31" i="9"/>
  <c r="O31" i="9" s="1"/>
  <c r="N31" i="9" s="1"/>
  <c r="M30" i="9"/>
  <c r="O30" i="9" s="1"/>
  <c r="N30" i="9" s="1"/>
  <c r="M29" i="9"/>
  <c r="O29" i="9" s="1"/>
  <c r="N29" i="9" s="1"/>
  <c r="M28" i="9"/>
  <c r="O28" i="9" s="1"/>
  <c r="N28" i="9" s="1"/>
  <c r="M27" i="9"/>
  <c r="O27" i="9" s="1"/>
  <c r="N27" i="9" s="1"/>
  <c r="M26" i="9"/>
  <c r="O26" i="9" s="1"/>
  <c r="N26" i="9" s="1"/>
  <c r="M25" i="9"/>
  <c r="O25" i="9" s="1"/>
  <c r="N25" i="9" s="1"/>
  <c r="M24" i="9"/>
  <c r="O24" i="9" s="1"/>
  <c r="N24" i="9" s="1"/>
  <c r="C23" i="9"/>
  <c r="M23" i="9" s="1"/>
  <c r="O23" i="9" s="1"/>
  <c r="N23" i="9" s="1"/>
  <c r="M22" i="9"/>
  <c r="O22" i="9" s="1"/>
  <c r="N22" i="9" s="1"/>
  <c r="M21" i="9"/>
  <c r="O21" i="9" s="1"/>
  <c r="N21" i="9" s="1"/>
  <c r="M20" i="9"/>
  <c r="O20" i="9" s="1"/>
  <c r="N20" i="9" s="1"/>
  <c r="O19" i="9"/>
  <c r="M18" i="9"/>
  <c r="O18" i="9" s="1"/>
  <c r="N18" i="9" s="1"/>
  <c r="P17" i="9"/>
  <c r="M17" i="9"/>
  <c r="O17" i="9" s="1"/>
  <c r="N17" i="9" s="1"/>
  <c r="M16" i="9"/>
  <c r="O16" i="9" s="1"/>
  <c r="N16" i="9" s="1"/>
  <c r="M15" i="9"/>
  <c r="O15" i="9" s="1"/>
  <c r="N15" i="9" s="1"/>
  <c r="M14" i="9"/>
  <c r="O14" i="9" s="1"/>
  <c r="N14" i="9" s="1"/>
  <c r="M13" i="9"/>
  <c r="O13" i="9" s="1"/>
  <c r="N13" i="9" s="1"/>
  <c r="M12" i="9"/>
  <c r="O12" i="9" s="1"/>
  <c r="N12" i="9" s="1"/>
  <c r="M11" i="9"/>
  <c r="O11" i="9" s="1"/>
  <c r="N11" i="9" s="1"/>
  <c r="M10" i="9"/>
  <c r="O10" i="9" s="1"/>
  <c r="N10" i="9" s="1"/>
  <c r="M9" i="9"/>
  <c r="O9" i="9" s="1"/>
  <c r="N9" i="9" s="1"/>
  <c r="M8" i="9"/>
  <c r="O8" i="9" s="1"/>
  <c r="N8" i="9" s="1"/>
  <c r="M7" i="9"/>
  <c r="O7" i="9" s="1"/>
  <c r="N7" i="9" s="1"/>
  <c r="M6" i="9"/>
  <c r="O6" i="9" s="1"/>
  <c r="N6" i="9" s="1"/>
  <c r="M4" i="9"/>
  <c r="O4" i="9" s="1"/>
  <c r="N4" i="9" s="1"/>
  <c r="M3" i="9"/>
  <c r="O3" i="9" s="1"/>
  <c r="N3" i="9" s="1"/>
  <c r="M2" i="9"/>
  <c r="L33" i="8"/>
  <c r="N33" i="8" s="1"/>
  <c r="M33" i="8" s="1"/>
  <c r="L32" i="8"/>
  <c r="N32" i="8" s="1"/>
  <c r="M32" i="8" s="1"/>
  <c r="L31" i="8"/>
  <c r="N31" i="8" s="1"/>
  <c r="M31" i="8" s="1"/>
  <c r="L30" i="8"/>
  <c r="N30" i="8" s="1"/>
  <c r="M30" i="8" s="1"/>
  <c r="L29" i="8"/>
  <c r="N29" i="8" s="1"/>
  <c r="M29" i="8" s="1"/>
  <c r="L28" i="8"/>
  <c r="N28" i="8" s="1"/>
  <c r="M28" i="8" s="1"/>
  <c r="L27" i="8"/>
  <c r="N27" i="8" s="1"/>
  <c r="M27" i="8" s="1"/>
  <c r="L26" i="8"/>
  <c r="N26" i="8" s="1"/>
  <c r="M26" i="8" s="1"/>
  <c r="L25" i="8"/>
  <c r="N25" i="8" s="1"/>
  <c r="M25" i="8" s="1"/>
  <c r="L24" i="8"/>
  <c r="N24" i="8" s="1"/>
  <c r="M24" i="8" s="1"/>
  <c r="L23" i="8"/>
  <c r="N23" i="8" s="1"/>
  <c r="M23" i="8" s="1"/>
  <c r="L22" i="8"/>
  <c r="N22" i="8" s="1"/>
  <c r="M22" i="8" s="1"/>
  <c r="L21" i="8"/>
  <c r="N21" i="8" s="1"/>
  <c r="M21" i="8" s="1"/>
  <c r="L20" i="8"/>
  <c r="N20" i="8" s="1"/>
  <c r="M20" i="8" s="1"/>
  <c r="L19" i="8"/>
  <c r="N19" i="8" s="1"/>
  <c r="M19" i="8" s="1"/>
  <c r="L18" i="8"/>
  <c r="N18" i="8" s="1"/>
  <c r="M18" i="8" s="1"/>
  <c r="L17" i="8"/>
  <c r="N17" i="8" s="1"/>
  <c r="M17" i="8" s="1"/>
  <c r="L16" i="8"/>
  <c r="N16" i="8" s="1"/>
  <c r="M16" i="8" s="1"/>
  <c r="L15" i="8"/>
  <c r="N15" i="8" s="1"/>
  <c r="M15" i="8" s="1"/>
  <c r="L13" i="8"/>
  <c r="N13" i="8" s="1"/>
  <c r="M13" i="8" s="1"/>
  <c r="L12" i="8"/>
  <c r="N12" i="8" s="1"/>
  <c r="M12" i="8" s="1"/>
  <c r="L11" i="8"/>
  <c r="N11" i="8" s="1"/>
  <c r="M11" i="8" s="1"/>
  <c r="L10" i="8"/>
  <c r="N10" i="8" s="1"/>
  <c r="M10" i="8" s="1"/>
  <c r="L9" i="8"/>
  <c r="N9" i="8" s="1"/>
  <c r="M9" i="8" s="1"/>
  <c r="L8" i="8"/>
  <c r="N8" i="8" s="1"/>
  <c r="M8" i="8" s="1"/>
  <c r="L7" i="8"/>
  <c r="N7" i="8" s="1"/>
  <c r="M7" i="8" s="1"/>
  <c r="L6" i="8"/>
  <c r="N6" i="8" s="1"/>
  <c r="M6" i="8" s="1"/>
  <c r="E5" i="8"/>
  <c r="L5" i="8" s="1"/>
  <c r="N5" i="8" s="1"/>
  <c r="M5" i="8" s="1"/>
  <c r="L4" i="8"/>
  <c r="N4" i="8" s="1"/>
  <c r="M4" i="8" s="1"/>
  <c r="L3" i="8"/>
  <c r="N3" i="8" s="1"/>
  <c r="M3" i="8" s="1"/>
  <c r="L2" i="8"/>
  <c r="A33" i="7"/>
  <c r="L32" i="7"/>
  <c r="N32" i="7" s="1"/>
  <c r="M32" i="7" s="1"/>
  <c r="L31" i="7"/>
  <c r="N31" i="7" s="1"/>
  <c r="M31" i="7" s="1"/>
  <c r="L30" i="7"/>
  <c r="N30" i="7" s="1"/>
  <c r="M30" i="7" s="1"/>
  <c r="L29" i="7"/>
  <c r="N29" i="7" s="1"/>
  <c r="M29" i="7" s="1"/>
  <c r="O28" i="7"/>
  <c r="L28" i="7"/>
  <c r="N28" i="7" s="1"/>
  <c r="M28" i="7" s="1"/>
  <c r="E27" i="7"/>
  <c r="L27" i="7" s="1"/>
  <c r="N27" i="7" s="1"/>
  <c r="M27" i="7" s="1"/>
  <c r="L26" i="7"/>
  <c r="N26" i="7" s="1"/>
  <c r="M26" i="7" s="1"/>
  <c r="L25" i="7"/>
  <c r="N25" i="7" s="1"/>
  <c r="M25" i="7" s="1"/>
  <c r="L24" i="7"/>
  <c r="N24" i="7" s="1"/>
  <c r="M24" i="7" s="1"/>
  <c r="E23" i="7"/>
  <c r="L23" i="7" s="1"/>
  <c r="N23" i="7" s="1"/>
  <c r="M23" i="7" s="1"/>
  <c r="E22" i="7"/>
  <c r="L22" i="7" s="1"/>
  <c r="N22" i="7" s="1"/>
  <c r="M22" i="7" s="1"/>
  <c r="E21" i="7"/>
  <c r="L21" i="7" s="1"/>
  <c r="N21" i="7" s="1"/>
  <c r="M21" i="7" s="1"/>
  <c r="L20" i="7"/>
  <c r="N20" i="7" s="1"/>
  <c r="M20" i="7" s="1"/>
  <c r="L19" i="7"/>
  <c r="N19" i="7" s="1"/>
  <c r="M19" i="7" s="1"/>
  <c r="L18" i="7"/>
  <c r="N18" i="7" s="1"/>
  <c r="M18" i="7" s="1"/>
  <c r="L17" i="7"/>
  <c r="N17" i="7" s="1"/>
  <c r="M17" i="7" s="1"/>
  <c r="L16" i="7"/>
  <c r="N16" i="7" s="1"/>
  <c r="M16" i="7" s="1"/>
  <c r="E15" i="7"/>
  <c r="L15" i="7" s="1"/>
  <c r="N15" i="7" s="1"/>
  <c r="M15" i="7" s="1"/>
  <c r="L14" i="7"/>
  <c r="N14" i="7" s="1"/>
  <c r="M14" i="7" s="1"/>
  <c r="L13" i="7"/>
  <c r="N13" i="7" s="1"/>
  <c r="M13" i="7" s="1"/>
  <c r="L12" i="7"/>
  <c r="N12" i="7" s="1"/>
  <c r="M12" i="7" s="1"/>
  <c r="L11" i="7"/>
  <c r="N11" i="7" s="1"/>
  <c r="M11" i="7" s="1"/>
  <c r="L10" i="7"/>
  <c r="N10" i="7" s="1"/>
  <c r="M10" i="7" s="1"/>
  <c r="L9" i="7"/>
  <c r="N9" i="7" s="1"/>
  <c r="M9" i="7" s="1"/>
  <c r="L8" i="7"/>
  <c r="N8" i="7" s="1"/>
  <c r="L7" i="7"/>
  <c r="N7" i="7" s="1"/>
  <c r="M7" i="7" s="1"/>
  <c r="L6" i="7"/>
  <c r="N6" i="7" s="1"/>
  <c r="M6" i="7" s="1"/>
  <c r="L5" i="7"/>
  <c r="N5" i="7" s="1"/>
  <c r="M5" i="7" s="1"/>
  <c r="L4" i="7"/>
  <c r="N4" i="7" s="1"/>
  <c r="M4" i="7" s="1"/>
  <c r="L3" i="7"/>
  <c r="N3" i="7" s="1"/>
  <c r="M3" i="7" s="1"/>
  <c r="L2" i="7"/>
  <c r="C400" i="6"/>
  <c r="C399" i="6"/>
  <c r="C398" i="6"/>
  <c r="C397" i="6"/>
  <c r="C396" i="6"/>
  <c r="C395" i="6"/>
  <c r="C394" i="6"/>
  <c r="C393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E373" i="6"/>
  <c r="C373" i="6"/>
  <c r="C372" i="6"/>
  <c r="E371" i="6"/>
  <c r="C369" i="6"/>
  <c r="C368" i="6"/>
  <c r="C367" i="6"/>
  <c r="C366" i="6"/>
  <c r="E365" i="6"/>
  <c r="C365" i="6"/>
  <c r="E364" i="6"/>
  <c r="C364" i="6"/>
  <c r="E363" i="6"/>
  <c r="C363" i="6"/>
  <c r="E362" i="6"/>
  <c r="C362" i="6"/>
  <c r="E361" i="6"/>
  <c r="C361" i="6"/>
  <c r="E360" i="6"/>
  <c r="C360" i="6"/>
  <c r="C359" i="6"/>
  <c r="C358" i="6"/>
  <c r="E357" i="6"/>
  <c r="C357" i="6"/>
  <c r="C356" i="6"/>
  <c r="E355" i="6"/>
  <c r="C355" i="6"/>
  <c r="E354" i="6"/>
  <c r="C354" i="6"/>
  <c r="E353" i="6"/>
  <c r="C353" i="6"/>
  <c r="E352" i="6"/>
  <c r="C352" i="6"/>
  <c r="E351" i="6"/>
  <c r="C351" i="6"/>
  <c r="E350" i="6"/>
  <c r="C350" i="6"/>
  <c r="E349" i="6"/>
  <c r="C349" i="6"/>
  <c r="E348" i="6"/>
  <c r="C348" i="6"/>
  <c r="C347" i="6"/>
  <c r="E346" i="6"/>
  <c r="C346" i="6"/>
  <c r="B346" i="6"/>
  <c r="E345" i="6"/>
  <c r="C345" i="6"/>
  <c r="C344" i="6"/>
  <c r="C343" i="6"/>
  <c r="E342" i="6"/>
  <c r="C342" i="6"/>
  <c r="C341" i="6"/>
  <c r="C340" i="6"/>
  <c r="E339" i="6"/>
  <c r="E337" i="6"/>
  <c r="C337" i="6"/>
  <c r="C336" i="6"/>
  <c r="C335" i="6"/>
  <c r="C334" i="6"/>
  <c r="C333" i="6"/>
  <c r="E332" i="6"/>
  <c r="C332" i="6"/>
  <c r="E331" i="6"/>
  <c r="C331" i="6"/>
  <c r="C330" i="6"/>
  <c r="E329" i="6"/>
  <c r="C329" i="6"/>
  <c r="C328" i="6"/>
  <c r="E327" i="6"/>
  <c r="C327" i="6"/>
  <c r="C326" i="6"/>
  <c r="C325" i="6"/>
  <c r="E324" i="6"/>
  <c r="C324" i="6"/>
  <c r="E323" i="6"/>
  <c r="C323" i="6"/>
  <c r="C322" i="6"/>
  <c r="C321" i="6"/>
  <c r="E320" i="6"/>
  <c r="C320" i="6"/>
  <c r="C319" i="6"/>
  <c r="E318" i="6"/>
  <c r="C318" i="6"/>
  <c r="E317" i="6"/>
  <c r="C317" i="6"/>
  <c r="C316" i="6"/>
  <c r="C315" i="6"/>
  <c r="C314" i="6"/>
  <c r="E313" i="6"/>
  <c r="C313" i="6"/>
  <c r="C312" i="6"/>
  <c r="C311" i="6"/>
  <c r="C310" i="6"/>
  <c r="C309" i="6"/>
  <c r="C308" i="6"/>
  <c r="E307" i="6"/>
  <c r="E305" i="6"/>
  <c r="C305" i="6"/>
  <c r="E304" i="6"/>
  <c r="C304" i="6"/>
  <c r="C303" i="6"/>
  <c r="E302" i="6"/>
  <c r="C302" i="6"/>
  <c r="C301" i="6"/>
  <c r="C300" i="6"/>
  <c r="C299" i="6"/>
  <c r="E298" i="6"/>
  <c r="C298" i="6"/>
  <c r="C297" i="6"/>
  <c r="E296" i="6"/>
  <c r="C296" i="6"/>
  <c r="E295" i="6"/>
  <c r="C295" i="6"/>
  <c r="C294" i="6"/>
  <c r="E293" i="6"/>
  <c r="C293" i="6"/>
  <c r="E292" i="6"/>
  <c r="C292" i="6"/>
  <c r="C291" i="6"/>
  <c r="E290" i="6"/>
  <c r="C290" i="6"/>
  <c r="E289" i="6"/>
  <c r="C289" i="6"/>
  <c r="E288" i="6"/>
  <c r="C288" i="6"/>
  <c r="C287" i="6"/>
  <c r="C286" i="6"/>
  <c r="E285" i="6"/>
  <c r="C285" i="6"/>
  <c r="E284" i="6"/>
  <c r="C284" i="6"/>
  <c r="C283" i="6"/>
  <c r="E282" i="6"/>
  <c r="C282" i="6"/>
  <c r="E281" i="6"/>
  <c r="C281" i="6"/>
  <c r="C280" i="6"/>
  <c r="C279" i="6"/>
  <c r="C278" i="6"/>
  <c r="C277" i="6"/>
  <c r="E276" i="6"/>
  <c r="E274" i="6"/>
  <c r="C274" i="6"/>
  <c r="E273" i="6"/>
  <c r="C273" i="6"/>
  <c r="E272" i="6"/>
  <c r="C272" i="6"/>
  <c r="C271" i="6"/>
  <c r="E269" i="6"/>
  <c r="E268" i="6"/>
  <c r="C268" i="6"/>
  <c r="C267" i="6"/>
  <c r="E266" i="6"/>
  <c r="C266" i="6"/>
  <c r="C265" i="6"/>
  <c r="C264" i="6"/>
  <c r="E263" i="6"/>
  <c r="C263" i="6"/>
  <c r="C262" i="6"/>
  <c r="E261" i="6"/>
  <c r="C261" i="6"/>
  <c r="E260" i="6"/>
  <c r="C260" i="6"/>
  <c r="E259" i="6"/>
  <c r="C259" i="6"/>
  <c r="C258" i="6"/>
  <c r="C257" i="6"/>
  <c r="E256" i="6"/>
  <c r="C256" i="6"/>
  <c r="E255" i="6"/>
  <c r="C255" i="6"/>
  <c r="E254" i="6"/>
  <c r="C254" i="6"/>
  <c r="C253" i="6"/>
  <c r="E252" i="6"/>
  <c r="C252" i="6"/>
  <c r="E251" i="6"/>
  <c r="C251" i="6"/>
  <c r="E250" i="6"/>
  <c r="C250" i="6"/>
  <c r="C249" i="6"/>
  <c r="E248" i="6"/>
  <c r="C248" i="6"/>
  <c r="E247" i="6"/>
  <c r="C247" i="6"/>
  <c r="E246" i="6"/>
  <c r="C246" i="6"/>
  <c r="E245" i="6"/>
  <c r="C245" i="6"/>
  <c r="E242" i="6"/>
  <c r="C242" i="6"/>
  <c r="E241" i="6"/>
  <c r="C241" i="6"/>
  <c r="E240" i="6"/>
  <c r="C240" i="6"/>
  <c r="E239" i="6"/>
  <c r="C239" i="6"/>
  <c r="C238" i="6"/>
  <c r="C237" i="6"/>
  <c r="C236" i="6"/>
  <c r="C235" i="6"/>
  <c r="C234" i="6"/>
  <c r="E233" i="6"/>
  <c r="C233" i="6"/>
  <c r="C232" i="6"/>
  <c r="C231" i="6"/>
  <c r="C230" i="6"/>
  <c r="C229" i="6"/>
  <c r="C228" i="6"/>
  <c r="C227" i="6"/>
  <c r="E226" i="6"/>
  <c r="C226" i="6"/>
  <c r="E225" i="6"/>
  <c r="C225" i="6"/>
  <c r="E224" i="6"/>
  <c r="C224" i="6"/>
  <c r="C223" i="6"/>
  <c r="C222" i="6"/>
  <c r="C221" i="6"/>
  <c r="C220" i="6"/>
  <c r="C219" i="6"/>
  <c r="C218" i="6"/>
  <c r="C217" i="6"/>
  <c r="C216" i="6"/>
  <c r="C215" i="6"/>
  <c r="C214" i="6"/>
  <c r="E211" i="6"/>
  <c r="C211" i="6"/>
  <c r="C210" i="6"/>
  <c r="E209" i="6"/>
  <c r="C209" i="6"/>
  <c r="E208" i="6"/>
  <c r="C208" i="6"/>
  <c r="C207" i="6"/>
  <c r="C206" i="6"/>
  <c r="C205" i="6"/>
  <c r="C204" i="6"/>
  <c r="C203" i="6"/>
  <c r="C202" i="6"/>
  <c r="E201" i="6"/>
  <c r="C201" i="6"/>
  <c r="C200" i="6"/>
  <c r="E199" i="6"/>
  <c r="C199" i="6"/>
  <c r="E197" i="6"/>
  <c r="E196" i="6"/>
  <c r="C196" i="6"/>
  <c r="E195" i="6"/>
  <c r="C195" i="6"/>
  <c r="E194" i="6"/>
  <c r="C194" i="6"/>
  <c r="E193" i="6"/>
  <c r="C193" i="6"/>
  <c r="C192" i="6"/>
  <c r="E191" i="6"/>
  <c r="C191" i="6"/>
  <c r="E190" i="6"/>
  <c r="C190" i="6"/>
  <c r="C189" i="6"/>
  <c r="E188" i="6"/>
  <c r="E187" i="6"/>
  <c r="C187" i="6"/>
  <c r="C186" i="6"/>
  <c r="C185" i="6"/>
  <c r="C184" i="6"/>
  <c r="E183" i="6"/>
  <c r="C183" i="6"/>
  <c r="E182" i="6"/>
  <c r="C182" i="6"/>
  <c r="C179" i="6"/>
  <c r="C178" i="6"/>
  <c r="C177" i="6"/>
  <c r="C176" i="6"/>
  <c r="E175" i="6"/>
  <c r="C175" i="6"/>
  <c r="C174" i="6"/>
  <c r="E173" i="6"/>
  <c r="C173" i="6"/>
  <c r="C172" i="6"/>
  <c r="C171" i="6"/>
  <c r="E170" i="6"/>
  <c r="C170" i="6"/>
  <c r="C169" i="6"/>
  <c r="C168" i="6"/>
  <c r="E167" i="6"/>
  <c r="C167" i="6"/>
  <c r="C166" i="6"/>
  <c r="C165" i="6"/>
  <c r="C164" i="6"/>
  <c r="C163" i="6"/>
  <c r="C162" i="6"/>
  <c r="E161" i="6"/>
  <c r="C161" i="6"/>
  <c r="C160" i="6"/>
  <c r="C159" i="6"/>
  <c r="C158" i="6"/>
  <c r="C157" i="6"/>
  <c r="C156" i="6"/>
  <c r="C155" i="6"/>
  <c r="C154" i="6"/>
  <c r="C153" i="6"/>
  <c r="C150" i="6"/>
  <c r="C149" i="6"/>
  <c r="C148" i="6"/>
  <c r="C147" i="6"/>
  <c r="C146" i="6"/>
  <c r="C145" i="6"/>
  <c r="E144" i="6"/>
  <c r="C144" i="6"/>
  <c r="E143" i="6"/>
  <c r="C143" i="6"/>
  <c r="C142" i="6"/>
  <c r="C141" i="6"/>
  <c r="E140" i="6"/>
  <c r="C140" i="6"/>
  <c r="E139" i="6"/>
  <c r="C139" i="6"/>
  <c r="C138" i="6"/>
  <c r="C137" i="6"/>
  <c r="C136" i="6"/>
  <c r="C135" i="6"/>
  <c r="C134" i="6"/>
  <c r="C133" i="6"/>
  <c r="E132" i="6"/>
  <c r="C132" i="6"/>
  <c r="C131" i="6"/>
  <c r="E130" i="6"/>
  <c r="C130" i="6"/>
  <c r="E129" i="6"/>
  <c r="C129" i="6"/>
  <c r="C128" i="6"/>
  <c r="C127" i="6"/>
  <c r="C126" i="6"/>
  <c r="E125" i="6"/>
  <c r="C125" i="6"/>
  <c r="C124" i="6"/>
  <c r="C123" i="6"/>
  <c r="C122" i="6"/>
  <c r="C121" i="6"/>
  <c r="C118" i="6"/>
  <c r="C117" i="6"/>
  <c r="C116" i="6"/>
  <c r="C115" i="6"/>
  <c r="E114" i="6"/>
  <c r="C114" i="6"/>
  <c r="C113" i="6"/>
  <c r="C112" i="6"/>
  <c r="G111" i="6"/>
  <c r="C111" i="6"/>
  <c r="E110" i="6"/>
  <c r="C110" i="6"/>
  <c r="C109" i="6"/>
  <c r="C108" i="6"/>
  <c r="C107" i="6"/>
  <c r="C105" i="6"/>
  <c r="C104" i="6"/>
  <c r="E103" i="6"/>
  <c r="C103" i="6"/>
  <c r="C102" i="6"/>
  <c r="C101" i="6"/>
  <c r="E100" i="6"/>
  <c r="C100" i="6"/>
  <c r="C99" i="6"/>
  <c r="C98" i="6"/>
  <c r="C97" i="6"/>
  <c r="C96" i="6"/>
  <c r="C95" i="6"/>
  <c r="C94" i="6"/>
  <c r="C93" i="6"/>
  <c r="C92" i="6"/>
  <c r="C91" i="6"/>
  <c r="C90" i="6"/>
  <c r="C89" i="6"/>
  <c r="C86" i="6"/>
  <c r="C85" i="6"/>
  <c r="E84" i="6"/>
  <c r="C84" i="6"/>
  <c r="C83" i="6"/>
  <c r="C82" i="6"/>
  <c r="C81" i="6"/>
  <c r="C80" i="6"/>
  <c r="E79" i="6"/>
  <c r="C79" i="6"/>
  <c r="C78" i="6"/>
  <c r="C77" i="6"/>
  <c r="C76" i="6"/>
  <c r="E75" i="6"/>
  <c r="C75" i="6"/>
  <c r="C74" i="6"/>
  <c r="E73" i="6"/>
  <c r="C73" i="6"/>
  <c r="C72" i="6"/>
  <c r="C71" i="6"/>
  <c r="E70" i="6"/>
  <c r="C70" i="6"/>
  <c r="C69" i="6"/>
  <c r="C68" i="6"/>
  <c r="C67" i="6"/>
  <c r="C66" i="6"/>
  <c r="E65" i="6"/>
  <c r="C65" i="6"/>
  <c r="C64" i="6"/>
  <c r="C63" i="6"/>
  <c r="C62" i="6"/>
  <c r="E61" i="6"/>
  <c r="C61" i="6"/>
  <c r="E60" i="6"/>
  <c r="C60" i="6"/>
  <c r="C59" i="6"/>
  <c r="C58" i="6"/>
  <c r="E57" i="6"/>
  <c r="C55" i="6"/>
  <c r="C54" i="6"/>
  <c r="C53" i="6"/>
  <c r="C52" i="6"/>
  <c r="C51" i="6"/>
  <c r="C50" i="6"/>
  <c r="C49" i="6"/>
  <c r="C48" i="6"/>
  <c r="C47" i="6"/>
  <c r="C46" i="6"/>
  <c r="E45" i="6"/>
  <c r="C45" i="6"/>
  <c r="C44" i="6"/>
  <c r="C43" i="6"/>
  <c r="C42" i="6"/>
  <c r="C41" i="6"/>
  <c r="E40" i="6"/>
  <c r="C40" i="6"/>
  <c r="C39" i="6"/>
  <c r="C38" i="6"/>
  <c r="E37" i="6"/>
  <c r="C37" i="6"/>
  <c r="C35" i="6"/>
  <c r="C34" i="6"/>
  <c r="C33" i="6"/>
  <c r="C32" i="6"/>
  <c r="C31" i="6"/>
  <c r="C30" i="6"/>
  <c r="C29" i="6"/>
  <c r="C28" i="6"/>
  <c r="C26" i="6"/>
  <c r="C23" i="6"/>
  <c r="C22" i="6"/>
  <c r="E21" i="6"/>
  <c r="C21" i="6"/>
  <c r="C20" i="6"/>
  <c r="C19" i="6"/>
  <c r="C18" i="6"/>
  <c r="C16" i="6"/>
  <c r="C15" i="6"/>
  <c r="E14" i="6"/>
  <c r="C14" i="6"/>
  <c r="C12" i="6"/>
  <c r="C11" i="6"/>
  <c r="C10" i="6"/>
  <c r="C9" i="6"/>
  <c r="C8" i="6"/>
  <c r="E6" i="6"/>
  <c r="C5" i="6"/>
  <c r="C4" i="6"/>
  <c r="K16" i="5"/>
  <c r="E16" i="5"/>
  <c r="C16" i="5"/>
  <c r="K15" i="5"/>
  <c r="C15" i="5"/>
  <c r="K14" i="5"/>
  <c r="C14" i="5"/>
  <c r="K13" i="5"/>
  <c r="C13" i="5"/>
  <c r="K12" i="5"/>
  <c r="C12" i="5"/>
  <c r="K11" i="5"/>
  <c r="C11" i="5"/>
  <c r="C10" i="5"/>
  <c r="K9" i="5"/>
  <c r="C9" i="5"/>
  <c r="K8" i="5"/>
  <c r="C8" i="5"/>
  <c r="K7" i="5"/>
  <c r="C7" i="5"/>
  <c r="K6" i="5"/>
  <c r="C6" i="5"/>
  <c r="K5" i="5"/>
  <c r="C5" i="5"/>
  <c r="K4" i="5"/>
  <c r="K3" i="5"/>
  <c r="C3" i="5"/>
  <c r="K2" i="5"/>
  <c r="C2" i="5"/>
  <c r="F9" i="5" l="1"/>
  <c r="C454" i="6"/>
  <c r="R31" i="36"/>
  <c r="Q31" i="36" s="1"/>
  <c r="C746" i="6" s="1"/>
  <c r="R23" i="36"/>
  <c r="Q23" i="36" s="1"/>
  <c r="C738" i="6" s="1"/>
  <c r="R30" i="36"/>
  <c r="Q30" i="36" s="1"/>
  <c r="C745" i="6" s="1"/>
  <c r="R22" i="36"/>
  <c r="Q22" i="36" s="1"/>
  <c r="C737" i="6" s="1"/>
  <c r="R12" i="36"/>
  <c r="Q12" i="36" s="1"/>
  <c r="C727" i="6" s="1"/>
  <c r="R29" i="36"/>
  <c r="Q29" i="36" s="1"/>
  <c r="C744" i="6" s="1"/>
  <c r="N36" i="10"/>
  <c r="R19" i="36"/>
  <c r="Q19" i="36" s="1"/>
  <c r="C734" i="6" s="1"/>
  <c r="R10" i="36"/>
  <c r="Q10" i="36" s="1"/>
  <c r="C725" i="6" s="1"/>
  <c r="R27" i="36"/>
  <c r="Q27" i="36" s="1"/>
  <c r="C742" i="6" s="1"/>
  <c r="R26" i="36"/>
  <c r="Q26" i="36" s="1"/>
  <c r="C741" i="6" s="1"/>
  <c r="K17" i="5"/>
  <c r="P34" i="43"/>
  <c r="R3" i="43"/>
  <c r="Q3" i="43" s="1"/>
  <c r="R4" i="43"/>
  <c r="Q4" i="43" s="1"/>
  <c r="C54" i="39" s="1"/>
  <c r="R5" i="43"/>
  <c r="Q5" i="43" s="1"/>
  <c r="C55" i="39" s="1"/>
  <c r="R6" i="43"/>
  <c r="Q6" i="43" s="1"/>
  <c r="C56" i="39" s="1"/>
  <c r="R7" i="43"/>
  <c r="Q7" i="43" s="1"/>
  <c r="C57" i="39" s="1"/>
  <c r="R8" i="43"/>
  <c r="Q8" i="43" s="1"/>
  <c r="C58" i="39" s="1"/>
  <c r="R9" i="43"/>
  <c r="Q9" i="43" s="1"/>
  <c r="C59" i="39" s="1"/>
  <c r="R10" i="43"/>
  <c r="Q10" i="43" s="1"/>
  <c r="C60" i="39" s="1"/>
  <c r="R11" i="43"/>
  <c r="Q11" i="43" s="1"/>
  <c r="C61" i="39" s="1"/>
  <c r="R12" i="43"/>
  <c r="Q12" i="43" s="1"/>
  <c r="C62" i="39" s="1"/>
  <c r="R13" i="43"/>
  <c r="Q13" i="43" s="1"/>
  <c r="C63" i="39" s="1"/>
  <c r="R14" i="43"/>
  <c r="Q14" i="43" s="1"/>
  <c r="C64" i="39" s="1"/>
  <c r="R15" i="43"/>
  <c r="Q15" i="43" s="1"/>
  <c r="C65" i="39" s="1"/>
  <c r="R16" i="43"/>
  <c r="Q16" i="43" s="1"/>
  <c r="C66" i="39" s="1"/>
  <c r="R17" i="43"/>
  <c r="Q17" i="43" s="1"/>
  <c r="C67" i="39" s="1"/>
  <c r="R18" i="43"/>
  <c r="Q18" i="43" s="1"/>
  <c r="C68" i="39" s="1"/>
  <c r="R19" i="43"/>
  <c r="Q19" i="43" s="1"/>
  <c r="C69" i="39" s="1"/>
  <c r="R20" i="43"/>
  <c r="Q20" i="43" s="1"/>
  <c r="C70" i="39" s="1"/>
  <c r="R21" i="43"/>
  <c r="Q21" i="43" s="1"/>
  <c r="C71" i="39" s="1"/>
  <c r="R22" i="43"/>
  <c r="Q22" i="43" s="1"/>
  <c r="C72" i="39" s="1"/>
  <c r="R23" i="43"/>
  <c r="Q23" i="43" s="1"/>
  <c r="C73" i="39" s="1"/>
  <c r="R24" i="43"/>
  <c r="Q24" i="43" s="1"/>
  <c r="C74" i="39" s="1"/>
  <c r="R25" i="43"/>
  <c r="Q25" i="43" s="1"/>
  <c r="C75" i="39" s="1"/>
  <c r="R26" i="43"/>
  <c r="R27" i="43"/>
  <c r="Q27" i="43" s="1"/>
  <c r="C77" i="39" s="1"/>
  <c r="R28" i="43"/>
  <c r="Q28" i="43" s="1"/>
  <c r="C78" i="39" s="1"/>
  <c r="R29" i="43"/>
  <c r="Q29" i="43" s="1"/>
  <c r="C79" i="39" s="1"/>
  <c r="R30" i="43"/>
  <c r="Q30" i="43" s="1"/>
  <c r="C80" i="39" s="1"/>
  <c r="R31" i="43"/>
  <c r="Q31" i="43" s="1"/>
  <c r="C81" i="39" s="1"/>
  <c r="R32" i="43"/>
  <c r="Q32" i="43" s="1"/>
  <c r="C82" i="39" s="1"/>
  <c r="R33" i="43"/>
  <c r="Q33" i="43" s="1"/>
  <c r="P34" i="42"/>
  <c r="R3" i="42"/>
  <c r="R4" i="42"/>
  <c r="Q4" i="42" s="1"/>
  <c r="C814" i="6" s="1"/>
  <c r="R5" i="42"/>
  <c r="Q5" i="42" s="1"/>
  <c r="C815" i="6" s="1"/>
  <c r="R6" i="42"/>
  <c r="Q6" i="42" s="1"/>
  <c r="C816" i="6" s="1"/>
  <c r="R7" i="42"/>
  <c r="Q7" i="42" s="1"/>
  <c r="C817" i="6" s="1"/>
  <c r="R8" i="42"/>
  <c r="Q8" i="42" s="1"/>
  <c r="C818" i="6" s="1"/>
  <c r="R9" i="42"/>
  <c r="Q9" i="42" s="1"/>
  <c r="C819" i="6" s="1"/>
  <c r="R10" i="42"/>
  <c r="Q10" i="42" s="1"/>
  <c r="C820" i="6" s="1"/>
  <c r="R11" i="42"/>
  <c r="Q11" i="42" s="1"/>
  <c r="C821" i="6" s="1"/>
  <c r="R12" i="42"/>
  <c r="Q12" i="42" s="1"/>
  <c r="C822" i="6" s="1"/>
  <c r="R13" i="42"/>
  <c r="Q13" i="42" s="1"/>
  <c r="C823" i="6" s="1"/>
  <c r="R14" i="42"/>
  <c r="Q14" i="42" s="1"/>
  <c r="C824" i="6" s="1"/>
  <c r="R15" i="42"/>
  <c r="Q15" i="42" s="1"/>
  <c r="C825" i="6" s="1"/>
  <c r="R16" i="42"/>
  <c r="Q16" i="42" s="1"/>
  <c r="C826" i="6" s="1"/>
  <c r="R17" i="42"/>
  <c r="R18" i="42"/>
  <c r="Q18" i="42" s="1"/>
  <c r="C828" i="6" s="1"/>
  <c r="R19" i="42"/>
  <c r="Q19" i="42" s="1"/>
  <c r="C829" i="6" s="1"/>
  <c r="R20" i="42"/>
  <c r="Q20" i="42" s="1"/>
  <c r="C830" i="6" s="1"/>
  <c r="R21" i="42"/>
  <c r="Q21" i="42" s="1"/>
  <c r="C831" i="6" s="1"/>
  <c r="R22" i="42"/>
  <c r="Q22" i="42" s="1"/>
  <c r="C832" i="6" s="1"/>
  <c r="R23" i="42"/>
  <c r="Q23" i="42" s="1"/>
  <c r="C833" i="6" s="1"/>
  <c r="R24" i="42"/>
  <c r="Q24" i="42" s="1"/>
  <c r="C834" i="6" s="1"/>
  <c r="R25" i="42"/>
  <c r="Q25" i="42" s="1"/>
  <c r="C835" i="6" s="1"/>
  <c r="R26" i="42"/>
  <c r="Q26" i="42" s="1"/>
  <c r="C836" i="6" s="1"/>
  <c r="R27" i="42"/>
  <c r="Q27" i="42" s="1"/>
  <c r="C837" i="6" s="1"/>
  <c r="R28" i="42"/>
  <c r="Q28" i="42" s="1"/>
  <c r="C838" i="6" s="1"/>
  <c r="R29" i="42"/>
  <c r="Q29" i="42" s="1"/>
  <c r="C839" i="6" s="1"/>
  <c r="R30" i="42"/>
  <c r="Q30" i="42" s="1"/>
  <c r="C840" i="6" s="1"/>
  <c r="R31" i="42"/>
  <c r="Q31" i="42" s="1"/>
  <c r="C841" i="6" s="1"/>
  <c r="R32" i="42"/>
  <c r="R33" i="42"/>
  <c r="Q33" i="42" s="1"/>
  <c r="P34" i="41"/>
  <c r="R3" i="41"/>
  <c r="R4" i="41"/>
  <c r="Q4" i="41" s="1"/>
  <c r="C782" i="6" s="1"/>
  <c r="R5" i="41"/>
  <c r="Q5" i="41" s="1"/>
  <c r="C783" i="6" s="1"/>
  <c r="R6" i="41"/>
  <c r="Q6" i="41" s="1"/>
  <c r="C784" i="6" s="1"/>
  <c r="R7" i="41"/>
  <c r="Q7" i="41" s="1"/>
  <c r="C785" i="6" s="1"/>
  <c r="R8" i="41"/>
  <c r="Q8" i="41" s="1"/>
  <c r="C786" i="6" s="1"/>
  <c r="R9" i="41"/>
  <c r="Q9" i="41" s="1"/>
  <c r="C787" i="6" s="1"/>
  <c r="R10" i="41"/>
  <c r="Q10" i="41" s="1"/>
  <c r="C788" i="6" s="1"/>
  <c r="R11" i="41"/>
  <c r="Q11" i="41" s="1"/>
  <c r="C789" i="6" s="1"/>
  <c r="R12" i="41"/>
  <c r="Q12" i="41" s="1"/>
  <c r="C790" i="6" s="1"/>
  <c r="R13" i="41"/>
  <c r="Q13" i="41" s="1"/>
  <c r="C791" i="6" s="1"/>
  <c r="R14" i="41"/>
  <c r="Q14" i="41" s="1"/>
  <c r="C792" i="6" s="1"/>
  <c r="R15" i="41"/>
  <c r="Q15" i="41" s="1"/>
  <c r="C793" i="6" s="1"/>
  <c r="R16" i="41"/>
  <c r="Q16" i="41" s="1"/>
  <c r="C794" i="6" s="1"/>
  <c r="R17" i="41"/>
  <c r="Q17" i="41" s="1"/>
  <c r="C795" i="6" s="1"/>
  <c r="R18" i="41"/>
  <c r="Q18" i="41" s="1"/>
  <c r="C796" i="6" s="1"/>
  <c r="R19" i="41"/>
  <c r="Q19" i="41" s="1"/>
  <c r="C797" i="6" s="1"/>
  <c r="R20" i="41"/>
  <c r="Q20" i="41" s="1"/>
  <c r="C798" i="6" s="1"/>
  <c r="R21" i="41"/>
  <c r="Q21" i="41" s="1"/>
  <c r="C799" i="6" s="1"/>
  <c r="R22" i="41"/>
  <c r="Q22" i="41" s="1"/>
  <c r="C800" i="6" s="1"/>
  <c r="R23" i="41"/>
  <c r="Q23" i="41" s="1"/>
  <c r="C801" i="6" s="1"/>
  <c r="R24" i="41"/>
  <c r="Q24" i="41" s="1"/>
  <c r="C802" i="6" s="1"/>
  <c r="R25" i="41"/>
  <c r="Q25" i="41" s="1"/>
  <c r="C803" i="6" s="1"/>
  <c r="R26" i="41"/>
  <c r="Q26" i="41" s="1"/>
  <c r="C804" i="6" s="1"/>
  <c r="R27" i="41"/>
  <c r="Q27" i="41" s="1"/>
  <c r="C805" i="6" s="1"/>
  <c r="R28" i="41"/>
  <c r="Q28" i="41" s="1"/>
  <c r="C806" i="6" s="1"/>
  <c r="R29" i="41"/>
  <c r="Q29" i="41" s="1"/>
  <c r="C807" i="6" s="1"/>
  <c r="R30" i="41"/>
  <c r="Q30" i="41" s="1"/>
  <c r="C808" i="6" s="1"/>
  <c r="R31" i="41"/>
  <c r="Q31" i="41" s="1"/>
  <c r="C809" i="6" s="1"/>
  <c r="R32" i="41"/>
  <c r="Q32" i="41" s="1"/>
  <c r="C810" i="6" s="1"/>
  <c r="Q26" i="37"/>
  <c r="R33" i="40"/>
  <c r="Q33" i="40" s="1"/>
  <c r="C51" i="39" s="1"/>
  <c r="R32" i="40"/>
  <c r="Q32" i="40" s="1"/>
  <c r="C50" i="39" s="1"/>
  <c r="R31" i="40"/>
  <c r="Q31" i="40" s="1"/>
  <c r="C49" i="39" s="1"/>
  <c r="R30" i="40"/>
  <c r="Q30" i="40" s="1"/>
  <c r="C48" i="39" s="1"/>
  <c r="R29" i="40"/>
  <c r="Q29" i="40" s="1"/>
  <c r="C47" i="39" s="1"/>
  <c r="R28" i="40"/>
  <c r="Q28" i="40" s="1"/>
  <c r="C46" i="39" s="1"/>
  <c r="R27" i="40"/>
  <c r="Q27" i="40" s="1"/>
  <c r="C45" i="39" s="1"/>
  <c r="R26" i="40"/>
  <c r="Q26" i="40" s="1"/>
  <c r="C44" i="39" s="1"/>
  <c r="R25" i="40"/>
  <c r="Q25" i="40" s="1"/>
  <c r="C43" i="39" s="1"/>
  <c r="R24" i="40"/>
  <c r="Q24" i="40" s="1"/>
  <c r="C42" i="39" s="1"/>
  <c r="R23" i="40"/>
  <c r="Q23" i="40" s="1"/>
  <c r="C41" i="39" s="1"/>
  <c r="R22" i="40"/>
  <c r="Q22" i="40" s="1"/>
  <c r="C40" i="39" s="1"/>
  <c r="R21" i="40"/>
  <c r="Q21" i="40" s="1"/>
  <c r="C39" i="39" s="1"/>
  <c r="R20" i="40"/>
  <c r="Q20" i="40" s="1"/>
  <c r="C38" i="39" s="1"/>
  <c r="P34" i="40"/>
  <c r="R3" i="40"/>
  <c r="R4" i="40"/>
  <c r="Q4" i="40" s="1"/>
  <c r="C22" i="39" s="1"/>
  <c r="R5" i="40"/>
  <c r="Q5" i="40" s="1"/>
  <c r="C23" i="39" s="1"/>
  <c r="R6" i="40"/>
  <c r="Q6" i="40" s="1"/>
  <c r="C24" i="39" s="1"/>
  <c r="R7" i="40"/>
  <c r="Q7" i="40" s="1"/>
  <c r="C25" i="39" s="1"/>
  <c r="R8" i="40"/>
  <c r="Q8" i="40" s="1"/>
  <c r="C26" i="39" s="1"/>
  <c r="R9" i="40"/>
  <c r="Q9" i="40" s="1"/>
  <c r="C27" i="39" s="1"/>
  <c r="R10" i="40"/>
  <c r="Q10" i="40" s="1"/>
  <c r="C28" i="39" s="1"/>
  <c r="Q11" i="40"/>
  <c r="C29" i="39" s="1"/>
  <c r="R12" i="40"/>
  <c r="Q12" i="40" s="1"/>
  <c r="C30" i="39" s="1"/>
  <c r="R13" i="40"/>
  <c r="Q13" i="40" s="1"/>
  <c r="C31" i="39" s="1"/>
  <c r="R14" i="40"/>
  <c r="Q14" i="40" s="1"/>
  <c r="C32" i="39" s="1"/>
  <c r="R15" i="40"/>
  <c r="Q15" i="40" s="1"/>
  <c r="C33" i="39" s="1"/>
  <c r="R16" i="40"/>
  <c r="Q16" i="40" s="1"/>
  <c r="C34" i="39" s="1"/>
  <c r="R17" i="40"/>
  <c r="Q17" i="40" s="1"/>
  <c r="C35" i="39" s="1"/>
  <c r="R18" i="40"/>
  <c r="Q18" i="40" s="1"/>
  <c r="C36" i="39" s="1"/>
  <c r="R19" i="40"/>
  <c r="Q19" i="40" s="1"/>
  <c r="C37" i="39" s="1"/>
  <c r="P21" i="38"/>
  <c r="R4" i="38"/>
  <c r="Q4" i="38" s="1"/>
  <c r="C3" i="39" s="1"/>
  <c r="R5" i="38"/>
  <c r="Q5" i="38" s="1"/>
  <c r="C4" i="39" s="1"/>
  <c r="R6" i="38"/>
  <c r="Q6" i="38" s="1"/>
  <c r="C5" i="39" s="1"/>
  <c r="R7" i="38"/>
  <c r="Q7" i="38" s="1"/>
  <c r="C6" i="39" s="1"/>
  <c r="R8" i="38"/>
  <c r="Q8" i="38" s="1"/>
  <c r="C7" i="39" s="1"/>
  <c r="R9" i="38"/>
  <c r="Q9" i="38" s="1"/>
  <c r="C8" i="39" s="1"/>
  <c r="R10" i="38"/>
  <c r="Q10" i="38" s="1"/>
  <c r="C9" i="39" s="1"/>
  <c r="R11" i="38"/>
  <c r="Q11" i="38" s="1"/>
  <c r="C10" i="39" s="1"/>
  <c r="R12" i="38"/>
  <c r="Q12" i="38" s="1"/>
  <c r="C11" i="39" s="1"/>
  <c r="R13" i="38"/>
  <c r="Q13" i="38" s="1"/>
  <c r="C12" i="39" s="1"/>
  <c r="R14" i="38"/>
  <c r="Q14" i="38" s="1"/>
  <c r="C13" i="39" s="1"/>
  <c r="R15" i="38"/>
  <c r="Q15" i="38" s="1"/>
  <c r="C14" i="39" s="1"/>
  <c r="R16" i="38"/>
  <c r="Q16" i="38" s="1"/>
  <c r="C15" i="39" s="1"/>
  <c r="R17" i="38"/>
  <c r="Q17" i="38" s="1"/>
  <c r="C16" i="39" s="1"/>
  <c r="R18" i="38"/>
  <c r="Q18" i="38" s="1"/>
  <c r="C17" i="39" s="1"/>
  <c r="R19" i="38"/>
  <c r="Q19" i="38" s="1"/>
  <c r="C18" i="39" s="1"/>
  <c r="R20" i="38"/>
  <c r="Q20" i="38" s="1"/>
  <c r="C19" i="39" s="1"/>
  <c r="P34" i="37"/>
  <c r="R4" i="37"/>
  <c r="Q4" i="37" s="1"/>
  <c r="C751" i="6" s="1"/>
  <c r="R5" i="37"/>
  <c r="Q5" i="37" s="1"/>
  <c r="C752" i="6" s="1"/>
  <c r="R6" i="37"/>
  <c r="Q6" i="37" s="1"/>
  <c r="C753" i="6" s="1"/>
  <c r="R7" i="37"/>
  <c r="Q7" i="37" s="1"/>
  <c r="C754" i="6" s="1"/>
  <c r="R8" i="37"/>
  <c r="Q8" i="37" s="1"/>
  <c r="C755" i="6" s="1"/>
  <c r="R9" i="37"/>
  <c r="Q9" i="37" s="1"/>
  <c r="C756" i="6" s="1"/>
  <c r="R10" i="37"/>
  <c r="Q10" i="37" s="1"/>
  <c r="C757" i="6" s="1"/>
  <c r="R11" i="37"/>
  <c r="Q11" i="37" s="1"/>
  <c r="C758" i="6" s="1"/>
  <c r="R12" i="37"/>
  <c r="Q12" i="37" s="1"/>
  <c r="C759" i="6" s="1"/>
  <c r="R13" i="37"/>
  <c r="Q13" i="37" s="1"/>
  <c r="C760" i="6" s="1"/>
  <c r="R14" i="37"/>
  <c r="Q14" i="37" s="1"/>
  <c r="C761" i="6" s="1"/>
  <c r="R15" i="37"/>
  <c r="Q15" i="37" s="1"/>
  <c r="C762" i="6" s="1"/>
  <c r="R16" i="37"/>
  <c r="Q16" i="37" s="1"/>
  <c r="C763" i="6" s="1"/>
  <c r="R17" i="37"/>
  <c r="Q17" i="37" s="1"/>
  <c r="C764" i="6" s="1"/>
  <c r="R18" i="37"/>
  <c r="Q18" i="37" s="1"/>
  <c r="C765" i="6" s="1"/>
  <c r="R19" i="37"/>
  <c r="Q19" i="37" s="1"/>
  <c r="C766" i="6" s="1"/>
  <c r="R20" i="37"/>
  <c r="Q20" i="37" s="1"/>
  <c r="C767" i="6" s="1"/>
  <c r="C768" i="6"/>
  <c r="R22" i="37"/>
  <c r="Q22" i="37" s="1"/>
  <c r="C769" i="6" s="1"/>
  <c r="R23" i="37"/>
  <c r="Q23" i="37" s="1"/>
  <c r="C770" i="6" s="1"/>
  <c r="R24" i="37"/>
  <c r="Q24" i="37" s="1"/>
  <c r="C771" i="6" s="1"/>
  <c r="R25" i="37"/>
  <c r="C773" i="6"/>
  <c r="R27" i="37"/>
  <c r="R28" i="37"/>
  <c r="Q28" i="37" s="1"/>
  <c r="C775" i="6" s="1"/>
  <c r="R29" i="37"/>
  <c r="Q29" i="37" s="1"/>
  <c r="C776" i="6" s="1"/>
  <c r="R30" i="37"/>
  <c r="Q30" i="37" s="1"/>
  <c r="C777" i="6" s="1"/>
  <c r="R31" i="37"/>
  <c r="Q31" i="37" s="1"/>
  <c r="C778" i="6" s="1"/>
  <c r="R32" i="37"/>
  <c r="Q32" i="37" s="1"/>
  <c r="C779" i="6" s="1"/>
  <c r="R33" i="37"/>
  <c r="Q33" i="37" s="1"/>
  <c r="R17" i="36"/>
  <c r="Q17" i="36" s="1"/>
  <c r="C732" i="6" s="1"/>
  <c r="C1" i="36"/>
  <c r="Q9" i="36"/>
  <c r="C724" i="6" s="1"/>
  <c r="Q6" i="36"/>
  <c r="C721" i="6" s="1"/>
  <c r="P34" i="36"/>
  <c r="M33" i="35"/>
  <c r="O2" i="35"/>
  <c r="M33" i="34"/>
  <c r="O2" i="34"/>
  <c r="O9" i="34"/>
  <c r="N9" i="34" s="1"/>
  <c r="C662" i="6" s="1"/>
  <c r="M33" i="32"/>
  <c r="O2" i="32"/>
  <c r="F8" i="5"/>
  <c r="F6" i="5" s="1"/>
  <c r="M32" i="31"/>
  <c r="O2" i="31"/>
  <c r="M33" i="30"/>
  <c r="O2" i="30"/>
  <c r="M33" i="29"/>
  <c r="O2" i="29"/>
  <c r="N20" i="28"/>
  <c r="C516" i="6" s="1"/>
  <c r="M33" i="28"/>
  <c r="O2" i="28"/>
  <c r="C463" i="6"/>
  <c r="C462" i="6"/>
  <c r="C461" i="6"/>
  <c r="C460" i="6"/>
  <c r="C459" i="6"/>
  <c r="N25" i="26"/>
  <c r="M33" i="27"/>
  <c r="O2" i="27"/>
  <c r="M33" i="26"/>
  <c r="O2" i="26"/>
  <c r="M33" i="25"/>
  <c r="O2" i="25"/>
  <c r="C17" i="5"/>
  <c r="F10" i="5" s="1"/>
  <c r="F12" i="5" s="1"/>
  <c r="L33" i="7"/>
  <c r="N2" i="7"/>
  <c r="L34" i="8"/>
  <c r="N2" i="8"/>
  <c r="M34" i="9"/>
  <c r="O2" i="9"/>
  <c r="M34" i="10"/>
  <c r="O2" i="10"/>
  <c r="O2" i="11"/>
  <c r="M25" i="11"/>
  <c r="M34" i="12"/>
  <c r="O2" i="12"/>
  <c r="M34" i="13"/>
  <c r="O2" i="13"/>
  <c r="M34" i="14"/>
  <c r="O2" i="14"/>
  <c r="M34" i="15"/>
  <c r="O2" i="15"/>
  <c r="M34" i="16"/>
  <c r="O2" i="16"/>
  <c r="M34" i="17"/>
  <c r="O2" i="17"/>
  <c r="M34" i="18"/>
  <c r="O2" i="18"/>
  <c r="O2" i="19"/>
  <c r="M27" i="19"/>
  <c r="M28" i="19"/>
  <c r="O28" i="19" s="1"/>
  <c r="N28" i="19" s="1"/>
  <c r="C270" i="6" s="1"/>
  <c r="M33" i="20"/>
  <c r="O2" i="20"/>
  <c r="M33" i="21"/>
  <c r="O2" i="21"/>
  <c r="M33" i="22"/>
  <c r="O2" i="22"/>
  <c r="M33" i="23"/>
  <c r="O2" i="23"/>
  <c r="Q17" i="42" l="1"/>
  <c r="C827" i="6" s="1"/>
  <c r="Q32" i="42"/>
  <c r="C842" i="6" s="1"/>
  <c r="Q26" i="43"/>
  <c r="C76" i="39" s="1"/>
  <c r="Q27" i="37"/>
  <c r="C774" i="6" s="1"/>
  <c r="R34" i="43"/>
  <c r="Q34" i="43" s="1"/>
  <c r="C53" i="39"/>
  <c r="R34" i="42"/>
  <c r="Q34" i="42" s="1"/>
  <c r="Q3" i="42"/>
  <c r="C813" i="6" s="1"/>
  <c r="R34" i="41"/>
  <c r="Q3" i="41"/>
  <c r="C781" i="6" s="1"/>
  <c r="Q34" i="41"/>
  <c r="Q25" i="37"/>
  <c r="C772" i="6" s="1"/>
  <c r="R34" i="40"/>
  <c r="Q3" i="40"/>
  <c r="C21" i="39" s="1"/>
  <c r="Q34" i="40"/>
  <c r="R21" i="38"/>
  <c r="Q21" i="38"/>
  <c r="R34" i="37"/>
  <c r="Q3" i="37"/>
  <c r="C750" i="6" s="1"/>
  <c r="Q34" i="37"/>
  <c r="R34" i="36"/>
  <c r="Q3" i="36"/>
  <c r="C718" i="6" s="1"/>
  <c r="Q34" i="36"/>
  <c r="O33" i="35"/>
  <c r="N2" i="35"/>
  <c r="C686" i="6" s="1"/>
  <c r="N33" i="35"/>
  <c r="O33" i="34"/>
  <c r="N33" i="34" s="1"/>
  <c r="N2" i="34"/>
  <c r="C655" i="6" s="1"/>
  <c r="O33" i="32"/>
  <c r="N2" i="32"/>
  <c r="C623" i="6" s="1"/>
  <c r="N33" i="32"/>
  <c r="O32" i="31"/>
  <c r="N2" i="31"/>
  <c r="C592" i="6" s="1"/>
  <c r="N32" i="31"/>
  <c r="O33" i="30"/>
  <c r="N33" i="30" s="1"/>
  <c r="N2" i="30"/>
  <c r="C560" i="6" s="1"/>
  <c r="O33" i="29"/>
  <c r="N2" i="29"/>
  <c r="C530" i="6" s="1"/>
  <c r="N33" i="29"/>
  <c r="O33" i="28"/>
  <c r="N2" i="28"/>
  <c r="C498" i="6" s="1"/>
  <c r="N33" i="28"/>
  <c r="C457" i="6"/>
  <c r="O33" i="27"/>
  <c r="N2" i="27"/>
  <c r="C466" i="6" s="1"/>
  <c r="N33" i="27"/>
  <c r="O33" i="26"/>
  <c r="N2" i="26"/>
  <c r="C434" i="6" s="1"/>
  <c r="N33" i="26"/>
  <c r="O33" i="25"/>
  <c r="N33" i="25" s="1"/>
  <c r="N2" i="25"/>
  <c r="C402" i="6" s="1"/>
  <c r="O33" i="23"/>
  <c r="N2" i="23"/>
  <c r="C371" i="6" s="1"/>
  <c r="N33" i="23"/>
  <c r="O33" i="22"/>
  <c r="N2" i="22"/>
  <c r="C339" i="6" s="1"/>
  <c r="N33" i="22"/>
  <c r="O33" i="21"/>
  <c r="N2" i="21"/>
  <c r="C307" i="6" s="1"/>
  <c r="N33" i="21"/>
  <c r="O33" i="20"/>
  <c r="N2" i="20"/>
  <c r="C276" i="6" s="1"/>
  <c r="N33" i="20"/>
  <c r="O27" i="19"/>
  <c r="N27" i="19" s="1"/>
  <c r="C269" i="6" s="1"/>
  <c r="M34" i="19"/>
  <c r="N2" i="19"/>
  <c r="C244" i="6" s="1"/>
  <c r="O34" i="18"/>
  <c r="N2" i="18"/>
  <c r="C213" i="6" s="1"/>
  <c r="N34" i="18"/>
  <c r="O34" i="17"/>
  <c r="N34" i="17" s="1"/>
  <c r="N2" i="17"/>
  <c r="C181" i="6" s="1"/>
  <c r="O34" i="16"/>
  <c r="N34" i="16" s="1"/>
  <c r="N2" i="16"/>
  <c r="C152" i="6" s="1"/>
  <c r="O34" i="15"/>
  <c r="N2" i="15"/>
  <c r="C120" i="6" s="1"/>
  <c r="N34" i="15"/>
  <c r="O34" i="14"/>
  <c r="N2" i="14"/>
  <c r="C88" i="6" s="1"/>
  <c r="N34" i="14"/>
  <c r="O34" i="13"/>
  <c r="N2" i="13"/>
  <c r="C57" i="6" s="1"/>
  <c r="N34" i="13"/>
  <c r="O34" i="12"/>
  <c r="N2" i="12"/>
  <c r="C25" i="6" s="1"/>
  <c r="N34" i="12"/>
  <c r="O25" i="11"/>
  <c r="N25" i="11" s="1"/>
  <c r="C17" i="6" s="1"/>
  <c r="M34" i="11"/>
  <c r="N2" i="11"/>
  <c r="O34" i="10"/>
  <c r="N2" i="10"/>
  <c r="R34" i="10"/>
  <c r="N34" i="10"/>
  <c r="O34" i="9"/>
  <c r="N34" i="9" s="1"/>
  <c r="N2" i="9"/>
  <c r="R34" i="9"/>
  <c r="N34" i="8"/>
  <c r="M2" i="8"/>
  <c r="Q34" i="8"/>
  <c r="M34" i="8"/>
  <c r="N33" i="7"/>
  <c r="M2" i="7"/>
  <c r="M33" i="7" s="1"/>
  <c r="O34" i="11" l="1"/>
  <c r="O34" i="19"/>
  <c r="N34" i="11"/>
  <c r="N34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tc={76D3D43A-F970-4EF8-9499-D6C6A55FB214}</author>
  </authors>
  <commentList>
    <comment ref="H26" authorId="0" shapeId="0" xr:uid="{76D3D43A-F970-4EF8-9499-D6C6A55FB2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VALIDAR RELATÓRIO UBER EATS PARA CONFIRMAR QUEBRA MB</t>
      </text>
    </comment>
  </commentList>
</comments>
</file>

<file path=xl/sharedStrings.xml><?xml version="1.0" encoding="utf-8"?>
<sst xmlns="http://schemas.openxmlformats.org/spreadsheetml/2006/main" count="11480" uniqueCount="2690">
  <si>
    <t>Fornecedores</t>
  </si>
  <si>
    <t>Rivoli</t>
  </si>
  <si>
    <t>2 rendas</t>
  </si>
  <si>
    <t>Suvita</t>
  </si>
  <si>
    <t>20% leasing</t>
  </si>
  <si>
    <t>Gastro</t>
  </si>
  <si>
    <t>Bancadas</t>
  </si>
  <si>
    <t>Sara</t>
  </si>
  <si>
    <t>Projeto</t>
  </si>
  <si>
    <t>Sklum</t>
  </si>
  <si>
    <t>Mesas</t>
  </si>
  <si>
    <t>Aexperial</t>
  </si>
  <si>
    <t>Carapinas</t>
  </si>
  <si>
    <t>Decorestudio</t>
  </si>
  <si>
    <t>Luminoso - 40% do valor total</t>
  </si>
  <si>
    <t>Protame</t>
  </si>
  <si>
    <t>POS Formosa</t>
  </si>
  <si>
    <t>Cutlab</t>
  </si>
  <si>
    <t>Vinil Recortado 583,25 + 583,25</t>
  </si>
  <si>
    <t>BigBox</t>
  </si>
  <si>
    <t>Planeta Polvilhado, Lda</t>
  </si>
  <si>
    <t>Wisdom Valley</t>
  </si>
  <si>
    <t>Fat Serviços de Restauração. Lda</t>
  </si>
  <si>
    <t>Grasumos</t>
  </si>
  <si>
    <t>BRAULIOINVEST, SOCIEDAD LIMITADA</t>
  </si>
  <si>
    <t>Gabarito Vaporoso, Lda</t>
  </si>
  <si>
    <t>Magofri</t>
  </si>
  <si>
    <t>Leasing Matosinhos</t>
  </si>
  <si>
    <t>Pizzaria e Steak house - Temperos mágicos</t>
  </si>
  <si>
    <t>Sweebarts Lda</t>
  </si>
  <si>
    <t>Ambiese</t>
  </si>
  <si>
    <t>PRC Contabilidade</t>
  </si>
  <si>
    <t>Greenpack</t>
  </si>
  <si>
    <t>Estrela Pendular Lda</t>
  </si>
  <si>
    <t>Marques &amp; Cruz</t>
  </si>
  <si>
    <t>Grape Ideas SA</t>
  </si>
  <si>
    <t>Ricardo Jorge Pereira Teixeira</t>
  </si>
  <si>
    <t xml:space="preserve">Rivoli II </t>
  </si>
  <si>
    <t>Leasing Bolhão</t>
  </si>
  <si>
    <t>Ageas</t>
  </si>
  <si>
    <t>Pompa e Sucesso</t>
  </si>
  <si>
    <t>Estado - IRS - DMR</t>
  </si>
  <si>
    <t>ST Iberica, Soc. Unipessoal Lda</t>
  </si>
  <si>
    <t>Seg Social - TSU</t>
  </si>
  <si>
    <t>Vanillafriends Lda</t>
  </si>
  <si>
    <t>Símbolo Versátil</t>
  </si>
  <si>
    <t>Estado - IRS, IRC, IS</t>
  </si>
  <si>
    <t>Gelitália</t>
  </si>
  <si>
    <t>Nem carne nem peixe Lda</t>
  </si>
  <si>
    <t>Timeout Market</t>
  </si>
  <si>
    <t>Salários</t>
  </si>
  <si>
    <t>Kaigi Lda</t>
  </si>
  <si>
    <t>Porto Higiene</t>
  </si>
  <si>
    <t>Flor de Leite</t>
  </si>
  <si>
    <t>Estado - IVA 1º trimestre</t>
  </si>
  <si>
    <t>Porto Arts Club</t>
  </si>
  <si>
    <t>Tipo</t>
  </si>
  <si>
    <t>Recebimento</t>
  </si>
  <si>
    <t>Estado</t>
  </si>
  <si>
    <t>Por pagar</t>
  </si>
  <si>
    <t>Alexandre Batata</t>
  </si>
  <si>
    <t>Semea - Gull Lazer e Restauração, Lda</t>
  </si>
  <si>
    <t>Casamento João e Carla</t>
  </si>
  <si>
    <t>Pizzaria Steak House Temperos Mágicos</t>
  </si>
  <si>
    <t>Data</t>
  </si>
  <si>
    <t>Pagamento</t>
  </si>
  <si>
    <t>Pago</t>
  </si>
  <si>
    <t xml:space="preserve"> yh6</t>
  </si>
  <si>
    <t>A Prestigiosa</t>
  </si>
  <si>
    <t>António Pedro Pinto</t>
  </si>
  <si>
    <t>Ascendi</t>
  </si>
  <si>
    <t>Bpref</t>
  </si>
  <si>
    <t>Câmara Municipal Matosinhos</t>
  </si>
  <si>
    <t>Casa das Chaves Fernando Dias Unip., Lda</t>
  </si>
  <si>
    <t>Cespan</t>
  </si>
  <si>
    <t>CityGolf</t>
  </si>
  <si>
    <t>David de Jesus - Marketing</t>
  </si>
  <si>
    <t>DC Associados</t>
  </si>
  <si>
    <t>Degar</t>
  </si>
  <si>
    <t>Desentop</t>
  </si>
  <si>
    <t>Distrialfa</t>
  </si>
  <si>
    <t>Estado - Declaração períodica IVA</t>
  </si>
  <si>
    <t>Factor Segurança</t>
  </si>
  <si>
    <t>Factorzag</t>
  </si>
  <si>
    <t>FCC - Máquinas, Eq Hoteleiros Lda</t>
  </si>
  <si>
    <t>FPHS</t>
  </si>
  <si>
    <t>Gelso</t>
  </si>
  <si>
    <t>IRC 2024</t>
  </si>
  <si>
    <t>IVA 3º Trimestre (1/2)</t>
  </si>
  <si>
    <t>Jorge Estafeta</t>
  </si>
  <si>
    <t>Maison d'Armorine</t>
  </si>
  <si>
    <t>Marketing - Vinicius</t>
  </si>
  <si>
    <t>Medibroker</t>
  </si>
  <si>
    <t>Pentágono Emergente</t>
  </si>
  <si>
    <t xml:space="preserve">Portagens </t>
  </si>
  <si>
    <t>PRC  Contabilidade</t>
  </si>
  <si>
    <t>Property Core Real State Fund</t>
  </si>
  <si>
    <t>Prossistemas</t>
  </si>
  <si>
    <t>Risquinhas</t>
  </si>
  <si>
    <t>Rivoli II</t>
  </si>
  <si>
    <t>Siculabriosce</t>
  </si>
  <si>
    <t>Solveman</t>
  </si>
  <si>
    <t>Sonal Singh</t>
  </si>
  <si>
    <t>Sonoro Media</t>
  </si>
  <si>
    <t>Sumol Compal</t>
  </si>
  <si>
    <t>UpWeGo</t>
  </si>
  <si>
    <t>Vasco Designer</t>
  </si>
  <si>
    <t>Weekly Practice</t>
  </si>
  <si>
    <t>Empresa</t>
  </si>
  <si>
    <t>Nome Comercial</t>
  </si>
  <si>
    <t>Fatura</t>
  </si>
  <si>
    <t>Valor Real</t>
  </si>
  <si>
    <t>Data Vencimento</t>
  </si>
  <si>
    <t>Centro Custo</t>
  </si>
  <si>
    <t>Agen confir</t>
  </si>
  <si>
    <t>Data Pagamento</t>
  </si>
  <si>
    <t>Valor Prev.</t>
  </si>
  <si>
    <t>Descrição</t>
  </si>
  <si>
    <t>FT25/575</t>
  </si>
  <si>
    <t>Matosinhos</t>
  </si>
  <si>
    <t>coco</t>
  </si>
  <si>
    <t>A prestigiosa</t>
  </si>
  <si>
    <t>FT23/6803</t>
  </si>
  <si>
    <t>Coco</t>
  </si>
  <si>
    <t>FT 23/6864</t>
  </si>
  <si>
    <t>Leite de coco</t>
  </si>
  <si>
    <t>FT 23/8170</t>
  </si>
  <si>
    <t>FT 24/10609</t>
  </si>
  <si>
    <t>FT25/9513</t>
  </si>
  <si>
    <t>ADENE</t>
  </si>
  <si>
    <t>FT 24/418287</t>
  </si>
  <si>
    <t>Baixa</t>
  </si>
  <si>
    <t>Taxa certificado energético - PT50 0035 0447 0005576690067</t>
  </si>
  <si>
    <t>Abóbada Verde</t>
  </si>
  <si>
    <t>FA 1A2501/83</t>
  </si>
  <si>
    <t>B2B</t>
  </si>
  <si>
    <t>PF 25/311</t>
  </si>
  <si>
    <t>Entidade: 23445  REF: 574889165  Valor: 15,23 /(até ao final do mês)</t>
  </si>
  <si>
    <t>AGEAS</t>
  </si>
  <si>
    <t>Apólice seguro A.Trabalho 20776 | 973 638 193</t>
  </si>
  <si>
    <t>Aluguer garagem</t>
  </si>
  <si>
    <t>Renda Setembro e Outubro 25</t>
  </si>
  <si>
    <t>AF System</t>
  </si>
  <si>
    <t>Orc25/185</t>
  </si>
  <si>
    <t>Suspenso</t>
  </si>
  <si>
    <t>Produção</t>
  </si>
  <si>
    <t>Transf de sinal de 1500€ a 14/10/2025</t>
  </si>
  <si>
    <t>Renda Julho e Agosto 25</t>
  </si>
  <si>
    <t>Renda Abril, Maio, Junho 25</t>
  </si>
  <si>
    <t>Renda Novembro e Dezembro 25</t>
  </si>
  <si>
    <t>Renda Jan e Fev 2026</t>
  </si>
  <si>
    <t>Renda Mar e Abr 2026</t>
  </si>
  <si>
    <t>FT 24/1735</t>
  </si>
  <si>
    <t>Detergentes</t>
  </si>
  <si>
    <t>FT 24/1860</t>
  </si>
  <si>
    <t>FT 24/1916</t>
  </si>
  <si>
    <t>FT24/1941</t>
  </si>
  <si>
    <t>FT24/1948</t>
  </si>
  <si>
    <t>FT24/1991</t>
  </si>
  <si>
    <t>FT24/2034</t>
  </si>
  <si>
    <t>FT24/2076</t>
  </si>
  <si>
    <t>FT25/135</t>
  </si>
  <si>
    <t>FT25/136</t>
  </si>
  <si>
    <t>FT25/196</t>
  </si>
  <si>
    <t>FT25/291</t>
  </si>
  <si>
    <t>FT25/241</t>
  </si>
  <si>
    <t>FT25/323</t>
  </si>
  <si>
    <t>FT25/240</t>
  </si>
  <si>
    <t>Bolhao</t>
  </si>
  <si>
    <t>FT25/322</t>
  </si>
  <si>
    <t>Bolhão</t>
  </si>
  <si>
    <t>FT25/366</t>
  </si>
  <si>
    <t>FT25/395</t>
  </si>
  <si>
    <t>FT25/394</t>
  </si>
  <si>
    <t>FT25/438</t>
  </si>
  <si>
    <t>FT25/480</t>
  </si>
  <si>
    <t>FT25/479</t>
  </si>
  <si>
    <t>FT25/519</t>
  </si>
  <si>
    <t>FT25/595</t>
  </si>
  <si>
    <t>Pago em duplicado. Abti o valor na FT25/673</t>
  </si>
  <si>
    <t>FT25/594</t>
  </si>
  <si>
    <t>FT25/632</t>
  </si>
  <si>
    <t>FT25/668</t>
  </si>
  <si>
    <t>FT25/700</t>
  </si>
  <si>
    <t>FT25/673</t>
  </si>
  <si>
    <t>Abater 38,03 FT 595 paga em duplicado</t>
  </si>
  <si>
    <t>FT25/741</t>
  </si>
  <si>
    <t>FT25/742</t>
  </si>
  <si>
    <t>FT24/2110</t>
  </si>
  <si>
    <t>FT24/2141</t>
  </si>
  <si>
    <t>FT24/2195</t>
  </si>
  <si>
    <t>FT24/2246</t>
  </si>
  <si>
    <t>NC 12 - 30,44€</t>
  </si>
  <si>
    <t>NC 13 - 10,15€</t>
  </si>
  <si>
    <t>FT 23/1579</t>
  </si>
  <si>
    <t>FT 23/1643</t>
  </si>
  <si>
    <t>FT 23/1731</t>
  </si>
  <si>
    <t>FT 23/1763</t>
  </si>
  <si>
    <t>FT 23/1866</t>
  </si>
  <si>
    <t>FT  23/1950</t>
  </si>
  <si>
    <t>FT 23/2068</t>
  </si>
  <si>
    <t>FT 23/2122</t>
  </si>
  <si>
    <t>Detergentes - NC 20</t>
  </si>
  <si>
    <t>FT 23/2150</t>
  </si>
  <si>
    <t>FT 23/2149</t>
  </si>
  <si>
    <t>FT 23/2183</t>
  </si>
  <si>
    <t>FT 23/2234</t>
  </si>
  <si>
    <t>FT 23/2281</t>
  </si>
  <si>
    <t>FT 23/2322</t>
  </si>
  <si>
    <t>FT 23/2378</t>
  </si>
  <si>
    <t>FT 24/4</t>
  </si>
  <si>
    <t>FT 24/56</t>
  </si>
  <si>
    <t>FT 24/94</t>
  </si>
  <si>
    <t>Deteregentes</t>
  </si>
  <si>
    <t>FT 24/149</t>
  </si>
  <si>
    <t>FT 24/162</t>
  </si>
  <si>
    <t>FT 24/200</t>
  </si>
  <si>
    <t>FT 24/291</t>
  </si>
  <si>
    <t>FT 24/341</t>
  </si>
  <si>
    <t>FT 24/375</t>
  </si>
  <si>
    <t>FT 24/413</t>
  </si>
  <si>
    <t>FT 24/476</t>
  </si>
  <si>
    <t>FT 24/484</t>
  </si>
  <si>
    <t>Doseadores NC 8</t>
  </si>
  <si>
    <t>FT 24/521</t>
  </si>
  <si>
    <t>FT 24/550</t>
  </si>
  <si>
    <t>FT 24/597</t>
  </si>
  <si>
    <t>FT 24/626</t>
  </si>
  <si>
    <t>FT 24/669</t>
  </si>
  <si>
    <t>FT 24/714</t>
  </si>
  <si>
    <t>Alex</t>
  </si>
  <si>
    <t>FT 1A2401/43</t>
  </si>
  <si>
    <t>Eventos</t>
  </si>
  <si>
    <t>André branquinho</t>
  </si>
  <si>
    <t>FA 1A2501/148</t>
  </si>
  <si>
    <t>Antónia Almeida (Ferpinta)</t>
  </si>
  <si>
    <t>Ferpinta</t>
  </si>
  <si>
    <t>FA1A2501/89</t>
  </si>
  <si>
    <t>FT 24/757</t>
  </si>
  <si>
    <t>FT 24/813</t>
  </si>
  <si>
    <t>Detergentes ( NC 12 / da FT 24/757)</t>
  </si>
  <si>
    <t>FT 24/856</t>
  </si>
  <si>
    <t>FT 24/892</t>
  </si>
  <si>
    <t>FT 24/936</t>
  </si>
  <si>
    <t>FT 24/992</t>
  </si>
  <si>
    <t>FT 24/241</t>
  </si>
  <si>
    <t>Papel</t>
  </si>
  <si>
    <t>FT 24/1035</t>
  </si>
  <si>
    <t>FT 24/1026</t>
  </si>
  <si>
    <t>FT 24/1065</t>
  </si>
  <si>
    <t>FT 24/1098</t>
  </si>
  <si>
    <t>FT 24/1160</t>
  </si>
  <si>
    <t>FT 24/1208</t>
  </si>
  <si>
    <t>FT 24/1258</t>
  </si>
  <si>
    <t>FT 24/1309</t>
  </si>
  <si>
    <t>FT 24/1326</t>
  </si>
  <si>
    <t>FT 24/1344</t>
  </si>
  <si>
    <t>FT 24/1369</t>
  </si>
  <si>
    <t>FT 24/1405</t>
  </si>
  <si>
    <t>FT 24/1420</t>
  </si>
  <si>
    <t>FT 24/1438</t>
  </si>
  <si>
    <t>FT 24/1456</t>
  </si>
  <si>
    <t>FT 24/1474</t>
  </si>
  <si>
    <t>Detergente/papel</t>
  </si>
  <si>
    <t>FT 24/1505</t>
  </si>
  <si>
    <t>Toalheiros</t>
  </si>
  <si>
    <t>FT 24/1508</t>
  </si>
  <si>
    <t>FT 24/1514</t>
  </si>
  <si>
    <t>FT 24/1551</t>
  </si>
  <si>
    <t>FT 24/1543</t>
  </si>
  <si>
    <t>FT 24/1610</t>
  </si>
  <si>
    <t>FT 24/1648</t>
  </si>
  <si>
    <t>FT 24/1694</t>
  </si>
  <si>
    <t>FT24/1815</t>
  </si>
  <si>
    <t>Detergentes e consumíveis</t>
  </si>
  <si>
    <t>FT 24/5536</t>
  </si>
  <si>
    <t>Queijo da serra</t>
  </si>
  <si>
    <t>FT25/10174</t>
  </si>
  <si>
    <t>Queijo PT50003502100002248053068</t>
  </si>
  <si>
    <t>FT 24/6512</t>
  </si>
  <si>
    <t>Queijo da Serra</t>
  </si>
  <si>
    <t>FT25/15756</t>
  </si>
  <si>
    <t>FT26/18876</t>
  </si>
  <si>
    <t xml:space="preserve">ent: 21218 ref: 257195085 </t>
  </si>
  <si>
    <t>Autoridade tribrutária</t>
  </si>
  <si>
    <t>IVA 3º Trimestre (2/2) Ref pgto: 162570027309851</t>
  </si>
  <si>
    <t>AYOPA</t>
  </si>
  <si>
    <t>FT 24/131</t>
  </si>
  <si>
    <t xml:space="preserve">Monitor Publicidade - 1º prestação 600€ - 2 prestação 549,68 </t>
  </si>
  <si>
    <t>FT 24/132</t>
  </si>
  <si>
    <t>Moldura Monitor</t>
  </si>
  <si>
    <t>Bidfood</t>
  </si>
  <si>
    <t>Falta NC no valor de 71,90 (Figos)</t>
  </si>
  <si>
    <t>FT 23/38311</t>
  </si>
  <si>
    <t>Morangos</t>
  </si>
  <si>
    <t>FT 23/39463</t>
  </si>
  <si>
    <t>FT 23/40433</t>
  </si>
  <si>
    <t>BidFood</t>
  </si>
  <si>
    <t>FT 23/41154</t>
  </si>
  <si>
    <t>FT 23/41723</t>
  </si>
  <si>
    <t>FT 23/42497</t>
  </si>
  <si>
    <t>FT 23/43402</t>
  </si>
  <si>
    <t>FT 23/44395</t>
  </si>
  <si>
    <t>FT 24/953</t>
  </si>
  <si>
    <t>Fruta</t>
  </si>
  <si>
    <t>FT 24/2688</t>
  </si>
  <si>
    <t>FT 24/3636</t>
  </si>
  <si>
    <t>FT 24/4411</t>
  </si>
  <si>
    <t>FT 24/4857</t>
  </si>
  <si>
    <t>Mandioca</t>
  </si>
  <si>
    <t>FT 24/5306</t>
  </si>
  <si>
    <t>Morangos/ NC231 (6,39€)</t>
  </si>
  <si>
    <t>FT 24/6249</t>
  </si>
  <si>
    <t>FT 24/8141</t>
  </si>
  <si>
    <t>FT 24/10982</t>
  </si>
  <si>
    <t>Fruta - NC240000464</t>
  </si>
  <si>
    <t>FT 24/11729</t>
  </si>
  <si>
    <t>FT 24/12508</t>
  </si>
  <si>
    <t>FT 24/13317</t>
  </si>
  <si>
    <t>FT 24/13672</t>
  </si>
  <si>
    <t>FT 24/14284</t>
  </si>
  <si>
    <t>FT 24/15219</t>
  </si>
  <si>
    <t>FT 24/16167</t>
  </si>
  <si>
    <t>FT 24/16483</t>
  </si>
  <si>
    <t>FT 24/16669</t>
  </si>
  <si>
    <t>Frutas</t>
  </si>
  <si>
    <t>FT 24/17303</t>
  </si>
  <si>
    <t>FT 24/18266</t>
  </si>
  <si>
    <t>frutas</t>
  </si>
  <si>
    <t>FT 24/18691</t>
  </si>
  <si>
    <t>FT 24/19146</t>
  </si>
  <si>
    <t>FT 24/19629</t>
  </si>
  <si>
    <t>Débito Direto</t>
  </si>
  <si>
    <t>FT 24/20324</t>
  </si>
  <si>
    <t>FT 23/46</t>
  </si>
  <si>
    <t>Ajuste movél de produção</t>
  </si>
  <si>
    <t>FT 24/07</t>
  </si>
  <si>
    <t>Aumento de potencia Matosinhos</t>
  </si>
  <si>
    <t>FT 24/20706</t>
  </si>
  <si>
    <t>FT 24/08</t>
  </si>
  <si>
    <t>Obra Formosa</t>
  </si>
  <si>
    <t>FT 24/11</t>
  </si>
  <si>
    <t>Obra formosa</t>
  </si>
  <si>
    <t>NC24/2</t>
  </si>
  <si>
    <t>FT 24/12</t>
  </si>
  <si>
    <t>Arquiconsult Sistemas de informação SA</t>
  </si>
  <si>
    <t>Arquiconsult</t>
  </si>
  <si>
    <t>FT 1A2301/25</t>
  </si>
  <si>
    <t>FT 1A2301/65</t>
  </si>
  <si>
    <t>FT 1A2401/52</t>
  </si>
  <si>
    <t>Byon Solutions Sa</t>
  </si>
  <si>
    <t>FA 1A2501/84</t>
  </si>
  <si>
    <t>Byon Solutions, Lda</t>
  </si>
  <si>
    <t>Byon</t>
  </si>
  <si>
    <t>FT  1A2401/49</t>
  </si>
  <si>
    <t>FT 24/15</t>
  </si>
  <si>
    <t>Casa Cedo</t>
  </si>
  <si>
    <t>FA 1A2501/132</t>
  </si>
  <si>
    <t>FA A/5</t>
  </si>
  <si>
    <t>FT 24/16</t>
  </si>
  <si>
    <t>FT 24/21278</t>
  </si>
  <si>
    <t>Catedral dos Sabores, Lda</t>
  </si>
  <si>
    <t>Kofi Club</t>
  </si>
  <si>
    <t>FS 1A2301/230</t>
  </si>
  <si>
    <t>FT 24/22</t>
  </si>
  <si>
    <t>Obra</t>
  </si>
  <si>
    <t xml:space="preserve">Bpref </t>
  </si>
  <si>
    <t>FT 24/26</t>
  </si>
  <si>
    <t>Banca inox - cx pag</t>
  </si>
  <si>
    <t>FT 24/ 21803</t>
  </si>
  <si>
    <t>FT24/19</t>
  </si>
  <si>
    <t>FT 24/22230</t>
  </si>
  <si>
    <t>FT 24/22401</t>
  </si>
  <si>
    <t>FT 24/23626</t>
  </si>
  <si>
    <t>FT 24/24103</t>
  </si>
  <si>
    <t>Fruta - NC 240010150 - 10,39€</t>
  </si>
  <si>
    <t>FT 24/25082</t>
  </si>
  <si>
    <t>Fruta - NC24001077 - 44,63€</t>
  </si>
  <si>
    <t>FT 24/25264</t>
  </si>
  <si>
    <t xml:space="preserve">Frutas </t>
  </si>
  <si>
    <t>Renda Janeiro 2026 Matosinhos</t>
  </si>
  <si>
    <t>FT 2023/30</t>
  </si>
  <si>
    <t>Pagamento a ser realizado pelo seguro</t>
  </si>
  <si>
    <t>FT 24/10</t>
  </si>
  <si>
    <t>Prateleiras inox</t>
  </si>
  <si>
    <t>FT 24/29</t>
  </si>
  <si>
    <t>Acabamentos electricos</t>
  </si>
  <si>
    <t>BPREF</t>
  </si>
  <si>
    <t>FT25/43</t>
  </si>
  <si>
    <t>FT25/44</t>
  </si>
  <si>
    <t>FT25/47</t>
  </si>
  <si>
    <t>FT25/48</t>
  </si>
  <si>
    <t>Renda Garagem Mai e Jun 2026</t>
  </si>
  <si>
    <t>FT24/31</t>
  </si>
  <si>
    <t>Paga pela Joana e Carlos a 28/10/2024</t>
  </si>
  <si>
    <t>Ft25/36</t>
  </si>
  <si>
    <t>Renda Outubro 2025 (aumento)</t>
  </si>
  <si>
    <t>Ft25/23</t>
  </si>
  <si>
    <t>Renda Julho 2025</t>
  </si>
  <si>
    <t>FT25/27</t>
  </si>
  <si>
    <t>FT 24/04</t>
  </si>
  <si>
    <t>Renda fev 24</t>
  </si>
  <si>
    <t>FT 2023/46</t>
  </si>
  <si>
    <t>renda de Setembro</t>
  </si>
  <si>
    <t>FT 23/52</t>
  </si>
  <si>
    <t>Renda</t>
  </si>
  <si>
    <t>FT 23/59</t>
  </si>
  <si>
    <t>renda</t>
  </si>
  <si>
    <t>FT 23/64</t>
  </si>
  <si>
    <t>FT 23/68</t>
  </si>
  <si>
    <t>FT 24/20</t>
  </si>
  <si>
    <t>FT 24/32</t>
  </si>
  <si>
    <t>Renda Matosinhos</t>
  </si>
  <si>
    <t>FT 24/40</t>
  </si>
  <si>
    <t>Renda Novembro 2024</t>
  </si>
  <si>
    <t>FT24/43</t>
  </si>
  <si>
    <t>Renda Dezembro 2024</t>
  </si>
  <si>
    <t>FT24/47</t>
  </si>
  <si>
    <t>Renda Janeiro 2025</t>
  </si>
  <si>
    <t>FT25/11</t>
  </si>
  <si>
    <t>Renda Abril 2025</t>
  </si>
  <si>
    <t>FT25/7</t>
  </si>
  <si>
    <t>Renda Março 2025</t>
  </si>
  <si>
    <t>FT25/3</t>
  </si>
  <si>
    <t>Renda Fevereiro 2025</t>
  </si>
  <si>
    <t>FT25/15</t>
  </si>
  <si>
    <t>Renda Maio 2025</t>
  </si>
  <si>
    <t>FT25/19</t>
  </si>
  <si>
    <t>FT25/31</t>
  </si>
  <si>
    <t>FT25/37</t>
  </si>
  <si>
    <t>Renda Novembro 2025</t>
  </si>
  <si>
    <t>FT25/42</t>
  </si>
  <si>
    <t>Renda Dezembro 2025 Matosinhos</t>
  </si>
  <si>
    <t>FT25/46</t>
  </si>
  <si>
    <t>FT26/04</t>
  </si>
  <si>
    <t>FT26/5</t>
  </si>
  <si>
    <t>Renda Março 2026</t>
  </si>
  <si>
    <t>Calibração balança</t>
  </si>
  <si>
    <t>Carrinho</t>
  </si>
  <si>
    <t>FT 24/67</t>
  </si>
  <si>
    <t>Carrinho Eventos</t>
  </si>
  <si>
    <t>FT25/2672</t>
  </si>
  <si>
    <t>NiB: 003300004523091075405</t>
  </si>
  <si>
    <t>FS 1A2301/7995</t>
  </si>
  <si>
    <t>FT25/14436</t>
  </si>
  <si>
    <t>FT25/14599</t>
  </si>
  <si>
    <t>NC25/17</t>
  </si>
  <si>
    <t>Pago Confirming</t>
  </si>
  <si>
    <t>referente FT25/5</t>
  </si>
  <si>
    <t>FT25/14654</t>
  </si>
  <si>
    <t>FT25/14870</t>
  </si>
  <si>
    <t>FT25/14780</t>
  </si>
  <si>
    <t>Ft25/14933</t>
  </si>
  <si>
    <t>FT25/15039</t>
  </si>
  <si>
    <t>FT 1A2301/12</t>
  </si>
  <si>
    <t>FT 1A2301/2</t>
  </si>
  <si>
    <t>FT 1A2301/5</t>
  </si>
  <si>
    <t>COFCOINTL</t>
  </si>
  <si>
    <t>FA 1A2402/34</t>
  </si>
  <si>
    <t>Cofcointl II Services Portugal, Uni, Lda</t>
  </si>
  <si>
    <t>Cofco</t>
  </si>
  <si>
    <t>FT 1A2301/9</t>
  </si>
  <si>
    <t>Cosmiknotorg Lda</t>
  </si>
  <si>
    <t>FA 1A2501/181</t>
  </si>
  <si>
    <t>Cunha Ferreira Valente, Lda</t>
  </si>
  <si>
    <t>Evento Humor lume</t>
  </si>
  <si>
    <t>FT 1A2401/25</t>
  </si>
  <si>
    <t>Dote</t>
  </si>
  <si>
    <t>FA 1A2401/101</t>
  </si>
  <si>
    <t>FA 1A2401/115</t>
  </si>
  <si>
    <t>Episódio Variável</t>
  </si>
  <si>
    <t>Cauções e Rendas 2025 Mouzinho</t>
  </si>
  <si>
    <t>Renda Mouzinho Dezembro 2025</t>
  </si>
  <si>
    <t>Euskalduna - eventos</t>
  </si>
  <si>
    <t>FA 1A2401/109</t>
  </si>
  <si>
    <t>FA 1A2401/116</t>
  </si>
  <si>
    <t>FA 1A2401/96</t>
  </si>
  <si>
    <t>FA 1A2401/97</t>
  </si>
  <si>
    <t>FA 1A2402/30</t>
  </si>
  <si>
    <t>FA 1A2501/8</t>
  </si>
  <si>
    <t>FA 1A2402/72</t>
  </si>
  <si>
    <t>FA 1A2501/13</t>
  </si>
  <si>
    <t>FA 1A2501/22</t>
  </si>
  <si>
    <t>FA 1A2501/31</t>
  </si>
  <si>
    <t>FA 1A2402/89</t>
  </si>
  <si>
    <t>FA 1A2501/32</t>
  </si>
  <si>
    <t>FA 1A2501/38</t>
  </si>
  <si>
    <t>FA 1A2501/41</t>
  </si>
  <si>
    <t>FA 1A2501/191</t>
  </si>
  <si>
    <t>FT25/14985</t>
  </si>
  <si>
    <t>FT25/15131</t>
  </si>
  <si>
    <t>FT25/15081</t>
  </si>
  <si>
    <t>FT25/15179</t>
  </si>
  <si>
    <t>Ft25/15235</t>
  </si>
  <si>
    <t>FT25/15289</t>
  </si>
  <si>
    <t>FT25/15465</t>
  </si>
  <si>
    <t>CESPAN</t>
  </si>
  <si>
    <t>FT25/15393</t>
  </si>
  <si>
    <t>FT25/15469</t>
  </si>
  <si>
    <t>FT25/15642</t>
  </si>
  <si>
    <t>FT25/15700</t>
  </si>
  <si>
    <t>FT25/15716</t>
  </si>
  <si>
    <t>FT25/15759</t>
  </si>
  <si>
    <t>FT25/16093</t>
  </si>
  <si>
    <t>FT26/16138</t>
  </si>
  <si>
    <t>FT26/16171</t>
  </si>
  <si>
    <t>Renda Garagem Jul e Ago 2026</t>
  </si>
  <si>
    <t>FT25/15963</t>
  </si>
  <si>
    <t>Chaves Matosinhos</t>
  </si>
  <si>
    <t>FT26/83</t>
  </si>
  <si>
    <t>NIB: 003300004523091075405</t>
  </si>
  <si>
    <t>FT25/1005</t>
  </si>
  <si>
    <t>Citygolfe</t>
  </si>
  <si>
    <t>FT 23/724</t>
  </si>
  <si>
    <t>Evento golfe</t>
  </si>
  <si>
    <t>FT24/96</t>
  </si>
  <si>
    <t>FA 1A2501/102</t>
  </si>
  <si>
    <t>FA 1A2501/109</t>
  </si>
  <si>
    <t>FA 1A2501/114</t>
  </si>
  <si>
    <t>FA 1A2501/124</t>
  </si>
  <si>
    <t>FS 1A2301/10430</t>
  </si>
  <si>
    <t>FS 1A2301/10522</t>
  </si>
  <si>
    <t>FS 1A2301/10582</t>
  </si>
  <si>
    <t>FS 1A2301/10642</t>
  </si>
  <si>
    <t>FS 1A2301/10745</t>
  </si>
  <si>
    <t>FS 1A2301/12237</t>
  </si>
  <si>
    <t>FS 1A2301/30776</t>
  </si>
  <si>
    <t>FS 1A2301/30862</t>
  </si>
  <si>
    <t>FS 1A2301/30953</t>
  </si>
  <si>
    <t>FS 1A2301/5559</t>
  </si>
  <si>
    <t>FS 1A2301/6893</t>
  </si>
  <si>
    <t>FS 1A2401/17348</t>
  </si>
  <si>
    <t>FS 1A2401/8876</t>
  </si>
  <si>
    <t>FS1A2301/7470</t>
  </si>
  <si>
    <t>FT 1A2301/14</t>
  </si>
  <si>
    <t>FT 1A2301/60</t>
  </si>
  <si>
    <t>FT 1A2301/62</t>
  </si>
  <si>
    <t>FT 1A2301/64</t>
  </si>
  <si>
    <t>FT 1A2301/78</t>
  </si>
  <si>
    <t>FA 1A2501/128</t>
  </si>
  <si>
    <t>FA 1A2501/157</t>
  </si>
  <si>
    <t>FA 1A2501/158</t>
  </si>
  <si>
    <t>FA 1A2501/162</t>
  </si>
  <si>
    <t>FA 1A2501/168</t>
  </si>
  <si>
    <t>FA 1A2501/169</t>
  </si>
  <si>
    <t>FA 1A2501/183</t>
  </si>
  <si>
    <t>FA 1A2501/186</t>
  </si>
  <si>
    <t>FA 1A2501/202</t>
  </si>
  <si>
    <t>Famo</t>
  </si>
  <si>
    <t>FA 1A2501/86</t>
  </si>
  <si>
    <t>Jangal</t>
  </si>
  <si>
    <t>FA 1A2401/105</t>
  </si>
  <si>
    <t>FA 1A2401/112</t>
  </si>
  <si>
    <t>FA 1A2402/12</t>
  </si>
  <si>
    <t>FA 1A2402/13</t>
  </si>
  <si>
    <t>FA 1A2402/15</t>
  </si>
  <si>
    <t>FA 1A2402/25</t>
  </si>
  <si>
    <t>FA 1A2402/26</t>
  </si>
  <si>
    <t>FA 1A2402/3</t>
  </si>
  <si>
    <t>FA 1A2402/40</t>
  </si>
  <si>
    <t>FA 1A2402/45</t>
  </si>
  <si>
    <t>pago</t>
  </si>
  <si>
    <t>Companhia</t>
  </si>
  <si>
    <t>Mkt</t>
  </si>
  <si>
    <t xml:space="preserve">Antônio Jorge - Estafeta </t>
  </si>
  <si>
    <t>FT26/78</t>
  </si>
  <si>
    <t>Distribuição</t>
  </si>
  <si>
    <t>Entregas Fevereiro 2026</t>
  </si>
  <si>
    <t>FT26/16234</t>
  </si>
  <si>
    <t>FA 1A2402/46</t>
  </si>
  <si>
    <t>FA 1A2402/60</t>
  </si>
  <si>
    <t>FA 1A2402/66</t>
  </si>
  <si>
    <t>FA 1A2402/73</t>
  </si>
  <si>
    <t>FA 1A2402/78</t>
  </si>
  <si>
    <t>FA 1A2402/88</t>
  </si>
  <si>
    <t>FA 1A2501/5</t>
  </si>
  <si>
    <t>FA 1A2501/11</t>
  </si>
  <si>
    <t>FA 1A2501/14</t>
  </si>
  <si>
    <t>FA 1A2501/20</t>
  </si>
  <si>
    <t>FA 1A2501/27</t>
  </si>
  <si>
    <t>FA 1A2501/34</t>
  </si>
  <si>
    <t>FA 1A2501/44</t>
  </si>
  <si>
    <t>FA 1A2501/52</t>
  </si>
  <si>
    <t>FA 1A2501/57</t>
  </si>
  <si>
    <t>Consultoria</t>
  </si>
  <si>
    <t>FA 1A2501/61</t>
  </si>
  <si>
    <t>FA 1A2501/63</t>
  </si>
  <si>
    <t>FA 1A2501/71</t>
  </si>
  <si>
    <t>FA 1A2501/72</t>
  </si>
  <si>
    <t>FA 1A2501/76</t>
  </si>
  <si>
    <t>FA 1A2501/81</t>
  </si>
  <si>
    <t>FA 1A2501/94</t>
  </si>
  <si>
    <t>FA 1A2501/105</t>
  </si>
  <si>
    <t>FA 1A2501/119</t>
  </si>
  <si>
    <t>FA 1A2501/133</t>
  </si>
  <si>
    <t>FA 1A2501/135</t>
  </si>
  <si>
    <t>FA 1A2501/139</t>
  </si>
  <si>
    <t>FA 1A2501/145</t>
  </si>
  <si>
    <t>Paga em duplicado - fica com crédito de 129,75€</t>
  </si>
  <si>
    <t>FA 1A2501/92</t>
  </si>
  <si>
    <t>FS 1A2401/10674</t>
  </si>
  <si>
    <t>FS 1A2401/12809</t>
  </si>
  <si>
    <t>FS 1A2401/18069</t>
  </si>
  <si>
    <t>Culto da Imagem</t>
  </si>
  <si>
    <t>FT 24/6207</t>
  </si>
  <si>
    <t>Banca Nivà 50% + 50% (pago 50% (2/2))</t>
  </si>
  <si>
    <t>FT 24/114</t>
  </si>
  <si>
    <t>Vinil recortado Formosa 50% + 50% (pago 50% (2/2))</t>
  </si>
  <si>
    <t>FT 24/192</t>
  </si>
  <si>
    <t>Vinil 3 copos</t>
  </si>
  <si>
    <t>FT24/80</t>
  </si>
  <si>
    <t>Royalties 3º trimestre 2024</t>
  </si>
  <si>
    <t>FT24/91</t>
  </si>
  <si>
    <t>23/06, 23/07, 25/08/2025</t>
  </si>
  <si>
    <t>FT25/5</t>
  </si>
  <si>
    <t>Abater NC (7002,92 valor correto a pagar)</t>
  </si>
  <si>
    <t>FT 23/63</t>
  </si>
  <si>
    <t>Marketing</t>
  </si>
  <si>
    <t>MKT - PT50003300004563834276405</t>
  </si>
  <si>
    <t>FT 24/71</t>
  </si>
  <si>
    <t>FT24/75</t>
  </si>
  <si>
    <t>Avença menal marketing Diana Fonseca</t>
  </si>
  <si>
    <t>FT24/78</t>
  </si>
  <si>
    <t>FT25/1</t>
  </si>
  <si>
    <t>FT25/2</t>
  </si>
  <si>
    <t>FT25/22</t>
  </si>
  <si>
    <t>FT26/16374</t>
  </si>
  <si>
    <t>FT 24/3585</t>
  </si>
  <si>
    <t>Avença mensal advogados</t>
  </si>
  <si>
    <t>FT24/3623</t>
  </si>
  <si>
    <t>Avença Novembro Advogados</t>
  </si>
  <si>
    <t>FT25/252</t>
  </si>
  <si>
    <t>FT25/457</t>
  </si>
  <si>
    <t>Todas lojas</t>
  </si>
  <si>
    <t>FT24/3667</t>
  </si>
  <si>
    <t>Honorários Dezembro 24</t>
  </si>
  <si>
    <t>FT 24/495</t>
  </si>
  <si>
    <t>Luminoso Niva - Formosa (50% 2/2)</t>
  </si>
  <si>
    <t>FS 1A2401/3662</t>
  </si>
  <si>
    <t>FS 1A2401/4912</t>
  </si>
  <si>
    <t>FS 1A2401/5826</t>
  </si>
  <si>
    <t>FT 1A2401/18</t>
  </si>
  <si>
    <t>FT 1A2401/39</t>
  </si>
  <si>
    <t>FT 1A2401/4</t>
  </si>
  <si>
    <t>FT 1A2401/51</t>
  </si>
  <si>
    <t>FT 1A2401/8</t>
  </si>
  <si>
    <t>FT 1A2401/9</t>
  </si>
  <si>
    <t>FT1A2401/121</t>
  </si>
  <si>
    <t>FT1A2401/125</t>
  </si>
  <si>
    <t>FA 1A2501/152</t>
  </si>
  <si>
    <t>Crédito a abater de 129,75</t>
  </si>
  <si>
    <t>FA 1A2501/153</t>
  </si>
  <si>
    <t>FA 1A2501/160</t>
  </si>
  <si>
    <t>FA 1A2501/167</t>
  </si>
  <si>
    <t>FA 1A2501/199</t>
  </si>
  <si>
    <t>FA 1A2501/177</t>
  </si>
  <si>
    <t>FA 1A2501/188</t>
  </si>
  <si>
    <t>FA 1A2501/200</t>
  </si>
  <si>
    <t>FT 23/536</t>
  </si>
  <si>
    <t>Vinil arca</t>
  </si>
  <si>
    <t>FT 24/303</t>
  </si>
  <si>
    <t>40% do luminoso - loja formosa</t>
  </si>
  <si>
    <t>Pastas</t>
  </si>
  <si>
    <t>Bases</t>
  </si>
  <si>
    <t>Portes</t>
  </si>
  <si>
    <t>Royalties</t>
  </si>
  <si>
    <t>FT 23/57</t>
  </si>
  <si>
    <t>FT 23/75</t>
  </si>
  <si>
    <t>FT 23/74</t>
  </si>
  <si>
    <t>Base</t>
  </si>
  <si>
    <t>FT 23/85</t>
  </si>
  <si>
    <t>Degar-Royalties</t>
  </si>
  <si>
    <t>Royalties - 3 trimestre</t>
  </si>
  <si>
    <t>FT 23/90</t>
  </si>
  <si>
    <t>Degar - Materia prima</t>
  </si>
  <si>
    <t>FT 23/91</t>
  </si>
  <si>
    <t>Degar - Portes</t>
  </si>
  <si>
    <t>FT 23/97</t>
  </si>
  <si>
    <t>Royalties - 4 trimestre</t>
  </si>
  <si>
    <t>FT 24/06</t>
  </si>
  <si>
    <t>Materia Prima (pag 23/07)</t>
  </si>
  <si>
    <t>FT 24/09</t>
  </si>
  <si>
    <t>Base Branca (pag 23/07)</t>
  </si>
  <si>
    <t>FA 1A2501/209</t>
  </si>
  <si>
    <t>Portes (pag 23/07)</t>
  </si>
  <si>
    <t>Pastas/copos</t>
  </si>
  <si>
    <t>FT 24/17</t>
  </si>
  <si>
    <t>Transportes</t>
  </si>
  <si>
    <t>FT 24/27</t>
  </si>
  <si>
    <t>FT 24/31</t>
  </si>
  <si>
    <t>Inflação royalties</t>
  </si>
  <si>
    <t>FT 24/33</t>
  </si>
  <si>
    <t>Matéria Prima</t>
  </si>
  <si>
    <t>FT 24/38</t>
  </si>
  <si>
    <t>Bases (50% confir, 50% transf-7889,72)</t>
  </si>
  <si>
    <t>FA 1A2501/190</t>
  </si>
  <si>
    <t>Nivà Lisboa</t>
  </si>
  <si>
    <t>FA 1A2401/99</t>
  </si>
  <si>
    <t>FA 1A2402/90</t>
  </si>
  <si>
    <t>FA 1A2501/24</t>
  </si>
  <si>
    <t>FA 1A2501/43</t>
  </si>
  <si>
    <t>FA 1A2501/56</t>
  </si>
  <si>
    <t>FA 1A2501/79</t>
  </si>
  <si>
    <t>FA 1A2501/96</t>
  </si>
  <si>
    <t>FA 1A2501/121</t>
  </si>
  <si>
    <t>FA 1A2501/142</t>
  </si>
  <si>
    <t>Niva Lisboa</t>
  </si>
  <si>
    <t>FT1A2401/120</t>
  </si>
  <si>
    <t>FT1A2501/1</t>
  </si>
  <si>
    <t>FA 1A2501/171</t>
  </si>
  <si>
    <t>FA 1A2501/208</t>
  </si>
  <si>
    <t>Avença Nov25</t>
  </si>
  <si>
    <t>Francisca Torre</t>
  </si>
  <si>
    <t>Quinta da Pacheca</t>
  </si>
  <si>
    <t>FT 1A2401/68</t>
  </si>
  <si>
    <t>Time Out</t>
  </si>
  <si>
    <t>FA 1A2402/83</t>
  </si>
  <si>
    <t>FA 1A2401/94</t>
  </si>
  <si>
    <t>FA 1A2401/106</t>
  </si>
  <si>
    <t>FA 1A2401/119</t>
  </si>
  <si>
    <t>FT1A2401/122</t>
  </si>
  <si>
    <t>FT 24/39</t>
  </si>
  <si>
    <t>Portes Bases (50% confir, 50% transf)</t>
  </si>
  <si>
    <t>FT 24/54</t>
  </si>
  <si>
    <t>Degar - Royalties</t>
  </si>
  <si>
    <t>Royalties Degar</t>
  </si>
  <si>
    <t>FT 24/68</t>
  </si>
  <si>
    <t>Matéria Prima 50% (6923,32) + 50% (6923,32) - (2/2)</t>
  </si>
  <si>
    <t>FA 1A2501/2</t>
  </si>
  <si>
    <t>FT 24/63</t>
  </si>
  <si>
    <t>Transporte</t>
  </si>
  <si>
    <t>FT 24/72</t>
  </si>
  <si>
    <t>Ricotta</t>
  </si>
  <si>
    <t>FT 24/69</t>
  </si>
  <si>
    <t>FT24/104</t>
  </si>
  <si>
    <t>Royalties 4º trimestre 2024. Pago o valor de 1087,20</t>
  </si>
  <si>
    <t>FT 24/75</t>
  </si>
  <si>
    <t>Transporte Ricotta</t>
  </si>
  <si>
    <t>FT24/81</t>
  </si>
  <si>
    <t>FT24/82</t>
  </si>
  <si>
    <t>FT24/92</t>
  </si>
  <si>
    <t>FT24/97</t>
  </si>
  <si>
    <t>FT25/8</t>
  </si>
  <si>
    <t>FT25/6</t>
  </si>
  <si>
    <t>FT25/10</t>
  </si>
  <si>
    <t>FT25/21</t>
  </si>
  <si>
    <t>Custo marca Niva 1º trimestre 2025</t>
  </si>
  <si>
    <t>FT25/23</t>
  </si>
  <si>
    <t>FT25/33</t>
  </si>
  <si>
    <t>FT25/32</t>
  </si>
  <si>
    <t>FT25/38 (1/3)</t>
  </si>
  <si>
    <t>FT25/38 (2/3)</t>
  </si>
  <si>
    <t>Abertura nova loja Bolhao</t>
  </si>
  <si>
    <t>Marca Niva 2º trim 2025</t>
  </si>
  <si>
    <t>FT25/53 (1/3)</t>
  </si>
  <si>
    <t>Pago em 2 prestações (03/09)</t>
  </si>
  <si>
    <t>FT25/38 (3/3)</t>
  </si>
  <si>
    <t>FT25/62</t>
  </si>
  <si>
    <t>FT25/83</t>
  </si>
  <si>
    <t>FT25/67</t>
  </si>
  <si>
    <t>FA 1A2501/42</t>
  </si>
  <si>
    <t>FT25/77</t>
  </si>
  <si>
    <t xml:space="preserve"> Pago Confirming</t>
  </si>
  <si>
    <t>FT26/1</t>
  </si>
  <si>
    <t>FT26/9</t>
  </si>
  <si>
    <t>FT25/714</t>
  </si>
  <si>
    <t>FT25/11946</t>
  </si>
  <si>
    <t>Companhia das Soluções</t>
  </si>
  <si>
    <t>FT25/1438</t>
  </si>
  <si>
    <t xml:space="preserve">Matosinhos+Bolhão </t>
  </si>
  <si>
    <t>FPF25/16</t>
  </si>
  <si>
    <t>Dif. Valor para Divosan</t>
  </si>
  <si>
    <t>Ref para pagamento: 156.690.216.596.505</t>
  </si>
  <si>
    <t>Ref para pagamento: 156.080.647.346.486</t>
  </si>
  <si>
    <t xml:space="preserve">156 590 218 856 334 </t>
  </si>
  <si>
    <t>156 080 649 286 030</t>
  </si>
  <si>
    <t>TSU Nov 24</t>
  </si>
  <si>
    <t>IRS e renteção na fonte Dez24</t>
  </si>
  <si>
    <t>TSU Dez 24</t>
  </si>
  <si>
    <t>Ref pgto 156690224402617</t>
  </si>
  <si>
    <t>Estado - IVA 4º trimestre 2024 (1/3)</t>
  </si>
  <si>
    <t>Ref pagto 162412492809676</t>
  </si>
  <si>
    <t>Estado - IVA 4º trimestre 2024 (2/3)</t>
  </si>
  <si>
    <t>Estado - IVA 4º trimestre 2024 (3/3)</t>
  </si>
  <si>
    <t>TSU Jan25</t>
  </si>
  <si>
    <t>Ref pgto 156580653525818</t>
  </si>
  <si>
    <t>TSU Fev25</t>
  </si>
  <si>
    <t>TSU Março 25</t>
  </si>
  <si>
    <t>FA 1A2501/12</t>
  </si>
  <si>
    <t>FA 1A2501/19</t>
  </si>
  <si>
    <t>FA 1A2501/23</t>
  </si>
  <si>
    <t>Prestação 1/3</t>
  </si>
  <si>
    <t>FA 1A2501/30</t>
  </si>
  <si>
    <t>Prestação 2/3 (débito direto)</t>
  </si>
  <si>
    <t>Prestação 3/3 (162470030020620)</t>
  </si>
  <si>
    <t>FA 1A2501/48</t>
  </si>
  <si>
    <t>FA 1A2501/51</t>
  </si>
  <si>
    <t>FA 1A2501/100</t>
  </si>
  <si>
    <t>Anulado</t>
  </si>
  <si>
    <t>FA 1A2501/62</t>
  </si>
  <si>
    <t>FA 1A2501/75</t>
  </si>
  <si>
    <t>FA 1A2501/77</t>
  </si>
  <si>
    <t>FT 1A2401/14</t>
  </si>
  <si>
    <t>FT 1A2401/16</t>
  </si>
  <si>
    <t>FT 1A2401/19</t>
  </si>
  <si>
    <t>FT 1A2401/23</t>
  </si>
  <si>
    <t>FS 1A2401/11270</t>
  </si>
  <si>
    <t>FT 1A2401/24</t>
  </si>
  <si>
    <t>FT 1A2401/26</t>
  </si>
  <si>
    <t>FT 1A2401/31</t>
  </si>
  <si>
    <t>FT 1A2401/35</t>
  </si>
  <si>
    <t>FT 1A2401/38</t>
  </si>
  <si>
    <t>FT 1A2401/42</t>
  </si>
  <si>
    <t>FS 1A2401/16307</t>
  </si>
  <si>
    <t>FS 1A2401/17345</t>
  </si>
  <si>
    <t>FT 1A2401/54</t>
  </si>
  <si>
    <t>FA 1A2402/8</t>
  </si>
  <si>
    <t>FA 1A2402/14</t>
  </si>
  <si>
    <t>FA 1A2402/23</t>
  </si>
  <si>
    <t>FA 1A2402/38</t>
  </si>
  <si>
    <t>FA 1A2402/41</t>
  </si>
  <si>
    <t>FA 1A2402/43</t>
  </si>
  <si>
    <t>FA 1A2402/47</t>
  </si>
  <si>
    <t>FA 1A2402/59</t>
  </si>
  <si>
    <t>FA 1A2402/63</t>
  </si>
  <si>
    <t>FA 1A2402/71</t>
  </si>
  <si>
    <t>Estado - IVA 2º Trimestre (1/3)</t>
  </si>
  <si>
    <t>Estado - IVA 2º Trimestre (2/3)</t>
  </si>
  <si>
    <t>Estado - IVA 2º Trimestre (3/3)</t>
  </si>
  <si>
    <t>Mat + Bolhão</t>
  </si>
  <si>
    <t>Euskalduna</t>
  </si>
  <si>
    <t>FT 23/38</t>
  </si>
  <si>
    <t>Rabanadas</t>
  </si>
  <si>
    <t>FT 23/32</t>
  </si>
  <si>
    <t>Valor em falta dos royalties julho/agosto ( transferi valor sem iva)</t>
  </si>
  <si>
    <t>EUSKALDUNA, LDA</t>
  </si>
  <si>
    <t>FT 2023/27</t>
  </si>
  <si>
    <t>FT 23/30</t>
  </si>
  <si>
    <t>FT25/3064</t>
  </si>
  <si>
    <t>FT 23/1639</t>
  </si>
  <si>
    <t>Higiene e Saude no Trabalho</t>
  </si>
  <si>
    <t>FT 24/1878</t>
  </si>
  <si>
    <t>Caixa de primeiros Socorros</t>
  </si>
  <si>
    <t>FT 24/1881</t>
  </si>
  <si>
    <t>Medidas auto proteção</t>
  </si>
  <si>
    <t>FT 24/2200</t>
  </si>
  <si>
    <t>Medidas de Auto proteção</t>
  </si>
  <si>
    <t>FT 24/2336</t>
  </si>
  <si>
    <t>Mala Primeiros Socorros</t>
  </si>
  <si>
    <t>FT 24/2547</t>
  </si>
  <si>
    <t>FT25/2670</t>
  </si>
  <si>
    <t>Consulta aptidão Julia</t>
  </si>
  <si>
    <t>FT25/2698</t>
  </si>
  <si>
    <t>PAgo</t>
  </si>
  <si>
    <t>FT25/2984</t>
  </si>
  <si>
    <t>Consulta admissão Natália e Laís Sousa</t>
  </si>
  <si>
    <t>FT25/3281</t>
  </si>
  <si>
    <t>FT25/3353</t>
  </si>
  <si>
    <t>Avença anual SST Matosinhos</t>
  </si>
  <si>
    <t>FT25/3357</t>
  </si>
  <si>
    <t>Avença anual SST Bolhao</t>
  </si>
  <si>
    <t>FA 1A2402/80</t>
  </si>
  <si>
    <t>FA 1A2401/100</t>
  </si>
  <si>
    <t>FA 1A2401/111</t>
  </si>
  <si>
    <t>FA 1A2401/113</t>
  </si>
  <si>
    <t>FA 1A2501/90</t>
  </si>
  <si>
    <t>FA 1A2501/97</t>
  </si>
  <si>
    <t>FA 1A2501/108</t>
  </si>
  <si>
    <t>pagamento em duplicado das FT62,75,77,90,97 pagas a 11/08</t>
  </si>
  <si>
    <t>REF:22/0668</t>
  </si>
  <si>
    <t>Desinfeçoes</t>
  </si>
  <si>
    <t>FA 1A2501/118</t>
  </si>
  <si>
    <t>FA 1A2501/138</t>
  </si>
  <si>
    <t>FA 1A2501/150</t>
  </si>
  <si>
    <t>FT 24/3166</t>
  </si>
  <si>
    <t>Pragas</t>
  </si>
  <si>
    <t>FT25/3520</t>
  </si>
  <si>
    <t>Anuidade Controlo Pragas 2025</t>
  </si>
  <si>
    <t>FT25/3624</t>
  </si>
  <si>
    <t>FT 24/311</t>
  </si>
  <si>
    <t>Estantes</t>
  </si>
  <si>
    <t>FT 24/316</t>
  </si>
  <si>
    <t>Tampo Famo</t>
  </si>
  <si>
    <t>FT 24/1763</t>
  </si>
  <si>
    <t>Locker - PT50 0007 0000 0067 1084 5102 3</t>
  </si>
  <si>
    <t>FT24/0541</t>
  </si>
  <si>
    <t>Estante loja</t>
  </si>
  <si>
    <t>FT 24/0357</t>
  </si>
  <si>
    <t>FT 24/0356</t>
  </si>
  <si>
    <t>Prateleiras</t>
  </si>
  <si>
    <t>FT 24/0355</t>
  </si>
  <si>
    <t>FT 24/0354</t>
  </si>
  <si>
    <t>FT 24/2018</t>
  </si>
  <si>
    <t>Locker</t>
  </si>
  <si>
    <t>FP25/1905</t>
  </si>
  <si>
    <t>50% adjudicação manutenção carrinho (1/2)</t>
  </si>
  <si>
    <t>Remanescente manutenção carrinho (2/2)</t>
  </si>
  <si>
    <t>FT25/6416</t>
  </si>
  <si>
    <t>FT 24/485</t>
  </si>
  <si>
    <t>Higiene e Segurança no trabalho</t>
  </si>
  <si>
    <t>FT 24/596</t>
  </si>
  <si>
    <t>Haccp - Time out</t>
  </si>
  <si>
    <t>Haccp - Loja Baixa</t>
  </si>
  <si>
    <t>FT25/863</t>
  </si>
  <si>
    <t>Avença Maio 25 a Abr 26</t>
  </si>
  <si>
    <t>FT25/859</t>
  </si>
  <si>
    <t>TimeOut</t>
  </si>
  <si>
    <t>FT25/90</t>
  </si>
  <si>
    <t>FT25/924</t>
  </si>
  <si>
    <t>Avença HACCP Agosto 25 a Julho 26</t>
  </si>
  <si>
    <t>FT 23/35348</t>
  </si>
  <si>
    <t>Cones/caixas</t>
  </si>
  <si>
    <t>FT 23/35863</t>
  </si>
  <si>
    <t>Cones</t>
  </si>
  <si>
    <t>FT 23/36433</t>
  </si>
  <si>
    <t>FT 23/37565</t>
  </si>
  <si>
    <t>cones</t>
  </si>
  <si>
    <t>FT 23/38827</t>
  </si>
  <si>
    <t>FT 24/40927</t>
  </si>
  <si>
    <t>FT 24/41974</t>
  </si>
  <si>
    <t>FT 24/43062</t>
  </si>
  <si>
    <t>FT 24/43681</t>
  </si>
  <si>
    <t>Cones -falta pagar 100€ - erro corrigido</t>
  </si>
  <si>
    <t>FT 24/ 45464</t>
  </si>
  <si>
    <t>FT 24/45659</t>
  </si>
  <si>
    <t>FT 24/46656</t>
  </si>
  <si>
    <t>FT 24/48017</t>
  </si>
  <si>
    <t>FT 24/49296</t>
  </si>
  <si>
    <t>FT 24/49941</t>
  </si>
  <si>
    <t>FT24/50911</t>
  </si>
  <si>
    <t>FA 1A2501/165</t>
  </si>
  <si>
    <t>FA 1A2501/172</t>
  </si>
  <si>
    <t>FA 1A2501/182</t>
  </si>
  <si>
    <t>FA 1A2501/189</t>
  </si>
  <si>
    <t>FA 1A2501/166</t>
  </si>
  <si>
    <t>fatura anulada e paga a mais junto FT191,169,183,186,202 a 09/12/2025</t>
  </si>
  <si>
    <t>FA 1A2501/219</t>
  </si>
  <si>
    <t>Paga com desconto da FT2501/166</t>
  </si>
  <si>
    <t>FA 1A2501/111</t>
  </si>
  <si>
    <t>FA A/7</t>
  </si>
  <si>
    <t>GKN Automotive Portugal LDA</t>
  </si>
  <si>
    <t>FA 1A2501/122</t>
  </si>
  <si>
    <t>Sogrape</t>
  </si>
  <si>
    <t>FT 1A2301/57</t>
  </si>
  <si>
    <t>Arca</t>
  </si>
  <si>
    <t>FT 1A2301/63</t>
  </si>
  <si>
    <t>FT 1A2301/66</t>
  </si>
  <si>
    <t>FT 1A2301/68</t>
  </si>
  <si>
    <t>FT 1A2301/71</t>
  </si>
  <si>
    <t>Grape ideas SA</t>
  </si>
  <si>
    <t>FT 1A2401/10</t>
  </si>
  <si>
    <t>FT 1A2401/22</t>
  </si>
  <si>
    <t>FT 1A2401/27</t>
  </si>
  <si>
    <t>FT 1A2401/34</t>
  </si>
  <si>
    <t>FT 1A2401/41</t>
  </si>
  <si>
    <t>FT 1A2401/45</t>
  </si>
  <si>
    <t>FT  1A2401/50</t>
  </si>
  <si>
    <t>FA 1A2402/6</t>
  </si>
  <si>
    <t>FA 1A2402/19</t>
  </si>
  <si>
    <t>FA 1A2402/27</t>
  </si>
  <si>
    <t>FA 1A2402/29</t>
  </si>
  <si>
    <t>FA 1A2402/42</t>
  </si>
  <si>
    <t>FA 1A2402/51</t>
  </si>
  <si>
    <t>FA 1A2402/57</t>
  </si>
  <si>
    <t>FA 1A2402/67</t>
  </si>
  <si>
    <t>FA 1A2402/68</t>
  </si>
  <si>
    <t>FA 1A2501/55</t>
  </si>
  <si>
    <t>FA 1A2501/66</t>
  </si>
  <si>
    <t>FA 1A2501/73</t>
  </si>
  <si>
    <t>FA 1A2501/113</t>
  </si>
  <si>
    <t>FA 1A2501/151</t>
  </si>
  <si>
    <t>FA 1A2501/163</t>
  </si>
  <si>
    <t>FA 1A2501/179</t>
  </si>
  <si>
    <t>FA 1A2501/87</t>
  </si>
  <si>
    <t>FA 1A2501/129</t>
  </si>
  <si>
    <t>FA 1A2501/136</t>
  </si>
  <si>
    <t>FA 1A2501/143</t>
  </si>
  <si>
    <t>FA 1A2501/99</t>
  </si>
  <si>
    <t>FA 1A2501/91</t>
  </si>
  <si>
    <t>FA 1A2501/170</t>
  </si>
  <si>
    <t>Helena Santos</t>
  </si>
  <si>
    <t>FA 1A2501/141</t>
  </si>
  <si>
    <t>Herdade 1980</t>
  </si>
  <si>
    <t>FA 1A2401/108</t>
  </si>
  <si>
    <t>Imobiliaria J Gonçalves Filha LDA</t>
  </si>
  <si>
    <t>Hotel Solar Vila Mea</t>
  </si>
  <si>
    <t>FS 1A2301/31449</t>
  </si>
  <si>
    <t>FS 1A2301/31473</t>
  </si>
  <si>
    <t>FS 1A2401/13607</t>
  </si>
  <si>
    <t>FS 1A2401/3201</t>
  </si>
  <si>
    <t>FS 1A2401/870</t>
  </si>
  <si>
    <t>FS 1A2401/9067</t>
  </si>
  <si>
    <t>FS 1A2401/9876</t>
  </si>
  <si>
    <t>FT 1A2301/49</t>
  </si>
  <si>
    <t>FT 1A2401/7</t>
  </si>
  <si>
    <t>INESC TEC</t>
  </si>
  <si>
    <t>Polo Universitário</t>
  </si>
  <si>
    <t>FA 1A2402/7</t>
  </si>
  <si>
    <t>FA 1A2501/110</t>
  </si>
  <si>
    <t>ISEP</t>
  </si>
  <si>
    <t>FA 1A2501/126</t>
  </si>
  <si>
    <t>FT 1A2301/48</t>
  </si>
  <si>
    <t>FEUP</t>
  </si>
  <si>
    <t>FT 1A2401/56</t>
  </si>
  <si>
    <t>Ivone Ribeiro Sociedade Unp Lda</t>
  </si>
  <si>
    <t>Wine Bar - Garage Wine</t>
  </si>
  <si>
    <t>FS 1A2301/11936</t>
  </si>
  <si>
    <t>FS 1A2301/23775</t>
  </si>
  <si>
    <t>FS 1A2301/25768</t>
  </si>
  <si>
    <t>FS 1A2301/29637</t>
  </si>
  <si>
    <t>FS 1A2301/30904</t>
  </si>
  <si>
    <t>FS 1A2301/31461</t>
  </si>
  <si>
    <t>FT 1A2301/29</t>
  </si>
  <si>
    <t>Jorge Teixeira</t>
  </si>
  <si>
    <t>FA 1A2402/33</t>
  </si>
  <si>
    <t>FA 1A2501/3</t>
  </si>
  <si>
    <t>FT25/54463</t>
  </si>
  <si>
    <t>FT25/57457</t>
  </si>
  <si>
    <t>FT25/53566</t>
  </si>
  <si>
    <t>FT 23/14</t>
  </si>
  <si>
    <t>Gema de ovo com açucar</t>
  </si>
  <si>
    <t>FT 23/31</t>
  </si>
  <si>
    <t>Copos</t>
  </si>
  <si>
    <t>FA 1A2501/36</t>
  </si>
  <si>
    <t>FA 1A2501/37</t>
  </si>
  <si>
    <t>FA 1A2501/212</t>
  </si>
  <si>
    <t>Liz Conseils</t>
  </si>
  <si>
    <t>FT 1A2301/34</t>
  </si>
  <si>
    <t>Luis Gonçalves</t>
  </si>
  <si>
    <t>FA 1A2501/106</t>
  </si>
  <si>
    <t>Maria Joao Assunçao</t>
  </si>
  <si>
    <t>FA 1A2501/123</t>
  </si>
  <si>
    <t>Rosário</t>
  </si>
  <si>
    <t>FA 1A2501/64</t>
  </si>
  <si>
    <t>Memórias em Grão, Lda</t>
  </si>
  <si>
    <t>Quinta do Seixo</t>
  </si>
  <si>
    <t>FS 1A2301/27539</t>
  </si>
  <si>
    <t>FS 1A2401/17344</t>
  </si>
  <si>
    <t>FT 23/39</t>
  </si>
  <si>
    <t>Canollis</t>
  </si>
  <si>
    <t>FT 24/24</t>
  </si>
  <si>
    <t>FT 1A2301/69</t>
  </si>
  <si>
    <t>FT24/36</t>
  </si>
  <si>
    <t>FT25/18</t>
  </si>
  <si>
    <t>FT25/24</t>
  </si>
  <si>
    <t>FT25/34</t>
  </si>
  <si>
    <t>FT25/40</t>
  </si>
  <si>
    <t>FT26/18</t>
  </si>
  <si>
    <t>Matosinhos+Bolhão (FP)</t>
  </si>
  <si>
    <t>FT 23/926</t>
  </si>
  <si>
    <t>Illy - café</t>
  </si>
  <si>
    <t>FT 24/239</t>
  </si>
  <si>
    <t xml:space="preserve">Café </t>
  </si>
  <si>
    <t>FT 24/310</t>
  </si>
  <si>
    <t>Illy Café NC Nº13 - 147,40€)</t>
  </si>
  <si>
    <t>FT 24/327</t>
  </si>
  <si>
    <t xml:space="preserve">Illy Café </t>
  </si>
  <si>
    <t>FT 24/400</t>
  </si>
  <si>
    <t>Café Illy</t>
  </si>
  <si>
    <t>FT 24/417</t>
  </si>
  <si>
    <t>Descaf</t>
  </si>
  <si>
    <t>FT 24/540</t>
  </si>
  <si>
    <t>Illy café - baixa</t>
  </si>
  <si>
    <t>FT 24/539</t>
  </si>
  <si>
    <t>Illy café - Matosinhos</t>
  </si>
  <si>
    <t>FT 24/560</t>
  </si>
  <si>
    <t>FT 24/577</t>
  </si>
  <si>
    <t>FT24/766</t>
  </si>
  <si>
    <t>FT24/809</t>
  </si>
  <si>
    <t>FT24/856</t>
  </si>
  <si>
    <t>FT25/59</t>
  </si>
  <si>
    <t>FT25/86</t>
  </si>
  <si>
    <t>FT25/130</t>
  </si>
  <si>
    <t>FT25/165</t>
  </si>
  <si>
    <t>FT25/229</t>
  </si>
  <si>
    <t>FT25/262</t>
  </si>
  <si>
    <t>FT25/279</t>
  </si>
  <si>
    <t>FT25/296</t>
  </si>
  <si>
    <t>FT25/380</t>
  </si>
  <si>
    <t>FT25/401</t>
  </si>
  <si>
    <t>FT25/407</t>
  </si>
  <si>
    <t>FT25/449</t>
  </si>
  <si>
    <t>FT25/495</t>
  </si>
  <si>
    <t>FT25/463</t>
  </si>
  <si>
    <t>Ft25/533</t>
  </si>
  <si>
    <t>FT25/550</t>
  </si>
  <si>
    <t>FT25/616</t>
  </si>
  <si>
    <t>FT25/661</t>
  </si>
  <si>
    <t>FT25/675</t>
  </si>
  <si>
    <t>FT25/697</t>
  </si>
  <si>
    <t>FT25/718</t>
  </si>
  <si>
    <t>FT25/734</t>
  </si>
  <si>
    <t>FT25/808</t>
  </si>
  <si>
    <t>Mat+Bol</t>
  </si>
  <si>
    <t>FT25/837</t>
  </si>
  <si>
    <t>FT26/4</t>
  </si>
  <si>
    <t>Fat Serviços de Restauração, Lda</t>
  </si>
  <si>
    <t>FA A/12</t>
  </si>
  <si>
    <t>FT26/16435</t>
  </si>
  <si>
    <t xml:space="preserve">Grasumos </t>
  </si>
  <si>
    <t>FT 24/681</t>
  </si>
  <si>
    <t>FT25/927</t>
  </si>
  <si>
    <t>Avença semestral (10/04/25 a 09/10/2025)</t>
  </si>
  <si>
    <t>FT25/1160</t>
  </si>
  <si>
    <t>FT25/1408</t>
  </si>
  <si>
    <t>FT25/1616</t>
  </si>
  <si>
    <t>FT25/1875</t>
  </si>
  <si>
    <t>FT25/2146</t>
  </si>
  <si>
    <t>FT25/2271</t>
  </si>
  <si>
    <t>NC25/83</t>
  </si>
  <si>
    <t>FT25/2714</t>
  </si>
  <si>
    <t>FT25/2817</t>
  </si>
  <si>
    <t>FT25/3065</t>
  </si>
  <si>
    <t>FT25/3229</t>
  </si>
  <si>
    <t>FT25/3349</t>
  </si>
  <si>
    <t>FT25/3508</t>
  </si>
  <si>
    <t>FT26/16491</t>
  </si>
  <si>
    <t>Illy</t>
  </si>
  <si>
    <t>FT 595</t>
  </si>
  <si>
    <t>Café</t>
  </si>
  <si>
    <t>FT 23/ 632</t>
  </si>
  <si>
    <t>FT 23/689</t>
  </si>
  <si>
    <t>Café illy</t>
  </si>
  <si>
    <t>FT 23/755</t>
  </si>
  <si>
    <t>FT 24/73</t>
  </si>
  <si>
    <t>FT 24/160</t>
  </si>
  <si>
    <t>FT 23/833</t>
  </si>
  <si>
    <t>Descafeinado - NC 22</t>
  </si>
  <si>
    <t>Mundoneutro, Lda</t>
  </si>
  <si>
    <t>Glâmi Eventos</t>
  </si>
  <si>
    <t>FT 1A2401/36</t>
  </si>
  <si>
    <t>FT 23/852</t>
  </si>
  <si>
    <t>Autoliquidação IRC 2024</t>
  </si>
  <si>
    <t>Nem carne nem Peixe</t>
  </si>
  <si>
    <t>FA 1A2501/185</t>
  </si>
  <si>
    <t>Nem carne Nem Peixe</t>
  </si>
  <si>
    <t>FA 1A2501/15</t>
  </si>
  <si>
    <t>FA 1A2501/40</t>
  </si>
  <si>
    <t>FA 1A2501/49</t>
  </si>
  <si>
    <t>FA 1A2501/58</t>
  </si>
  <si>
    <t>FA 1A2501/82</t>
  </si>
  <si>
    <t>NordZee - Nautica e Serviços Lda</t>
  </si>
  <si>
    <t>Marina</t>
  </si>
  <si>
    <t>FT 1A2301/31</t>
  </si>
  <si>
    <t>FT 1A2301/50</t>
  </si>
  <si>
    <t>FT 1A2301/61</t>
  </si>
  <si>
    <t>FT 1A2301/72</t>
  </si>
  <si>
    <t>Palacio</t>
  </si>
  <si>
    <t>FS 1A2401/8882</t>
  </si>
  <si>
    <t>FT 1A2401/11</t>
  </si>
  <si>
    <t>FT 1A2401/21</t>
  </si>
  <si>
    <t>FT 1A2401/32</t>
  </si>
  <si>
    <t>Paulo Magalhaes</t>
  </si>
  <si>
    <t>Primavera</t>
  </si>
  <si>
    <t>FA 1A2501/103</t>
  </si>
  <si>
    <t>FA 1A2501/125</t>
  </si>
  <si>
    <t>Paulo Magalhães</t>
  </si>
  <si>
    <t>FA 1A2501/155</t>
  </si>
  <si>
    <t>FA 1A2501/213</t>
  </si>
  <si>
    <t>FA A/4</t>
  </si>
  <si>
    <t>FA 1A2501/204</t>
  </si>
  <si>
    <t>FA 1A2501/206</t>
  </si>
  <si>
    <t>Paulo Magalhaes Lda</t>
  </si>
  <si>
    <t>FA 1A2501/175</t>
  </si>
  <si>
    <t>FR ATSIRE01FR/47</t>
  </si>
  <si>
    <t>Bolhao/TOM</t>
  </si>
  <si>
    <t>Entregas 16 a 31/05</t>
  </si>
  <si>
    <t>Estafeta</t>
  </si>
  <si>
    <t>FT 24/66</t>
  </si>
  <si>
    <t>Estafeta- PT50 0007 0000  0069 1742 8912 3</t>
  </si>
  <si>
    <t>Pirâmide Temperos</t>
  </si>
  <si>
    <t>La Ricotta</t>
  </si>
  <si>
    <t>FA 1A2501/101</t>
  </si>
  <si>
    <t>Santo</t>
  </si>
  <si>
    <t>FA 1A2401/103</t>
  </si>
  <si>
    <t>FA 1A2401/117</t>
  </si>
  <si>
    <t xml:space="preserve">Santo </t>
  </si>
  <si>
    <t>FA 1A2402/10</t>
  </si>
  <si>
    <t>FA 1A2402/24</t>
  </si>
  <si>
    <t>FA 1A2402/49</t>
  </si>
  <si>
    <t>FA 1A2402/65</t>
  </si>
  <si>
    <t>FA 1A2402/76</t>
  </si>
  <si>
    <t>FA 1A2402/81</t>
  </si>
  <si>
    <t>FA 1A2402/86</t>
  </si>
  <si>
    <t>FA 1A2501/25</t>
  </si>
  <si>
    <t>FA 1A2501/26</t>
  </si>
  <si>
    <t>FA 1A2501/33</t>
  </si>
  <si>
    <t>FA 1A2501/47</t>
  </si>
  <si>
    <t>FA 1A2501/50</t>
  </si>
  <si>
    <t>FA 1A2501/60</t>
  </si>
  <si>
    <t>FA 1A2501/70</t>
  </si>
  <si>
    <t>FA 1A2501/80</t>
  </si>
  <si>
    <t>FA 1A2501/95</t>
  </si>
  <si>
    <t>FA 1A2501/115</t>
  </si>
  <si>
    <t>FS 1A2401/5825</t>
  </si>
  <si>
    <t>FT1A2401/128</t>
  </si>
  <si>
    <t>Pizzaria Steak House - Temperos mágicos</t>
  </si>
  <si>
    <t>FA 1A2501/140</t>
  </si>
  <si>
    <t>FA 1A2501/173</t>
  </si>
  <si>
    <t>FA 1A2501/195</t>
  </si>
  <si>
    <t>Éter</t>
  </si>
  <si>
    <t>FA 1A2501/164</t>
  </si>
  <si>
    <t>FA 1A2501/174</t>
  </si>
  <si>
    <t>FA 1A2501/178</t>
  </si>
  <si>
    <t>FA 1A2501/184</t>
  </si>
  <si>
    <t>FA 1A2501/187</t>
  </si>
  <si>
    <t>FA 1A2501/180</t>
  </si>
  <si>
    <t>FA 1A2501/192</t>
  </si>
  <si>
    <t>FA 1A2501/193</t>
  </si>
  <si>
    <t>FA 1A2501/211</t>
  </si>
  <si>
    <t>FA 1A2501/207</t>
  </si>
  <si>
    <t>Planeta Polvilhado Lda</t>
  </si>
  <si>
    <t>FA 1A2501/201</t>
  </si>
  <si>
    <t>FA 1A2501/205</t>
  </si>
  <si>
    <t>FA 1A2501/46</t>
  </si>
  <si>
    <t>FR 24/6</t>
  </si>
  <si>
    <t>Transporte Time Out</t>
  </si>
  <si>
    <t>FA 1A2501/93</t>
  </si>
  <si>
    <t>FA 1A2501/98</t>
  </si>
  <si>
    <t>FA 1A2501/112</t>
  </si>
  <si>
    <t>FA 1A2501/120</t>
  </si>
  <si>
    <t>FA 1A2501/130</t>
  </si>
  <si>
    <t>FA 1A2501/134</t>
  </si>
  <si>
    <t>FA 1A2501/137</t>
  </si>
  <si>
    <t>FS 1A2401/11160</t>
  </si>
  <si>
    <t>FS 1A2401/14578</t>
  </si>
  <si>
    <t>FS 1A2401/17342</t>
  </si>
  <si>
    <t>FS 1A2401/18333</t>
  </si>
  <si>
    <t>FT 1A2401/16159</t>
  </si>
  <si>
    <t>FA 1A2401/104</t>
  </si>
  <si>
    <t>FA 1A2401/107</t>
  </si>
  <si>
    <t>FA 1A2401/91</t>
  </si>
  <si>
    <t>FA 1A2402/17</t>
  </si>
  <si>
    <t>FA 1A2402/2</t>
  </si>
  <si>
    <t>FA 1A2402/28</t>
  </si>
  <si>
    <t>FA 1A2402/44</t>
  </si>
  <si>
    <t>FA 1A2402/52</t>
  </si>
  <si>
    <t>FA 1A2402/58</t>
  </si>
  <si>
    <t>FA 1A2402/69</t>
  </si>
  <si>
    <t>FA 1A2402/74</t>
  </si>
  <si>
    <t>FA 1A2402/82</t>
  </si>
  <si>
    <t>FR 24/7</t>
  </si>
  <si>
    <t>Entrega de gelado</t>
  </si>
  <si>
    <t>FR ATSIRE01FR/37</t>
  </si>
  <si>
    <t>Entregas 03/04 a 18/04</t>
  </si>
  <si>
    <t>FR ATSIRE01FR/42</t>
  </si>
  <si>
    <t>TimeOut/Bolhao</t>
  </si>
  <si>
    <t>Transporte 2 a 15/05/2025</t>
  </si>
  <si>
    <t>FR ATSIRE01FR/48</t>
  </si>
  <si>
    <t>Transporte Para Sogrape</t>
  </si>
  <si>
    <t>FR ATSIRE01FR/50</t>
  </si>
  <si>
    <t>Entregas 30/05 a 14/06</t>
  </si>
  <si>
    <t>FR ATSIRE01FR/70</t>
  </si>
  <si>
    <t>José Eduardo</t>
  </si>
  <si>
    <t>FR 23/1</t>
  </si>
  <si>
    <t>Fotografo</t>
  </si>
  <si>
    <t>La Maison Armorine</t>
  </si>
  <si>
    <t>FT 2310000291</t>
  </si>
  <si>
    <t>Caramelo</t>
  </si>
  <si>
    <t>FT 24/2405000599</t>
  </si>
  <si>
    <t>Caramelo NC 2407900021 - 163,80€</t>
  </si>
  <si>
    <t>Falta NC no valor de 46,41 (açai)</t>
  </si>
  <si>
    <t>FT 23/26126</t>
  </si>
  <si>
    <t>Maracujá</t>
  </si>
  <si>
    <t>FT23/27114</t>
  </si>
  <si>
    <t>FT 23/30047</t>
  </si>
  <si>
    <t>Açai</t>
  </si>
  <si>
    <t>FT 23/34922</t>
  </si>
  <si>
    <t>FT 23/41056</t>
  </si>
  <si>
    <t>FT 24/2558</t>
  </si>
  <si>
    <t>FT 24/3444</t>
  </si>
  <si>
    <t>Maracujá c/ sementes</t>
  </si>
  <si>
    <t>FT 24/4215</t>
  </si>
  <si>
    <t>Açaí</t>
  </si>
  <si>
    <t>MagoFri</t>
  </si>
  <si>
    <t>FT 24/9037</t>
  </si>
  <si>
    <t>FT 24/11762</t>
  </si>
  <si>
    <t>Sumo de limão</t>
  </si>
  <si>
    <t>FT 24/12884</t>
  </si>
  <si>
    <t>Maracujá/açai</t>
  </si>
  <si>
    <t>FT 24/17870</t>
  </si>
  <si>
    <t>FT 24/19735</t>
  </si>
  <si>
    <t>FT 24/20930</t>
  </si>
  <si>
    <t>Limão</t>
  </si>
  <si>
    <t>FT 24/23658</t>
  </si>
  <si>
    <t>FT 24/26195</t>
  </si>
  <si>
    <t>FT 24/27263</t>
  </si>
  <si>
    <t>FT 24/28378</t>
  </si>
  <si>
    <t>FT 24/30013</t>
  </si>
  <si>
    <t>FT 24/31508</t>
  </si>
  <si>
    <t>FT 24/31550</t>
  </si>
  <si>
    <t>Sumo limão</t>
  </si>
  <si>
    <t>FT 24/34333</t>
  </si>
  <si>
    <t>FT 24/35386</t>
  </si>
  <si>
    <t>FT24/43111</t>
  </si>
  <si>
    <t>FT24/45767</t>
  </si>
  <si>
    <t>FT25/03085</t>
  </si>
  <si>
    <t>FT25/04852</t>
  </si>
  <si>
    <t>FT25/07969</t>
  </si>
  <si>
    <t>FT25/08741</t>
  </si>
  <si>
    <t>FT25/12990</t>
  </si>
  <si>
    <t>FT25/11925</t>
  </si>
  <si>
    <t>FT25/13870</t>
  </si>
  <si>
    <t>FT25/15798</t>
  </si>
  <si>
    <t>FT25/20100</t>
  </si>
  <si>
    <t>FT25/22758</t>
  </si>
  <si>
    <t>FT25/23938</t>
  </si>
  <si>
    <t>Ft25/25821</t>
  </si>
  <si>
    <t>FT25/26962</t>
  </si>
  <si>
    <t>FA 1A2501/4</t>
  </si>
  <si>
    <t>FT25/29279</t>
  </si>
  <si>
    <t>FA 1A2501/10</t>
  </si>
  <si>
    <t>FA 1A2501/17</t>
  </si>
  <si>
    <t>25/02/2025</t>
  </si>
  <si>
    <t>FT25/30446</t>
  </si>
  <si>
    <t>FT25/30445</t>
  </si>
  <si>
    <t>FT25/31519</t>
  </si>
  <si>
    <t>Ft25/32906</t>
  </si>
  <si>
    <t>FT25/33545</t>
  </si>
  <si>
    <t>FT25/35931</t>
  </si>
  <si>
    <t>FA 1A2501/21</t>
  </si>
  <si>
    <t>Ft25/37210</t>
  </si>
  <si>
    <t>FT25/37824</t>
  </si>
  <si>
    <t>FT25/39199</t>
  </si>
  <si>
    <t>FT25/41312</t>
  </si>
  <si>
    <t>FA 1A2501/39</t>
  </si>
  <si>
    <t>FA 1A2501/65</t>
  </si>
  <si>
    <t>FA 1A2501/67</t>
  </si>
  <si>
    <t>FA 1A2501/69</t>
  </si>
  <si>
    <t>FA 1A2501/74</t>
  </si>
  <si>
    <t>FA 1A2501/85</t>
  </si>
  <si>
    <t>FA 1A2501/147</t>
  </si>
  <si>
    <t>FA 1A2501/154</t>
  </si>
  <si>
    <t>FA 1A2501/156</t>
  </si>
  <si>
    <t>FT25/42985</t>
  </si>
  <si>
    <t>FT26/00221</t>
  </si>
  <si>
    <t>FS 1A2401/19421</t>
  </si>
  <si>
    <t>Vendas Bolhão</t>
  </si>
  <si>
    <t>B2C</t>
  </si>
  <si>
    <t xml:space="preserve">Magofri </t>
  </si>
  <si>
    <t>FT 23/38028</t>
  </si>
  <si>
    <t>FT25/00088</t>
  </si>
  <si>
    <t>FT25/000251</t>
  </si>
  <si>
    <t>FT25/10000404</t>
  </si>
  <si>
    <t xml:space="preserve">Aguarda litígio </t>
  </si>
  <si>
    <t>NC25/2511900006</t>
  </si>
  <si>
    <t>FR ATSIRE01FR/10</t>
  </si>
  <si>
    <t>Melhorium Lda</t>
  </si>
  <si>
    <t>FT 24/468</t>
  </si>
  <si>
    <t>Frutos vermelhos - PT500033 0000 4561 7225 4760 5</t>
  </si>
  <si>
    <t>Moises Silva</t>
  </si>
  <si>
    <t>FT25/52</t>
  </si>
  <si>
    <t>PT50 0033 0000 4560 5862 1200 5</t>
  </si>
  <si>
    <t>FT25/57</t>
  </si>
  <si>
    <t>Pago confirming</t>
  </si>
  <si>
    <t>FT25/65</t>
  </si>
  <si>
    <t>FR 24/59</t>
  </si>
  <si>
    <t>Limpeza dos sofás</t>
  </si>
  <si>
    <t>FR 24/3</t>
  </si>
  <si>
    <t>Limpeza Sofá</t>
  </si>
  <si>
    <t>Moura Martins Arq</t>
  </si>
  <si>
    <t>FT 24/48</t>
  </si>
  <si>
    <t>Sara, projeto</t>
  </si>
  <si>
    <t>FT 24/51</t>
  </si>
  <si>
    <t>Fase final - Projeto Formosa</t>
  </si>
  <si>
    <t>FT 24/57</t>
  </si>
  <si>
    <t>Acompanhamento obra baixa</t>
  </si>
  <si>
    <t>FT24/59</t>
  </si>
  <si>
    <t>Adjudicação Remodelação Matosinhos</t>
  </si>
  <si>
    <t>Muda Muda</t>
  </si>
  <si>
    <t>FA 2023/45</t>
  </si>
  <si>
    <t>Transporte arca</t>
  </si>
  <si>
    <t>Norteclean - Cardoso Silva, Lda</t>
  </si>
  <si>
    <t>FT 24/59</t>
  </si>
  <si>
    <t>Limpeza Jul - PT50 0036 0051 9910 0379 5546 1</t>
  </si>
  <si>
    <t>Limpeza ago - PT50 0036 0051 9910 0379 5546 1</t>
  </si>
  <si>
    <t>Reparação Forno</t>
  </si>
  <si>
    <t>FT 24/348</t>
  </si>
  <si>
    <t>Armário Frigorifico</t>
  </si>
  <si>
    <t>Porta congelador</t>
  </si>
  <si>
    <t>FT25/349</t>
  </si>
  <si>
    <t>FT25/517</t>
  </si>
  <si>
    <t>Abateu o sinal de 10€ que demos</t>
  </si>
  <si>
    <t>PGE</t>
  </si>
  <si>
    <t>FT 24/ 24</t>
  </si>
  <si>
    <t>Honorarios ertificado energertico - PT50 0018 000352245081020 44</t>
  </si>
  <si>
    <t>Polvo Criativo</t>
  </si>
  <si>
    <t>FT 2023/105</t>
  </si>
  <si>
    <t>Vinil (PT50 0079 0000 7664 0158 1019 6)</t>
  </si>
  <si>
    <t>processo nº8411673</t>
  </si>
  <si>
    <t>processo nº8411674</t>
  </si>
  <si>
    <t>FT25/651</t>
  </si>
  <si>
    <t>FT25/684</t>
  </si>
  <si>
    <t>FT25/650</t>
  </si>
  <si>
    <t>FT25/729</t>
  </si>
  <si>
    <t>FT25/850</t>
  </si>
  <si>
    <t>FT25/730</t>
  </si>
  <si>
    <t>FT25/897</t>
  </si>
  <si>
    <t>FT25/941</t>
  </si>
  <si>
    <t>FT25/936</t>
  </si>
  <si>
    <t>FT25/1019</t>
  </si>
  <si>
    <t>FT25/1038</t>
  </si>
  <si>
    <t>FT25/1020</t>
  </si>
  <si>
    <t>FT25/1146</t>
  </si>
  <si>
    <t>FT25/1083</t>
  </si>
  <si>
    <t>FT25/1057</t>
  </si>
  <si>
    <t>FT25/1145</t>
  </si>
  <si>
    <t>FT25/1180</t>
  </si>
  <si>
    <t>FT25/1179</t>
  </si>
  <si>
    <t>FT25/1266</t>
  </si>
  <si>
    <t>FT25/1268</t>
  </si>
  <si>
    <t>FT25/1284</t>
  </si>
  <si>
    <t>FT25/1216</t>
  </si>
  <si>
    <t>FT25/1217</t>
  </si>
  <si>
    <t>Vendas Matosinhos</t>
  </si>
  <si>
    <t>FT25/1461</t>
  </si>
  <si>
    <t>FT25/1460</t>
  </si>
  <si>
    <t>FT25/1337</t>
  </si>
  <si>
    <t>FT25/1407</t>
  </si>
  <si>
    <t>FT25/1350</t>
  </si>
  <si>
    <t>FT25/1348</t>
  </si>
  <si>
    <t>FT25/1336</t>
  </si>
  <si>
    <t>ft25/1500</t>
  </si>
  <si>
    <t>FT25/1640</t>
  </si>
  <si>
    <t>Ft25/1643</t>
  </si>
  <si>
    <t>FT25/1499</t>
  </si>
  <si>
    <t>FT25/1696</t>
  </si>
  <si>
    <t>FT25/1701</t>
  </si>
  <si>
    <t>FT25/1750</t>
  </si>
  <si>
    <t>FT25/1751</t>
  </si>
  <si>
    <t>FT25/1806</t>
  </si>
  <si>
    <t>FT25/1793</t>
  </si>
  <si>
    <t>FT25/1977</t>
  </si>
  <si>
    <t>FT25/1917</t>
  </si>
  <si>
    <t>FT25/1910</t>
  </si>
  <si>
    <t>FT25/1919</t>
  </si>
  <si>
    <t>FT25/1939</t>
  </si>
  <si>
    <t>FT25/1964</t>
  </si>
  <si>
    <t>Ft25/2058</t>
  </si>
  <si>
    <t>FT25/2060</t>
  </si>
  <si>
    <t>FT25/2120</t>
  </si>
  <si>
    <t>FT25/2115</t>
  </si>
  <si>
    <t>FT25/2127</t>
  </si>
  <si>
    <t>FT25/2211</t>
  </si>
  <si>
    <t>FT25/2210</t>
  </si>
  <si>
    <t>FT25/2305</t>
  </si>
  <si>
    <t>FT25/2403</t>
  </si>
  <si>
    <t>FT25/2386</t>
  </si>
  <si>
    <t>FT25/2434</t>
  </si>
  <si>
    <t>FT25/2548</t>
  </si>
  <si>
    <t>FT25/2549</t>
  </si>
  <si>
    <t>FT25/2614</t>
  </si>
  <si>
    <t>FT25/2645</t>
  </si>
  <si>
    <t>FT25/2715</t>
  </si>
  <si>
    <t>FT25/2763</t>
  </si>
  <si>
    <t>FT25/2764</t>
  </si>
  <si>
    <t>FT25/2304</t>
  </si>
  <si>
    <t>FT25/2825</t>
  </si>
  <si>
    <t>FT25/2818</t>
  </si>
  <si>
    <t>FT25/2895</t>
  </si>
  <si>
    <t>FT25/2991</t>
  </si>
  <si>
    <t>FT25/2990</t>
  </si>
  <si>
    <t>FT25/3054</t>
  </si>
  <si>
    <t>FT25/3055</t>
  </si>
  <si>
    <t>FT25/3130</t>
  </si>
  <si>
    <t>FT26/16550</t>
  </si>
  <si>
    <t>FT25/3131</t>
  </si>
  <si>
    <t>FT26/80</t>
  </si>
  <si>
    <t>FT26/30</t>
  </si>
  <si>
    <t>FT26/33</t>
  </si>
  <si>
    <t>FT26/111</t>
  </si>
  <si>
    <t>FT26/112</t>
  </si>
  <si>
    <t>FT26/16600</t>
  </si>
  <si>
    <t xml:space="preserve">Jorge - </t>
  </si>
  <si>
    <t>FT25/224</t>
  </si>
  <si>
    <t>Avença Abril25</t>
  </si>
  <si>
    <t>FT 23/498</t>
  </si>
  <si>
    <t>Contabilidade</t>
  </si>
  <si>
    <t>FT 23/570</t>
  </si>
  <si>
    <t>FT 2023/647</t>
  </si>
  <si>
    <t>FT 23/723</t>
  </si>
  <si>
    <t>FT 23/800</t>
  </si>
  <si>
    <t>Contabilidade Dez</t>
  </si>
  <si>
    <t>FT 24/53</t>
  </si>
  <si>
    <t>FT 24/181</t>
  </si>
  <si>
    <t>Contabiidade</t>
  </si>
  <si>
    <t>FT 24/251</t>
  </si>
  <si>
    <t>FT 24/503</t>
  </si>
  <si>
    <t>FT 24/641</t>
  </si>
  <si>
    <t>FT25/66</t>
  </si>
  <si>
    <t>FT 24/721</t>
  </si>
  <si>
    <t xml:space="preserve">FT 2024/795 </t>
  </si>
  <si>
    <t>FT24/866</t>
  </si>
  <si>
    <t>FT25/64</t>
  </si>
  <si>
    <t>FT25/121</t>
  </si>
  <si>
    <t>Avença Março 2025</t>
  </si>
  <si>
    <t>FT25/346</t>
  </si>
  <si>
    <t>Avença Maio25</t>
  </si>
  <si>
    <t>FT25/271</t>
  </si>
  <si>
    <t>Relatório Único 2025</t>
  </si>
  <si>
    <t>FT25/420</t>
  </si>
  <si>
    <t>FT25/500</t>
  </si>
  <si>
    <t>FT25/611</t>
  </si>
  <si>
    <t>FT25/691</t>
  </si>
  <si>
    <t>FT1A2401/126</t>
  </si>
  <si>
    <t>FT25/775</t>
  </si>
  <si>
    <t>FT25/867</t>
  </si>
  <si>
    <t>FT25/953</t>
  </si>
  <si>
    <t>FT25/993</t>
  </si>
  <si>
    <t>FA 1A2501/159</t>
  </si>
  <si>
    <t>Sushi &amp; Co.</t>
  </si>
  <si>
    <t>FA 1A2501/6</t>
  </si>
  <si>
    <t>Prestigiosa</t>
  </si>
  <si>
    <t>FT 23/5858</t>
  </si>
  <si>
    <t>FT 24/209</t>
  </si>
  <si>
    <t>FA 1A2501/215</t>
  </si>
  <si>
    <t>Predicados do Douro</t>
  </si>
  <si>
    <t>Palácio</t>
  </si>
  <si>
    <t>FA 1A2402/53</t>
  </si>
  <si>
    <t>Palácio de Cristal</t>
  </si>
  <si>
    <t>FT 24/1093</t>
  </si>
  <si>
    <t>Coco / NC 67= 31,50</t>
  </si>
  <si>
    <t xml:space="preserve">Prestigiosa </t>
  </si>
  <si>
    <t>FT 24/3019</t>
  </si>
  <si>
    <t>Primigenius</t>
  </si>
  <si>
    <t>FT 24/388</t>
  </si>
  <si>
    <t>Sofá - loja baixa</t>
  </si>
  <si>
    <t>FT25/507</t>
  </si>
  <si>
    <t>Renda Outubro 2025 Bolhão</t>
  </si>
  <si>
    <t>FT25/44062</t>
  </si>
  <si>
    <t>Renda Bolhão Setembro 25</t>
  </si>
  <si>
    <t>FT25/588</t>
  </si>
  <si>
    <t>Renda Bolhão Nov25</t>
  </si>
  <si>
    <t>FT25/602</t>
  </si>
  <si>
    <t>Despesas comuns Set25</t>
  </si>
  <si>
    <t>FT25/603</t>
  </si>
  <si>
    <t>Despesas comuns Out25 REF 35-484</t>
  </si>
  <si>
    <t>FT25/604</t>
  </si>
  <si>
    <t>Despesas comuns Nov25 REF 35-484</t>
  </si>
  <si>
    <t>FT25/676</t>
  </si>
  <si>
    <t>Renda Dezembro 2025 Bolhão (aumento anual)</t>
  </si>
  <si>
    <t>FT25/669</t>
  </si>
  <si>
    <t>Despesas comuns Dezembro 2025 Bolhão</t>
  </si>
  <si>
    <t>FT25/</t>
  </si>
  <si>
    <t>FT26/10</t>
  </si>
  <si>
    <t>Despesas comuns Bolhão Fev26</t>
  </si>
  <si>
    <t>FT26/16</t>
  </si>
  <si>
    <t>Renda Bolhão Fev26 ref 35 - 484</t>
  </si>
  <si>
    <t>Predicados do Douro Lda</t>
  </si>
  <si>
    <t>FT  1A2401/46</t>
  </si>
  <si>
    <t>FT26/16679</t>
  </si>
  <si>
    <t>FT26/199</t>
  </si>
  <si>
    <t>FT 24/432</t>
  </si>
  <si>
    <t>Detetores de incêndio</t>
  </si>
  <si>
    <t>FT 24/580</t>
  </si>
  <si>
    <t>Extintores</t>
  </si>
  <si>
    <t>FT 24/937</t>
  </si>
  <si>
    <t>Sistema de videovigilancia - PT50017030960304001118031</t>
  </si>
  <si>
    <t>FT 24/939</t>
  </si>
  <si>
    <t>FT25/464</t>
  </si>
  <si>
    <t>Retirada imagens - Policia</t>
  </si>
  <si>
    <t>FT25/541</t>
  </si>
  <si>
    <t>FT25/1029</t>
  </si>
  <si>
    <t>FT25/1585</t>
  </si>
  <si>
    <t>Assistencia Tecnica 11/11/2025 - PT50 0170 3096 0304 0011 1803 1</t>
  </si>
  <si>
    <t>POS Formosa - NE 022/1442</t>
  </si>
  <si>
    <t>Predicados do Douro, Lda</t>
  </si>
  <si>
    <t>FA 1A2402/9</t>
  </si>
  <si>
    <t>Ricardo</t>
  </si>
  <si>
    <t>FT 1A2301/43</t>
  </si>
  <si>
    <t>FT 1A2301/52</t>
  </si>
  <si>
    <t>..</t>
  </si>
  <si>
    <t>FA 1A2501/29</t>
  </si>
  <si>
    <t>FA 1A2501/116</t>
  </si>
  <si>
    <t>Quinta da Massora</t>
  </si>
  <si>
    <t>FT 24/85</t>
  </si>
  <si>
    <t>Tangerinas</t>
  </si>
  <si>
    <t>Raul Corte Real</t>
  </si>
  <si>
    <t>FT 24/151</t>
  </si>
  <si>
    <t>Advogado</t>
  </si>
  <si>
    <t>FR 24/12</t>
  </si>
  <si>
    <t>Ex-advogado</t>
  </si>
  <si>
    <t>Risquinha</t>
  </si>
  <si>
    <t>FT 24/254</t>
  </si>
  <si>
    <t>Calças 50%+50% (372,1€) pago 50% (2/2)</t>
  </si>
  <si>
    <t>PP 1666/FT24/524</t>
  </si>
  <si>
    <t>Fardas 50% (1/2)-286,1</t>
  </si>
  <si>
    <t>PP 1923</t>
  </si>
  <si>
    <t xml:space="preserve">Fardas - Pagamento 2/2 184.5€ </t>
  </si>
  <si>
    <t>FT25/458</t>
  </si>
  <si>
    <t>pago a 09/07 e 23/07</t>
  </si>
  <si>
    <t>FT 24/81</t>
  </si>
  <si>
    <t>Renda Dezembro</t>
  </si>
  <si>
    <t>FT 24/93</t>
  </si>
  <si>
    <t>Condomínio Dezembro</t>
  </si>
  <si>
    <t>FT25/189</t>
  </si>
  <si>
    <t>Despesas comuns Maio 2025</t>
  </si>
  <si>
    <t>FT25/182</t>
  </si>
  <si>
    <t>FT25/254,262</t>
  </si>
  <si>
    <t>Renda + despesas comuns Agosto 2025</t>
  </si>
  <si>
    <t>Condominio - Out</t>
  </si>
  <si>
    <t>FT 24/43</t>
  </si>
  <si>
    <t>Renda Baixa - PT50 0018 0003 5584 1530 0209 8</t>
  </si>
  <si>
    <t>FT 24/60</t>
  </si>
  <si>
    <t>Condominio - Nov</t>
  </si>
  <si>
    <t>Ricardo Teixeira</t>
  </si>
  <si>
    <t>FT 1A2401/55</t>
  </si>
  <si>
    <t>FA 1A2501/149</t>
  </si>
  <si>
    <t>FT24/109</t>
  </si>
  <si>
    <t>Despesas comuns Jan25</t>
  </si>
  <si>
    <t>Renda Janeiro 25</t>
  </si>
  <si>
    <t>FT24/140,145</t>
  </si>
  <si>
    <t>FT25/167</t>
  </si>
  <si>
    <t>Renda Abril 25</t>
  </si>
  <si>
    <t>FT25/162</t>
  </si>
  <si>
    <t>Despesas comuns Abril 2025</t>
  </si>
  <si>
    <t>FT25/209</t>
  </si>
  <si>
    <t>Renda Bolhão  Junho 2025</t>
  </si>
  <si>
    <t>FT25/216</t>
  </si>
  <si>
    <t>Despesas comuns Bolhao Junho 2025</t>
  </si>
  <si>
    <t>Despesas comuns Bolhao Julho 2025</t>
  </si>
  <si>
    <t>FT25/233</t>
  </si>
  <si>
    <t>Renda Bolhão  Julho 2025</t>
  </si>
  <si>
    <t>Sara Couto (Hugo Azevedo)</t>
  </si>
  <si>
    <t>FA 1A2501/127</t>
  </si>
  <si>
    <t>Semea</t>
  </si>
  <si>
    <t>FA 1A2402/11</t>
  </si>
  <si>
    <t>FT24/119</t>
  </si>
  <si>
    <t>FT24/124</t>
  </si>
  <si>
    <t>Despesas comuns Fev25</t>
  </si>
  <si>
    <t>RMS</t>
  </si>
  <si>
    <t>FT 24/841</t>
  </si>
  <si>
    <t>Placas sabores</t>
  </si>
  <si>
    <t>Retenção IRS Set25</t>
  </si>
  <si>
    <t>TSU set25</t>
  </si>
  <si>
    <t>TSU Out25</t>
  </si>
  <si>
    <t>Estado - IVA 3º Trimestre (1/2)</t>
  </si>
  <si>
    <t>ref: 162412529490694</t>
  </si>
  <si>
    <t>Estado - IVA 3º Trimestre (2/2)</t>
  </si>
  <si>
    <t>Ref 162370033504598</t>
  </si>
  <si>
    <t>Ref 156 090 248 669 605</t>
  </si>
  <si>
    <t>Ref 156 480 672 519 518</t>
  </si>
  <si>
    <t xml:space="preserve">Seg Social - TSU </t>
  </si>
  <si>
    <t>TSU Nov25</t>
  </si>
  <si>
    <t>Estado - IRS, IRC, IS - Prediais Mouzinho</t>
  </si>
  <si>
    <t>Mouzinho</t>
  </si>
  <si>
    <t>FA 1A2402/20</t>
  </si>
  <si>
    <t>FA 1A2402/21</t>
  </si>
  <si>
    <t>FA 1A2402/22</t>
  </si>
  <si>
    <t>FA 1A2402/32</t>
  </si>
  <si>
    <t>FA 1A2402/37</t>
  </si>
  <si>
    <t>FA 1A2402/48</t>
  </si>
  <si>
    <t>FA 1A2402/5</t>
  </si>
  <si>
    <t>FA 1A2402/56</t>
  </si>
  <si>
    <t>FA 1A2402/61</t>
  </si>
  <si>
    <t>FS 1A2301/11465</t>
  </si>
  <si>
    <t>FS 1A2301/12326</t>
  </si>
  <si>
    <t>PF 3332/00</t>
  </si>
  <si>
    <t>FT24/812</t>
  </si>
  <si>
    <t>Design cavalete, ilustrações, vitrine… (FT837)</t>
  </si>
  <si>
    <t>FT 24/759</t>
  </si>
  <si>
    <t>Quiosque Time Out - PT50003300004567195287605</t>
  </si>
  <si>
    <t>FT 24/789</t>
  </si>
  <si>
    <t>Placa sabores</t>
  </si>
  <si>
    <t>FT24/813</t>
  </si>
  <si>
    <t>Timeout</t>
  </si>
  <si>
    <t>levantamento quiosque e rendas nov e dez24 (FT 838)</t>
  </si>
  <si>
    <t>Símbolo versátil</t>
  </si>
  <si>
    <t>Armazenagem Kiosk Jan-Abr2025 + entrega</t>
  </si>
  <si>
    <t>FT25/71</t>
  </si>
  <si>
    <t>Renda Dez25</t>
  </si>
  <si>
    <t>Caução + Rendas Fev e Mar 2026 - episódio variável</t>
  </si>
  <si>
    <t>Renda Jan25 - Abate ao valor pago e excesso</t>
  </si>
  <si>
    <t>FT 24/329</t>
  </si>
  <si>
    <t>Musica</t>
  </si>
  <si>
    <t>FT24/941</t>
  </si>
  <si>
    <t>Serviço mensal música ambiente Niva Bolhão (22/11/24 a 21/05/25)</t>
  </si>
  <si>
    <t>FS 1A2301/15519</t>
  </si>
  <si>
    <t>FT25/314</t>
  </si>
  <si>
    <t>FT25/453</t>
  </si>
  <si>
    <t>Serviço Mensal Música Ambiente - Nivà Formosa Porto - Periodo de 22Maio a 21 Nov25</t>
  </si>
  <si>
    <t>Sonoro media</t>
  </si>
  <si>
    <t>FT25/888</t>
  </si>
  <si>
    <t>Serviço mensal música ambiente Niva Bolhão (22/11/25 a 21/05/26)</t>
  </si>
  <si>
    <t>Serviço mensal música ambiente Niva Bolhão (10/10/25 a 09/04/26)</t>
  </si>
  <si>
    <t>Suitespot</t>
  </si>
  <si>
    <t>FT 2023/94</t>
  </si>
  <si>
    <t>MKT/foto</t>
  </si>
  <si>
    <t>SuiteSpot</t>
  </si>
  <si>
    <t>FT 13/104</t>
  </si>
  <si>
    <t>MKT</t>
  </si>
  <si>
    <t>FT 23/116</t>
  </si>
  <si>
    <t>FT 2023/130</t>
  </si>
  <si>
    <t>FT 23/142</t>
  </si>
  <si>
    <t>FT 24/9</t>
  </si>
  <si>
    <t>Marketing Dez</t>
  </si>
  <si>
    <t>FT25/100000471</t>
  </si>
  <si>
    <t>Caução</t>
  </si>
  <si>
    <t>MKT jan</t>
  </si>
  <si>
    <t>Mkt Fev</t>
  </si>
  <si>
    <t>FT 24/47</t>
  </si>
  <si>
    <t>FT 24/70</t>
  </si>
  <si>
    <t>FT25/3040114351</t>
  </si>
  <si>
    <t>FT25/3040127946</t>
  </si>
  <si>
    <t>FT25/3040131445</t>
  </si>
  <si>
    <t>Ft25/3040137901</t>
  </si>
  <si>
    <t>FT25/3040145875</t>
  </si>
  <si>
    <t>FS 1A2301/16398</t>
  </si>
  <si>
    <t>FS 1A2301/17065</t>
  </si>
  <si>
    <t>FS 1A2301/24645</t>
  </si>
  <si>
    <t>FS 1A2301/25141</t>
  </si>
  <si>
    <t>FS 1A2301/25206</t>
  </si>
  <si>
    <t>FS 1A2301/25741</t>
  </si>
  <si>
    <t>FS 1A2301/26684</t>
  </si>
  <si>
    <t>FS 1A2301/27538</t>
  </si>
  <si>
    <t>FS 1A2301/28578</t>
  </si>
  <si>
    <t>FS 1A2301/28908</t>
  </si>
  <si>
    <t>FS 1A2301/29646</t>
  </si>
  <si>
    <t>FT25/3040169189</t>
  </si>
  <si>
    <t>FT25/3040157221</t>
  </si>
  <si>
    <t>FT25/3040187021</t>
  </si>
  <si>
    <t>FT25/3040196641</t>
  </si>
  <si>
    <t>FT25/3040216903</t>
  </si>
  <si>
    <t>FT25/3040224867</t>
  </si>
  <si>
    <t>FT25/3040236226</t>
  </si>
  <si>
    <t>FT25/3040243182</t>
  </si>
  <si>
    <t>FT25/3040295440</t>
  </si>
  <si>
    <t>Bolhão + Matosinhos</t>
  </si>
  <si>
    <t>FT26/3040326356</t>
  </si>
  <si>
    <t>Feito nota de crédito com o desconto.</t>
  </si>
  <si>
    <t>NC26/ZCC2</t>
  </si>
  <si>
    <t>Abate à fatura FT26/3040326356</t>
  </si>
  <si>
    <t>DC Advogados</t>
  </si>
  <si>
    <t>FT25/558</t>
  </si>
  <si>
    <t>Super Solutions</t>
  </si>
  <si>
    <t>Transporte eventos - PT50 0018 0003 6263 0223 0206 7</t>
  </si>
  <si>
    <t>FT25/537</t>
  </si>
  <si>
    <t>abater NC</t>
  </si>
  <si>
    <t>Reparação mixer</t>
  </si>
  <si>
    <t>colheres bio/ callebaut</t>
  </si>
  <si>
    <t>FT 2023/3026</t>
  </si>
  <si>
    <t>colher doseadora/chocolate</t>
  </si>
  <si>
    <t>FT 2023/3295</t>
  </si>
  <si>
    <t>caixas/colheres</t>
  </si>
  <si>
    <t>FT 23/3572</t>
  </si>
  <si>
    <t>Colheres</t>
  </si>
  <si>
    <t>FS 1A2301/29887</t>
  </si>
  <si>
    <t>FS 1A2301/30463</t>
  </si>
  <si>
    <t>FT 23/3613</t>
  </si>
  <si>
    <t>Caixas isotermicas</t>
  </si>
  <si>
    <t>FT 23/3655</t>
  </si>
  <si>
    <t>FT 23/3838</t>
  </si>
  <si>
    <t>Cacau</t>
  </si>
  <si>
    <t>FT 23/3966</t>
  </si>
  <si>
    <t>FS 1A2301/31073</t>
  </si>
  <si>
    <t>FS 1A2301/31452</t>
  </si>
  <si>
    <t>FS 1A2301/31518</t>
  </si>
  <si>
    <t>FS 1A2301/31670</t>
  </si>
  <si>
    <t>FS 1A2301/32080</t>
  </si>
  <si>
    <t>FS 1A2301/32288</t>
  </si>
  <si>
    <t>FT 23/4046</t>
  </si>
  <si>
    <t>maracujá</t>
  </si>
  <si>
    <t>FT 23/4047</t>
  </si>
  <si>
    <t>Leite em Pó</t>
  </si>
  <si>
    <t>FT 23/4082</t>
  </si>
  <si>
    <t>Dextrose</t>
  </si>
  <si>
    <t>FT23/4142</t>
  </si>
  <si>
    <t>FT 23/4177</t>
  </si>
  <si>
    <t>3 prestaçoes de 1739,22 (3/3)</t>
  </si>
  <si>
    <t>FT 23/4212</t>
  </si>
  <si>
    <t>FT 23/4286</t>
  </si>
  <si>
    <t>5 prestaçoes de 5000€ + 1 prestação de 2675€ (6/6) - Out/Dez/Mar/Mai/Jul/Out</t>
  </si>
  <si>
    <t>FT 23/4280</t>
  </si>
  <si>
    <t>Manutenção maquina effe6</t>
  </si>
  <si>
    <t>FT 23/4336</t>
  </si>
  <si>
    <t>Caixas take away / maracujá</t>
  </si>
  <si>
    <t>FT 23/4458</t>
  </si>
  <si>
    <t>Caixas Take away ( aguardar NC das tampas das carapinas 41,96€)</t>
  </si>
  <si>
    <t>FT 23/4469</t>
  </si>
  <si>
    <t>Copos médios</t>
  </si>
  <si>
    <t>FT 23/4599</t>
  </si>
  <si>
    <t>Consumiveis</t>
  </si>
  <si>
    <t>FT 23/4609</t>
  </si>
  <si>
    <t>FT 23/4691</t>
  </si>
  <si>
    <t>Take away</t>
  </si>
  <si>
    <t>FT 23/4814</t>
  </si>
  <si>
    <t>FT 23/4840</t>
  </si>
  <si>
    <t>Waffes</t>
  </si>
  <si>
    <t>FT 23/4937</t>
  </si>
  <si>
    <t>Caixas Take away</t>
  </si>
  <si>
    <t>FT 23/5028</t>
  </si>
  <si>
    <t>Doce de leite</t>
  </si>
  <si>
    <t>FS 1A2301/3277</t>
  </si>
  <si>
    <t>FS 1A2301/6281</t>
  </si>
  <si>
    <t>FS 1A2301/8112</t>
  </si>
  <si>
    <t>FS 1A2401/11256</t>
  </si>
  <si>
    <t>FS 1A2401/13705</t>
  </si>
  <si>
    <t>FT 23/5042</t>
  </si>
  <si>
    <t>Sonda arca dos bolos</t>
  </si>
  <si>
    <t>FT 24/34</t>
  </si>
  <si>
    <t>Caixas</t>
  </si>
  <si>
    <t>Massa Waffel</t>
  </si>
  <si>
    <t>FT 24/197</t>
  </si>
  <si>
    <t>FT 24/220</t>
  </si>
  <si>
    <t>Doce de Leite</t>
  </si>
  <si>
    <t>FT 24/279</t>
  </si>
  <si>
    <t>FT 24/369</t>
  </si>
  <si>
    <t>Colheres/copos</t>
  </si>
  <si>
    <t>FS 1A2401/14823</t>
  </si>
  <si>
    <t>FS 1A2401/17341</t>
  </si>
  <si>
    <t>FS 1A2401/19418</t>
  </si>
  <si>
    <t>Por Pagar</t>
  </si>
  <si>
    <t>FT 24/452</t>
  </si>
  <si>
    <t>Reparação Vitrine</t>
  </si>
  <si>
    <t>FT 24/441</t>
  </si>
  <si>
    <t>Colheres/raspador effe 6</t>
  </si>
  <si>
    <t>FT 24/586</t>
  </si>
  <si>
    <t>Caixas take away</t>
  </si>
  <si>
    <t>FT 24/785</t>
  </si>
  <si>
    <t>FT 24/815</t>
  </si>
  <si>
    <t>Reparação effe 6 - NC 35 (caixas de cartão tale away)</t>
  </si>
  <si>
    <t>FT 24/919</t>
  </si>
  <si>
    <t>FS 1A2401/2335</t>
  </si>
  <si>
    <t>FS 1A2401/2730</t>
  </si>
  <si>
    <t>FT 24/1077</t>
  </si>
  <si>
    <t>Doce de leite/maracujá</t>
  </si>
  <si>
    <t>FT 24/1212</t>
  </si>
  <si>
    <t>FT 24/1402</t>
  </si>
  <si>
    <t>FT 24/1447</t>
  </si>
  <si>
    <t>FT 24/1495</t>
  </si>
  <si>
    <t>FT 24/1612</t>
  </si>
  <si>
    <t>FT 24/1681</t>
  </si>
  <si>
    <t>FT 24/1838</t>
  </si>
  <si>
    <t>FT 24/1845</t>
  </si>
  <si>
    <t>FT 24/1971</t>
  </si>
  <si>
    <t>FT 24/2118</t>
  </si>
  <si>
    <t>FS 1A2401/330</t>
  </si>
  <si>
    <t>FT 24/2201</t>
  </si>
  <si>
    <t>FT 24/ 2269</t>
  </si>
  <si>
    <t>FT 24/2354</t>
  </si>
  <si>
    <t>FT25/553</t>
  </si>
  <si>
    <t>FT 24/2478</t>
  </si>
  <si>
    <t>FT 24/2517</t>
  </si>
  <si>
    <t>FT 24/2663</t>
  </si>
  <si>
    <t>FT 24/2912</t>
  </si>
  <si>
    <t>Caixas Take away/maracujá</t>
  </si>
  <si>
    <t>FT 24/2956</t>
  </si>
  <si>
    <t>Maracujá - NC 113 (145,90)</t>
  </si>
  <si>
    <t>FT 24/3058</t>
  </si>
  <si>
    <t>take away</t>
  </si>
  <si>
    <t>FT 24/3119</t>
  </si>
  <si>
    <t>Caixas rest</t>
  </si>
  <si>
    <t>FT 24/3276</t>
  </si>
  <si>
    <t>FT 24/3275</t>
  </si>
  <si>
    <t>Framboese</t>
  </si>
  <si>
    <t>FT 24/3389</t>
  </si>
  <si>
    <t>FT 24/3377</t>
  </si>
  <si>
    <t>Take away (NC 123 - 59,21€)</t>
  </si>
  <si>
    <t>FT 24/3556</t>
  </si>
  <si>
    <t>Suporte cones</t>
  </si>
  <si>
    <t>FT 24/3595</t>
  </si>
  <si>
    <t>Doce leite</t>
  </si>
  <si>
    <t>FT 24/3690</t>
  </si>
  <si>
    <t>FT 24/3742</t>
  </si>
  <si>
    <t>FT 24/3776</t>
  </si>
  <si>
    <t>FT 24/3873</t>
  </si>
  <si>
    <t>Puré de frutas</t>
  </si>
  <si>
    <t>FT 24/3870</t>
  </si>
  <si>
    <t>Arca 6 +6 - Tsf (1/2)</t>
  </si>
  <si>
    <t>FT 24/3957</t>
  </si>
  <si>
    <t>FT 24/4048</t>
  </si>
  <si>
    <t>Consumiveis -NC: 158 - 354,94€</t>
  </si>
  <si>
    <t>FS 1A2401/3384</t>
  </si>
  <si>
    <t>FS 1A2401/3927</t>
  </si>
  <si>
    <t>FS 1A2401/6122</t>
  </si>
  <si>
    <t>FS 1A2401/8227</t>
  </si>
  <si>
    <t>FS 1A2401/9065</t>
  </si>
  <si>
    <t>FS 1A2401/9066</t>
  </si>
  <si>
    <t>FS 1A2401/977</t>
  </si>
  <si>
    <t>FT 1A2301/13</t>
  </si>
  <si>
    <t>FT 1A2301/17</t>
  </si>
  <si>
    <t>FT 1A2301/22</t>
  </si>
  <si>
    <t>FT 1A2301/2375</t>
  </si>
  <si>
    <t>FT 1A2301/24</t>
  </si>
  <si>
    <t>FT 1A2301/26</t>
  </si>
  <si>
    <t>FT 1A2301/30</t>
  </si>
  <si>
    <t>FT 24/4074</t>
  </si>
  <si>
    <t>Chocolate</t>
  </si>
  <si>
    <t>FT 24/4274</t>
  </si>
  <si>
    <t>Lubrificante</t>
  </si>
  <si>
    <t>FT 1A2301/32</t>
  </si>
  <si>
    <t>FT 24/4295</t>
  </si>
  <si>
    <t>Puré de framboesa</t>
  </si>
  <si>
    <t>FT 24/4383</t>
  </si>
  <si>
    <t>FT 24/4475</t>
  </si>
  <si>
    <t>FT 24/4516</t>
  </si>
  <si>
    <t>Matéria prima</t>
  </si>
  <si>
    <t>FT24/4541</t>
  </si>
  <si>
    <t>FT 1A2301/36</t>
  </si>
  <si>
    <t>FT 1A2301/39</t>
  </si>
  <si>
    <t>FT 1A2301/4925</t>
  </si>
  <si>
    <t>FT24/4560</t>
  </si>
  <si>
    <t>FT24/4643</t>
  </si>
  <si>
    <t>NC 24/168 135.15</t>
  </si>
  <si>
    <t>FT24/4711</t>
  </si>
  <si>
    <t>FT24/4769</t>
  </si>
  <si>
    <t>FT24/4874</t>
  </si>
  <si>
    <t>FT24/4934</t>
  </si>
  <si>
    <t>FT24/5030</t>
  </si>
  <si>
    <t>FT24/5019</t>
  </si>
  <si>
    <t>FT25/174</t>
  </si>
  <si>
    <t>FT25/205</t>
  </si>
  <si>
    <t>FT25/269</t>
  </si>
  <si>
    <t>FT25/444</t>
  </si>
  <si>
    <t>FT25/409</t>
  </si>
  <si>
    <t>FT25/319</t>
  </si>
  <si>
    <t>FT25/584</t>
  </si>
  <si>
    <t>FT25/732</t>
  </si>
  <si>
    <t>FT25/852</t>
  </si>
  <si>
    <t>FT25/1041</t>
  </si>
  <si>
    <t>FT25/1288</t>
  </si>
  <si>
    <t>FT25/1175</t>
  </si>
  <si>
    <t>FT 1A2301/51</t>
  </si>
  <si>
    <t>FT 1A2301/53</t>
  </si>
  <si>
    <t>FT 1A2301/56</t>
  </si>
  <si>
    <t>FT 1A2301/59</t>
  </si>
  <si>
    <t>FT 1A2301/75</t>
  </si>
  <si>
    <t>FT 1A2401/17</t>
  </si>
  <si>
    <t>FT 1A2401/40</t>
  </si>
  <si>
    <t>FT25/1372</t>
  </si>
  <si>
    <t>FT25/1601</t>
  </si>
  <si>
    <t>FT25/1589</t>
  </si>
  <si>
    <t>FT25/1550</t>
  </si>
  <si>
    <t>Ft25/1726</t>
  </si>
  <si>
    <t>FT 1A2401/6</t>
  </si>
  <si>
    <t>FT1A2401/7170</t>
  </si>
  <si>
    <t>FA A/8</t>
  </si>
  <si>
    <t>FT25/1517</t>
  </si>
  <si>
    <t>FT25/1876</t>
  </si>
  <si>
    <t>FT25/2050</t>
  </si>
  <si>
    <t>FT25/2081</t>
  </si>
  <si>
    <t>FT25/2176</t>
  </si>
  <si>
    <t>FT25/2217</t>
  </si>
  <si>
    <t>FT25/2267</t>
  </si>
  <si>
    <t>Arca 6 +6 (Total: 4477.89€) (Tsf 2/2)</t>
  </si>
  <si>
    <t>FT25/2462</t>
  </si>
  <si>
    <t>FT25/2405</t>
  </si>
  <si>
    <t>FT25/2385</t>
  </si>
  <si>
    <t>FT25/2477</t>
  </si>
  <si>
    <t>FT25/2559</t>
  </si>
  <si>
    <t>Ft25/2635</t>
  </si>
  <si>
    <t>FT25/2747</t>
  </si>
  <si>
    <t>FT25/2797</t>
  </si>
  <si>
    <t>FT25/3019</t>
  </si>
  <si>
    <t>FT25/3176</t>
  </si>
  <si>
    <t>FT25/3052</t>
  </si>
  <si>
    <t>FT25/53 (2/3)</t>
  </si>
  <si>
    <t>FT25/3220</t>
  </si>
  <si>
    <t>FT25/3385</t>
  </si>
  <si>
    <t>FT25/3489</t>
  </si>
  <si>
    <t>Probably Permanent Lda</t>
  </si>
  <si>
    <t>FA 1A2501/78</t>
  </si>
  <si>
    <t xml:space="preserve">Flor de Leite </t>
  </si>
  <si>
    <t>FA A/2</t>
  </si>
  <si>
    <t>Avença Dez25</t>
  </si>
  <si>
    <t>FA 1A2501/194</t>
  </si>
  <si>
    <t>Crédito do pagamento em duplicado</t>
  </si>
  <si>
    <t>Maynard's Burguer Lda</t>
  </si>
  <si>
    <t>FA 1A2501/217</t>
  </si>
  <si>
    <t>Maynard's Food Lda</t>
  </si>
  <si>
    <t>FA 1A2501/218</t>
  </si>
  <si>
    <t>FA 1A2501/203</t>
  </si>
  <si>
    <t>FT25/3645</t>
  </si>
  <si>
    <t>FT25/3594</t>
  </si>
  <si>
    <t>FT25/3608</t>
  </si>
  <si>
    <t>FT25/3609</t>
  </si>
  <si>
    <t>FT25/3770</t>
  </si>
  <si>
    <t>FT25/3913</t>
  </si>
  <si>
    <t>FT25/3915</t>
  </si>
  <si>
    <t>1725,86 - regularizado a 13/10/2025</t>
  </si>
  <si>
    <t>FT25/3943</t>
  </si>
  <si>
    <t>FT25/3962</t>
  </si>
  <si>
    <t>FT25/4000</t>
  </si>
  <si>
    <t>FT25/3265</t>
  </si>
  <si>
    <t>FT25/4076</t>
  </si>
  <si>
    <t>Ft25/4170</t>
  </si>
  <si>
    <t>FT25/4259</t>
  </si>
  <si>
    <t>FT25/4305</t>
  </si>
  <si>
    <t>FT25/4314</t>
  </si>
  <si>
    <t>FT25/72</t>
  </si>
  <si>
    <t>Marca 3º trimestre 2025</t>
  </si>
  <si>
    <t>FT25/4376</t>
  </si>
  <si>
    <t>FT25/4403</t>
  </si>
  <si>
    <t>Correção do pagamento de 10€ a mais de dia 6/11/2025</t>
  </si>
  <si>
    <t>FT25/4473</t>
  </si>
  <si>
    <t>FT25/4489</t>
  </si>
  <si>
    <t>FT25/4572</t>
  </si>
  <si>
    <t>FA 1A2501/223</t>
  </si>
  <si>
    <t>FA 1A2501/210</t>
  </si>
  <si>
    <t>Sílabas Salteadas unip., Lda</t>
  </si>
  <si>
    <t>FA 1A2501/198</t>
  </si>
  <si>
    <t>FT25/4559</t>
  </si>
  <si>
    <t>FT25/4552</t>
  </si>
  <si>
    <t>FT25/4551</t>
  </si>
  <si>
    <t>FT25/4623</t>
  </si>
  <si>
    <t>FT25/4684</t>
  </si>
  <si>
    <t>FT25/4719</t>
  </si>
  <si>
    <t>Produção+Lojas</t>
  </si>
  <si>
    <t>FT25/4768</t>
  </si>
  <si>
    <t>FT25/4895</t>
  </si>
  <si>
    <t>Produção + Lojas</t>
  </si>
  <si>
    <t>Solitaire - Empreendimentos Hoteleiros</t>
  </si>
  <si>
    <t>Intercontinental</t>
  </si>
  <si>
    <t>FA 1A2401/130</t>
  </si>
  <si>
    <t>FCS Finance</t>
  </si>
  <si>
    <t>FA 1A2501/9</t>
  </si>
  <si>
    <t>ST Ibérica, Sociedade Unip. Lda</t>
  </si>
  <si>
    <t>SSC Europe Matosinhos</t>
  </si>
  <si>
    <t>FA 1A2402/18</t>
  </si>
  <si>
    <t>NC 24/168</t>
  </si>
  <si>
    <t>Lolla</t>
  </si>
  <si>
    <t>FA 1A2401/118</t>
  </si>
  <si>
    <t>FT25/4923</t>
  </si>
  <si>
    <t>FT26/2</t>
  </si>
  <si>
    <t>DMR Fev26 - 156090257561080</t>
  </si>
  <si>
    <t>Ref pgto: 156.080.678.742.960</t>
  </si>
  <si>
    <t>FT26/3040345018</t>
  </si>
  <si>
    <t>FT26/258</t>
  </si>
  <si>
    <t>FT26/257</t>
  </si>
  <si>
    <t>FT26/413</t>
  </si>
  <si>
    <t>FT 24/158</t>
  </si>
  <si>
    <t>Renda Quiosque</t>
  </si>
  <si>
    <t>FT 24/186</t>
  </si>
  <si>
    <t>Renda Set</t>
  </si>
  <si>
    <t>FT 24/199</t>
  </si>
  <si>
    <t>Renda variavel ago</t>
  </si>
  <si>
    <t>FT 24/204</t>
  </si>
  <si>
    <t>Renda Fixa - Out</t>
  </si>
  <si>
    <t>FT 24/231</t>
  </si>
  <si>
    <t>Renda Variável  Set</t>
  </si>
  <si>
    <t>Variável Out24</t>
  </si>
  <si>
    <t>FT25/100000472</t>
  </si>
  <si>
    <t>Renda fixa + despesas comuns mês Maio25</t>
  </si>
  <si>
    <t>FT25/476</t>
  </si>
  <si>
    <t>Renda fixa + despesas comuns Jun25</t>
  </si>
  <si>
    <t>FT25/501</t>
  </si>
  <si>
    <t>Renda variável Maio25</t>
  </si>
  <si>
    <t>FT25/536</t>
  </si>
  <si>
    <t>Renda Fixa + despesas comuns + copa suja Julho 25</t>
  </si>
  <si>
    <t>FA 1A2401/93</t>
  </si>
  <si>
    <t>FA 1A2401/98</t>
  </si>
  <si>
    <t>FA 1A2402/16</t>
  </si>
  <si>
    <t>FA 1A2402/39</t>
  </si>
  <si>
    <t>FA 1A2402/50</t>
  </si>
  <si>
    <t>FT25/560</t>
  </si>
  <si>
    <t>Renda variável Junho25</t>
  </si>
  <si>
    <t>FT25/100000577</t>
  </si>
  <si>
    <t>Renda fixa + despesas comuns Agosto 25</t>
  </si>
  <si>
    <t>FT25/100000601</t>
  </si>
  <si>
    <t>Renda variável Julho 25</t>
  </si>
  <si>
    <t>TimeOut Market</t>
  </si>
  <si>
    <t>FT25/623</t>
  </si>
  <si>
    <t>Renda e despesas comuns mês Setembro 2025</t>
  </si>
  <si>
    <t>FT25/100000649</t>
  </si>
  <si>
    <t>Variável Agosto 2025</t>
  </si>
  <si>
    <t>FT25/100000684</t>
  </si>
  <si>
    <t>Renda variável setembro 2025</t>
  </si>
  <si>
    <t>NC</t>
  </si>
  <si>
    <t>Notas crédito TOM card Maio a set</t>
  </si>
  <si>
    <t>FT25/1351</t>
  </si>
  <si>
    <t>FT25/1380</t>
  </si>
  <si>
    <t>FT25/1412</t>
  </si>
  <si>
    <t>Redes sociais + GMB 3 lojas Agosto25</t>
  </si>
  <si>
    <t>FT25/1159</t>
  </si>
  <si>
    <t>FT25/1247</t>
  </si>
  <si>
    <t>Gestão redes sociais Abr25</t>
  </si>
  <si>
    <t>FT25/1260</t>
  </si>
  <si>
    <t>Design carrinho gelados</t>
  </si>
  <si>
    <t>FT25/1290</t>
  </si>
  <si>
    <t>Gestão redes sociais + GMB Maio 2025</t>
  </si>
  <si>
    <t>FT25/1191</t>
  </si>
  <si>
    <t>Gestão redes sociais Março25</t>
  </si>
  <si>
    <t>FT25/1323</t>
  </si>
  <si>
    <t>FA 1A2402/62</t>
  </si>
  <si>
    <t>FT25/1447</t>
  </si>
  <si>
    <t>FT25/1487</t>
  </si>
  <si>
    <t>FT25/1558</t>
  </si>
  <si>
    <t>Upwego</t>
  </si>
  <si>
    <t>FT26/1612</t>
  </si>
  <si>
    <t>Gestão redes sociais + GMB Jan26</t>
  </si>
  <si>
    <t>FT25/1532</t>
  </si>
  <si>
    <t>Ação Natal - Panettones</t>
  </si>
  <si>
    <t>FT26/339</t>
  </si>
  <si>
    <t>Despesas comuns Março26</t>
  </si>
  <si>
    <t>FA 1A2402/75</t>
  </si>
  <si>
    <t>FA 1A2402/84</t>
  </si>
  <si>
    <t>FT26/345</t>
  </si>
  <si>
    <t>Renda Bolhão Março 26</t>
  </si>
  <si>
    <t>Vasco  Silva</t>
  </si>
  <si>
    <t>FR 24/8</t>
  </si>
  <si>
    <t>Designer</t>
  </si>
  <si>
    <t>Vasco Da Silva</t>
  </si>
  <si>
    <t>FR 24/70</t>
  </si>
  <si>
    <t>Designer - IBAN: PT50003600679910001035372</t>
  </si>
  <si>
    <t>FR 24/02</t>
  </si>
  <si>
    <t>Design</t>
  </si>
  <si>
    <t>FA 1A2501/16</t>
  </si>
  <si>
    <t>FA 1A2501/28</t>
  </si>
  <si>
    <t>FA 1A2501/45</t>
  </si>
  <si>
    <t>Vasco Mendes da Silva</t>
  </si>
  <si>
    <t>FR ATSIRE01FR/17</t>
  </si>
  <si>
    <t>Wedovisit</t>
  </si>
  <si>
    <t>FT 23/144</t>
  </si>
  <si>
    <t>Publicidade app (pagar final de jul)</t>
  </si>
  <si>
    <t xml:space="preserve">Wedovisit </t>
  </si>
  <si>
    <t>Turismo do Porto - PT50 0269 0359 00207525492 90</t>
  </si>
  <si>
    <t>Devolução empréstimo Cauçao + Renda Mouzinho</t>
  </si>
  <si>
    <t>FT25/41874</t>
  </si>
  <si>
    <t>FT25/2353</t>
  </si>
  <si>
    <t>FT25/2452</t>
  </si>
  <si>
    <t>FT 24/32787</t>
  </si>
  <si>
    <t>Frutas - PT50 0010 0000 5851 6140 0012 8</t>
  </si>
  <si>
    <t>FT 24/32961</t>
  </si>
  <si>
    <t>FA 1A2501/53</t>
  </si>
  <si>
    <t>FA 1A2501/59</t>
  </si>
  <si>
    <t>FT 24/33159</t>
  </si>
  <si>
    <t>FA 1A2501/68</t>
  </si>
  <si>
    <t>FS 1A2401/17347</t>
  </si>
  <si>
    <t>FS 1A2401/19416</t>
  </si>
  <si>
    <t>FT1A2401/129</t>
  </si>
  <si>
    <t>FT 24/17959</t>
  </si>
  <si>
    <t>Frutas - NC 1518 - 34,98€</t>
  </si>
  <si>
    <t>FT 24/3340</t>
  </si>
  <si>
    <t>FT 24/33534</t>
  </si>
  <si>
    <t>FT 24/33885</t>
  </si>
  <si>
    <t>Frutas (NC 1543 - 79,51€)</t>
  </si>
  <si>
    <t>FT 24/33954</t>
  </si>
  <si>
    <t>FT 24/18254</t>
  </si>
  <si>
    <t>FA 1A2501/222</t>
  </si>
  <si>
    <t>FA 1A2501/214</t>
  </si>
  <si>
    <t>FA 1A2601/1</t>
  </si>
  <si>
    <t>FT 24/34150</t>
  </si>
  <si>
    <t>FT 24/34352</t>
  </si>
  <si>
    <t>FA 1A2501/225</t>
  </si>
  <si>
    <t>FT 24/34522</t>
  </si>
  <si>
    <t>Fruta - NC 456 - 31,80€</t>
  </si>
  <si>
    <t>FT 24/18352</t>
  </si>
  <si>
    <t>FT 24/18401</t>
  </si>
  <si>
    <t>FA A/9</t>
  </si>
  <si>
    <t>Avença Jan26</t>
  </si>
  <si>
    <t>FT 24/35195</t>
  </si>
  <si>
    <t>FA 1A2501/224</t>
  </si>
  <si>
    <t>Tiago dos Santos Silva</t>
  </si>
  <si>
    <t>FA 1A2501/144</t>
  </si>
  <si>
    <t>Tropicos Rdicais</t>
  </si>
  <si>
    <t>FA 1A2501/88</t>
  </si>
  <si>
    <t>Turisbarest Lda</t>
  </si>
  <si>
    <t>FA 1A2501/107</t>
  </si>
  <si>
    <t>FT 24/18540</t>
  </si>
  <si>
    <t>Urbanização Do Passil</t>
  </si>
  <si>
    <t>Humana</t>
  </si>
  <si>
    <t>FT 1A2401/28</t>
  </si>
  <si>
    <t>FT 24/1255</t>
  </si>
  <si>
    <t>FT 24/35480</t>
  </si>
  <si>
    <t>Frutas - NC 2/1584 - 23,85€</t>
  </si>
  <si>
    <t>FT 24/25542</t>
  </si>
  <si>
    <t>FT 24/35936</t>
  </si>
  <si>
    <t>FT 24/36143</t>
  </si>
  <si>
    <t>FT 24/18950</t>
  </si>
  <si>
    <t>FT 24/36613</t>
  </si>
  <si>
    <t>FA 1A2501/7</t>
  </si>
  <si>
    <t>Vieira Reis &amp; Vieira Lda</t>
  </si>
  <si>
    <t>Toscano</t>
  </si>
  <si>
    <t>FS 1A2401/8643</t>
  </si>
  <si>
    <t>FT 24/36918</t>
  </si>
  <si>
    <t>FT 24/37212</t>
  </si>
  <si>
    <t>FT 24/19542</t>
  </si>
  <si>
    <t>FT 24/19583</t>
  </si>
  <si>
    <t>FT24/37666</t>
  </si>
  <si>
    <t>FT24/37937</t>
  </si>
  <si>
    <t>NC 24/1728 16.70</t>
  </si>
  <si>
    <t>FT24/38098</t>
  </si>
  <si>
    <t>FT25/87</t>
  </si>
  <si>
    <t>FT25/92</t>
  </si>
  <si>
    <t>FT24/38393</t>
  </si>
  <si>
    <t>FT24/38506</t>
  </si>
  <si>
    <t>FT24/20111</t>
  </si>
  <si>
    <t>FT24/20313</t>
  </si>
  <si>
    <t>Vieira Reis &amp;Vieira Lda</t>
  </si>
  <si>
    <t>FS 1A2301/15357</t>
  </si>
  <si>
    <t>FS 1A2301/3592</t>
  </si>
  <si>
    <t>Kaigi</t>
  </si>
  <si>
    <t>FA 1A2501/197</t>
  </si>
  <si>
    <t>FA 1A2501/220</t>
  </si>
  <si>
    <t>FT24/39367</t>
  </si>
  <si>
    <t>Rita Salomé Gonçalves Machado</t>
  </si>
  <si>
    <t>Particular</t>
  </si>
  <si>
    <t>FA 1A2501/216</t>
  </si>
  <si>
    <t>FT24/20861</t>
  </si>
  <si>
    <t>FT24/20889</t>
  </si>
  <si>
    <t>FT25/95</t>
  </si>
  <si>
    <t>FA A/15</t>
  </si>
  <si>
    <t>Avença Fev26</t>
  </si>
  <si>
    <t>FA A/10</t>
  </si>
  <si>
    <t>FA A/1</t>
  </si>
  <si>
    <t>FA A/14</t>
  </si>
  <si>
    <t>Paulo Magalhães, Lda</t>
  </si>
  <si>
    <t>FA A/16</t>
  </si>
  <si>
    <t xml:space="preserve">Éter </t>
  </si>
  <si>
    <t>FA A/3</t>
  </si>
  <si>
    <t>FT25/41639</t>
  </si>
  <si>
    <t>FT25/22864</t>
  </si>
  <si>
    <t>FT25/42602</t>
  </si>
  <si>
    <t>Ft25/42979</t>
  </si>
  <si>
    <t>FT25/43307</t>
  </si>
  <si>
    <t>FT25/23030</t>
  </si>
  <si>
    <t>FT25/23121</t>
  </si>
  <si>
    <t>FT25/43624</t>
  </si>
  <si>
    <t>FT25/44327</t>
  </si>
  <si>
    <t>NC/1728</t>
  </si>
  <si>
    <t>FT25/23959</t>
  </si>
  <si>
    <t>FT25/23812</t>
  </si>
  <si>
    <t>FT25/23689</t>
  </si>
  <si>
    <t>FA 1A2402/70</t>
  </si>
  <si>
    <t>FA 1A2402/77</t>
  </si>
  <si>
    <t>FA 1A2402/79</t>
  </si>
  <si>
    <t>FA 1A2402/85</t>
  </si>
  <si>
    <t>FT25/44970</t>
  </si>
  <si>
    <t>FT25/24023</t>
  </si>
  <si>
    <t>FT25/24168</t>
  </si>
  <si>
    <t>FT25/24357</t>
  </si>
  <si>
    <t>Abater NC Figo (59,50)</t>
  </si>
  <si>
    <t>FT25/45246</t>
  </si>
  <si>
    <t>FT25/24496</t>
  </si>
  <si>
    <t>FT25/24525</t>
  </si>
  <si>
    <t>FT25/24661</t>
  </si>
  <si>
    <t>FT25/2201</t>
  </si>
  <si>
    <t>FT25/46028</t>
  </si>
  <si>
    <t>FT25/24836</t>
  </si>
  <si>
    <t>FA 1A2401/92</t>
  </si>
  <si>
    <t>FA 1A2401/95</t>
  </si>
  <si>
    <t>FA 1A2401/102</t>
  </si>
  <si>
    <t>NC25/692</t>
  </si>
  <si>
    <t>FT25/25264</t>
  </si>
  <si>
    <t>FT25/46438</t>
  </si>
  <si>
    <t>FT25/25166</t>
  </si>
  <si>
    <t>FT25/47061</t>
  </si>
  <si>
    <t>FT25/46827</t>
  </si>
  <si>
    <t>FT25/46574</t>
  </si>
  <si>
    <t>FT25/25643</t>
  </si>
  <si>
    <t>FT25/2499</t>
  </si>
  <si>
    <t>FT25/25717</t>
  </si>
  <si>
    <t>FT25/25914</t>
  </si>
  <si>
    <t>NC25/749</t>
  </si>
  <si>
    <t>FT25/47853</t>
  </si>
  <si>
    <t>FT25/47672</t>
  </si>
  <si>
    <t>FT25/47553</t>
  </si>
  <si>
    <t>FT25/48315</t>
  </si>
  <si>
    <t>FT25/26466</t>
  </si>
  <si>
    <t>FT25/26358</t>
  </si>
  <si>
    <t>FT25/26752</t>
  </si>
  <si>
    <t>FT25/48463</t>
  </si>
  <si>
    <t>FT25/26260</t>
  </si>
  <si>
    <t>aguardo NC figo de 140,18</t>
  </si>
  <si>
    <t>NC25/2096</t>
  </si>
  <si>
    <t>NC25/755</t>
  </si>
  <si>
    <t>NC26/60</t>
  </si>
  <si>
    <t>FA 1A2401/110</t>
  </si>
  <si>
    <t>FT25/48711</t>
  </si>
  <si>
    <t>FT25/27021</t>
  </si>
  <si>
    <t>Ft25/2952</t>
  </si>
  <si>
    <t>FT25/27284</t>
  </si>
  <si>
    <t>FT25/48894</t>
  </si>
  <si>
    <t>FT26/</t>
  </si>
  <si>
    <t>FA 1A2401/114</t>
  </si>
  <si>
    <t>FT1A2401/127</t>
  </si>
  <si>
    <t>FT25/49000</t>
  </si>
  <si>
    <t>FT25/3144</t>
  </si>
  <si>
    <t>FT25/49318</t>
  </si>
  <si>
    <t>FT25/49479</t>
  </si>
  <si>
    <t>FT25/3212</t>
  </si>
  <si>
    <t>FT25/28019</t>
  </si>
  <si>
    <t>FT25/27779</t>
  </si>
  <si>
    <t>Nc descontada em duplicado a 8/10/2025</t>
  </si>
  <si>
    <t>FT26/328</t>
  </si>
  <si>
    <t>FT26/331</t>
  </si>
  <si>
    <t>Estado - IVA 4º trim 2025 (2/3)</t>
  </si>
  <si>
    <t>ref pto: 162570034455329</t>
  </si>
  <si>
    <t>FT26/428</t>
  </si>
  <si>
    <t>PT50.0269.0120.00202048397.56</t>
  </si>
  <si>
    <t>Estado - IVA Jan 2026</t>
  </si>
  <si>
    <t>FT26/414</t>
  </si>
  <si>
    <t>FA 1A2501/104</t>
  </si>
  <si>
    <t>Palpite Apetecível Unipessoal Lda</t>
  </si>
  <si>
    <t>Liz - Daniel Vinagre</t>
  </si>
  <si>
    <t>FA A/6</t>
  </si>
  <si>
    <t>Pago por multibanco máquina B2B</t>
  </si>
  <si>
    <t>ref pgto: 156.390.254.714.323</t>
  </si>
  <si>
    <t>ref pgto: 156.980.676.681.808</t>
  </si>
  <si>
    <t>Estado - IVA 4º trim 2025 (1/3)</t>
  </si>
  <si>
    <t>Estado - IVA 4º trim 2025 (3/3)</t>
  </si>
  <si>
    <t>FT25/45</t>
  </si>
  <si>
    <t>Vieira Reis e Vieira, LDA</t>
  </si>
  <si>
    <t>Pago terminal B2B</t>
  </si>
  <si>
    <t>FT25/4984</t>
  </si>
  <si>
    <t>FT26/24</t>
  </si>
  <si>
    <t>FT26/74</t>
  </si>
  <si>
    <t>FA 1A2501/131</t>
  </si>
  <si>
    <t>FT26/131</t>
  </si>
  <si>
    <t>FT26/120</t>
  </si>
  <si>
    <t>Nota de crédito NC26/4</t>
  </si>
  <si>
    <t>NC26/4</t>
  </si>
  <si>
    <t xml:space="preserve"> 23/02/2026</t>
  </si>
  <si>
    <t>Palpite Apetecivel Unipessoal lda</t>
  </si>
  <si>
    <t>Liz - (Daniel Vinagre)</t>
  </si>
  <si>
    <t>FA A/13</t>
  </si>
  <si>
    <t>Pago máquina B2B</t>
  </si>
  <si>
    <t>FT26/107</t>
  </si>
  <si>
    <t>FT26/168</t>
  </si>
  <si>
    <t>FT26/48</t>
  </si>
  <si>
    <t>FT26/63</t>
  </si>
  <si>
    <t>Café que veio de Lisboa, fatura em FP</t>
  </si>
  <si>
    <t>FT26/140</t>
  </si>
  <si>
    <t>FT26/171</t>
  </si>
  <si>
    <t>FT26/555</t>
  </si>
  <si>
    <t>Nota de Crédito</t>
  </si>
  <si>
    <t>FA 1A2501/146</t>
  </si>
  <si>
    <t>FT26/569</t>
  </si>
  <si>
    <t>FT26/1630</t>
  </si>
  <si>
    <t>FT26/1635</t>
  </si>
  <si>
    <t>Gestão redes sociais + GMB Fev26</t>
  </si>
  <si>
    <t>NC FT1532</t>
  </si>
  <si>
    <t>Estado - IS</t>
  </si>
  <si>
    <t>ref: 163626010696518</t>
  </si>
  <si>
    <t>NC26/25</t>
  </si>
  <si>
    <t>Pasta FP</t>
  </si>
  <si>
    <t>FT26/05185</t>
  </si>
  <si>
    <t>FT26/07754</t>
  </si>
  <si>
    <t>FT26/08931</t>
  </si>
  <si>
    <t>FA 1A2501/176</t>
  </si>
  <si>
    <t>FA 1A2501/196</t>
  </si>
  <si>
    <t>FA A/17</t>
  </si>
  <si>
    <t>FA A/18</t>
  </si>
  <si>
    <t>FT26/477</t>
  </si>
  <si>
    <t>FT26/492</t>
  </si>
  <si>
    <t>FT26/493</t>
  </si>
  <si>
    <t>FT26/543</t>
  </si>
  <si>
    <t>FT26/695</t>
  </si>
  <si>
    <t>FT26/649</t>
  </si>
  <si>
    <t>TSU Fev26</t>
  </si>
  <si>
    <t>FT26/648</t>
  </si>
  <si>
    <t xml:space="preserve"> </t>
  </si>
  <si>
    <t>FT26/696</t>
  </si>
  <si>
    <t>FT26/769</t>
  </si>
  <si>
    <t>FT26/651</t>
  </si>
  <si>
    <t>Despesas Comuns Bolhão Abril 2026</t>
  </si>
  <si>
    <t>FT26/657</t>
  </si>
  <si>
    <t>Renda Bolhão Abril 2026 ref pgto: 35-484</t>
  </si>
  <si>
    <t>Sonal Signh</t>
  </si>
  <si>
    <t>Renda Mouzinho Abril 26</t>
  </si>
  <si>
    <t>FT26/3040374437</t>
  </si>
  <si>
    <t>FT26/3040397474</t>
  </si>
  <si>
    <t>FT26/3040408218</t>
  </si>
  <si>
    <t>Tem NC</t>
  </si>
  <si>
    <t>FT26/3040410046</t>
  </si>
  <si>
    <t>NC26/3110418486</t>
  </si>
  <si>
    <t>FT26/220</t>
  </si>
  <si>
    <t>FT26/309</t>
  </si>
  <si>
    <t>FT26/268</t>
  </si>
  <si>
    <t>FT26/349</t>
  </si>
  <si>
    <t>FT26/415</t>
  </si>
  <si>
    <t>FT26/582</t>
  </si>
  <si>
    <t>Fatura Partilhada</t>
  </si>
  <si>
    <t>NC26/18</t>
  </si>
  <si>
    <t>FT26/540</t>
  </si>
  <si>
    <t>FT26/658</t>
  </si>
  <si>
    <t>FT26/1689</t>
  </si>
  <si>
    <t>Junho</t>
  </si>
  <si>
    <t>Julho</t>
  </si>
  <si>
    <t>Total</t>
  </si>
  <si>
    <t>Valor</t>
  </si>
  <si>
    <t>Qt</t>
  </si>
  <si>
    <t xml:space="preserve">Fundo Maneio MAT </t>
  </si>
  <si>
    <t xml:space="preserve">Fundo Maneio BOLH </t>
  </si>
  <si>
    <t>fundo n+1</t>
  </si>
  <si>
    <t>Moedas</t>
  </si>
  <si>
    <t>Notas</t>
  </si>
  <si>
    <t>fundo cx</t>
  </si>
  <si>
    <t>Numerário</t>
  </si>
  <si>
    <t>Dia</t>
  </si>
  <si>
    <t>Deposito</t>
  </si>
  <si>
    <t>Num</t>
  </si>
  <si>
    <t>Pagamentos</t>
  </si>
  <si>
    <t>Comentario</t>
  </si>
  <si>
    <t>O total do multibanco tinha um valor inferior ao registado de 9,60€, compensou no numerário</t>
  </si>
  <si>
    <t>Makro (FT023560/033862/027982) / Frutas ( FT 1222)</t>
  </si>
  <si>
    <t>MagoFri (FT 25037/26835/27085) - recibo 5620</t>
  </si>
  <si>
    <t>Progelcone (FT40220215591) - recibo 416940</t>
  </si>
  <si>
    <t>Frutas(FT1296)/Makro(ft015314)/Fnac(FT 65850)</t>
  </si>
  <si>
    <t>Progelcone (FT40220217257)-recibo416945</t>
  </si>
  <si>
    <t>lavazzA</t>
  </si>
  <si>
    <t>Houve um uber pelo menos que não foi registado como uber</t>
  </si>
  <si>
    <t>Frutas(FT1336)/Makro (FT015344)</t>
  </si>
  <si>
    <t>Progelcone(FT40220218850)-recibo418634</t>
  </si>
  <si>
    <t>Progelcone (FT40220220986/FT40220220992)- Recibo 418646 / Pingo Doce</t>
  </si>
  <si>
    <t>Tiger/Makro/Homa/Makro/28,67</t>
  </si>
  <si>
    <t>Magofri (FT 28411/29433) - recibo 6379</t>
  </si>
  <si>
    <t>Makro/Pontos de açucar</t>
  </si>
  <si>
    <t>Lavazza (FR 652/3156)</t>
  </si>
  <si>
    <t>Magofri (FT 31197) - recibo 6653 / Makro (FT015838/028629)</t>
  </si>
  <si>
    <t>Lavazza(FR 652/3176)</t>
  </si>
  <si>
    <t>Makro( FT 39420/39421)</t>
  </si>
  <si>
    <t>RP(612603)/Makro( FT 29413)/pingo doce</t>
  </si>
  <si>
    <t>Makro ( FT 036248)</t>
  </si>
  <si>
    <t>Lavazza( FR 652/3206)</t>
  </si>
  <si>
    <t>Homa( FR -161/23771)/ Progelcone( FT 40220228750 - recibo - 418791)</t>
  </si>
  <si>
    <t>Makro(FT 042571)/ Pingo doce</t>
  </si>
  <si>
    <t>Pingo doce</t>
  </si>
  <si>
    <t>Magofri (FT 33938)</t>
  </si>
  <si>
    <t>Progelcone (FT40220235277) - recibo 418939</t>
  </si>
  <si>
    <t>Confeipan</t>
  </si>
  <si>
    <t>Pontos de açucar</t>
  </si>
  <si>
    <t>lidl/pingo doce/Makro</t>
  </si>
  <si>
    <t>Makro FT 025939</t>
  </si>
  <si>
    <t>Makro FT000248</t>
  </si>
  <si>
    <t>Makro FT000432</t>
  </si>
  <si>
    <t xml:space="preserve">confeipan / </t>
  </si>
  <si>
    <t>Auchan/suvita/ikea</t>
  </si>
  <si>
    <t>Limpeza de sofás</t>
  </si>
  <si>
    <t>Makro (FT001465)</t>
  </si>
  <si>
    <t>Pontos de açucar/pingo doce</t>
  </si>
  <si>
    <t xml:space="preserve">Costa Nova ( FT3451) - fui descontado a NC de 50€ nesta fatura </t>
  </si>
  <si>
    <t>Januario/pingo doce</t>
  </si>
  <si>
    <t>Magofri 00986</t>
  </si>
  <si>
    <t>RMS FT101</t>
  </si>
  <si>
    <t>Pingo Doce</t>
  </si>
  <si>
    <t>Progelcone (FT41220007320- rb- 421132)</t>
  </si>
  <si>
    <t>Suvita FT (166/227) RMS FT 183 / pingo doce</t>
  </si>
  <si>
    <t>MC Frutas FT (1613)</t>
  </si>
  <si>
    <t>Makro FT 5412</t>
  </si>
  <si>
    <t>lidl</t>
  </si>
  <si>
    <t>MagoFri(03740/03801) / Suvita (377/378)</t>
  </si>
  <si>
    <t>Progelcone (FT41220011588- Rc: 421145)</t>
  </si>
  <si>
    <t>Mercadona + Pontos de açucar</t>
  </si>
  <si>
    <t>Hyper 360 (FR F/36033)</t>
  </si>
  <si>
    <t>Hyper 360 (FR F/36099) / Qualquerideia /Pingo doce</t>
  </si>
  <si>
    <t>Suvita (FT 421/422/587) - Magofri -FT05300</t>
  </si>
  <si>
    <t>Progelcone (FT41220014734 - Rc421405) / Antonio pinto Lda (queijo)</t>
  </si>
  <si>
    <t>Hyper 360 (FR F/36568) / pingo doce</t>
  </si>
  <si>
    <t>pingo doce / qualquer ideia / pontos de açucar</t>
  </si>
  <si>
    <t>Queijaria FT23/1884</t>
  </si>
  <si>
    <t>Pingo doce/ queijo FR 288</t>
  </si>
  <si>
    <t>360 Imprimir - FR2021/233451</t>
  </si>
  <si>
    <t>Maxmat - Sanita</t>
  </si>
  <si>
    <t>Makro FT012219</t>
  </si>
  <si>
    <t>makro FT7437</t>
  </si>
  <si>
    <t>Progelcone (FT 41220023143 RC 421440)</t>
  </si>
  <si>
    <t xml:space="preserve">Hyper 360(FR F/39389) </t>
  </si>
  <si>
    <t>Quejo da serra ( ft23/384)</t>
  </si>
  <si>
    <t>1000€</t>
  </si>
  <si>
    <t>Go natural/pingo doce</t>
  </si>
  <si>
    <t>Makro Marketplace (M01101/2023)/queijo FT417</t>
  </si>
  <si>
    <t>360imprimir (FR2021/239625)/ 360hyper (FT 39747)</t>
  </si>
  <si>
    <t>360imprimir(FR2021/239843)/pingo doce</t>
  </si>
  <si>
    <t>Makro(FT018482)/confeipan/pontos de açucar/pingo doce( risquinhas 50% FT158)</t>
  </si>
  <si>
    <t>Risquinhas (FT 2023A12/160)</t>
  </si>
  <si>
    <t>Makro (FT8714)/pingo doce</t>
  </si>
  <si>
    <t>Pontos de açucar/copinow/ikea/partimpim/queijo(FT440)</t>
  </si>
  <si>
    <t>Pingo doce/ikea/copinow</t>
  </si>
  <si>
    <t>Queijo(FT456)</t>
  </si>
  <si>
    <t>Pontos de açucar/hyper 360 FR F/40778/pingo doce</t>
  </si>
  <si>
    <t>Leroy Merlin/Ikea/pingo doce</t>
  </si>
  <si>
    <t>Leroy merlin</t>
  </si>
  <si>
    <t>Pingo doce/</t>
  </si>
  <si>
    <t>Copinow/pontos de açucar/Makro FT015082</t>
  </si>
  <si>
    <t>Galp (gasoleo carrinha)</t>
  </si>
  <si>
    <t>Progelcone(FR41220033785/R424577)/queijo da serra 23/484</t>
  </si>
  <si>
    <t>Makro(FT014283)/Confeipan</t>
  </si>
  <si>
    <t>Restaurante Gondomar/Gasoleo carrinha/cesar castro</t>
  </si>
  <si>
    <t>queijo da serra (FR23/512) /360 Hyper - FR F/42045</t>
  </si>
  <si>
    <t>360 imprimir - FR2021/251015</t>
  </si>
  <si>
    <t>Mac(evento)/Pingo doce/Gasolina Carrinha</t>
  </si>
  <si>
    <t>Homa/</t>
  </si>
  <si>
    <t>Queijo(FT3803)</t>
  </si>
  <si>
    <t>Pontos de açucar - falta submeter fatura/ 360 hyper FR F/42568</t>
  </si>
  <si>
    <t>Gasoleo</t>
  </si>
  <si>
    <t>Mercadona</t>
  </si>
  <si>
    <t>Mercadona/Staples/pontos de açucar</t>
  </si>
  <si>
    <t>Florista (FS 2023/293) /Makro FT011561/pingo doce</t>
  </si>
  <si>
    <t>Papelaria</t>
  </si>
  <si>
    <t>Rest- Fotografo</t>
  </si>
  <si>
    <t>Rest- Figos</t>
  </si>
  <si>
    <t>Queijos (FT615)</t>
  </si>
  <si>
    <t>Gasolina/restaurante ( fruta)</t>
  </si>
  <si>
    <t>360Hyper - FT44178</t>
  </si>
  <si>
    <t xml:space="preserve">Progelcone (FR41220043275/424769)/ctt expresso FT /2141011882 </t>
  </si>
  <si>
    <t xml:space="preserve">Pontos de açucar /fotocópias </t>
  </si>
  <si>
    <t>360 Hyper ( FR 44458 11 jul/ FR 44654 12jul)/ pingo doce</t>
  </si>
  <si>
    <t>Pingo doce/confeipan</t>
  </si>
  <si>
    <t>Restaurante (figos)</t>
  </si>
  <si>
    <t xml:space="preserve">Restaurante travessa/s.Pedro( fruta) - (97+48) </t>
  </si>
  <si>
    <t>Restaurante(sacoor) (frutas/empregada de limpeza)</t>
  </si>
  <si>
    <t>Agosto</t>
  </si>
  <si>
    <t xml:space="preserve">Hyper360 - FR F/45699  </t>
  </si>
  <si>
    <t xml:space="preserve">Homa - 990/51198 (caixotes do lixo) </t>
  </si>
  <si>
    <t>Progelcone (FR41220051682/424792)</t>
  </si>
  <si>
    <t>Makro FT022327</t>
  </si>
  <si>
    <t xml:space="preserve">Aspirador - FT 39323947-A </t>
  </si>
  <si>
    <t>Makro FT 019804 / Pingo doce</t>
  </si>
  <si>
    <t>Gasoleo carrinha</t>
  </si>
  <si>
    <t>restaurante (frutas)</t>
  </si>
  <si>
    <t>makro FT 021849</t>
  </si>
  <si>
    <t>Limpeza de sofá FR 38 (moises)/pingo doce/ gasoleo carrinha</t>
  </si>
  <si>
    <t>Restaurante (frutas)</t>
  </si>
  <si>
    <t>Queijos (FT5101)/ restaurante (frutas) / continente /360 hyper ( 46741)</t>
  </si>
  <si>
    <t>360 Hyper(F/46893) -/ restaurante (frutas)</t>
  </si>
  <si>
    <t>Makro (FT 024968)/queijo da serra (FR 23/796)</t>
  </si>
  <si>
    <t>Progelcone( FT41220057438- r 424715) / mercadona/pingo doce</t>
  </si>
  <si>
    <t>pingo doce</t>
  </si>
  <si>
    <t>Restaurante - frutas</t>
  </si>
  <si>
    <t>Setembro</t>
  </si>
  <si>
    <t>Envelope</t>
  </si>
  <si>
    <t>Envelope + FM</t>
  </si>
  <si>
    <t>360Hyper- FR F/47819</t>
  </si>
  <si>
    <r>
      <rPr>
        <sz val="12"/>
        <color rgb="FF000000"/>
        <rFont val="Calibri"/>
        <family val="2"/>
      </rPr>
      <t>Hyper360 - FR F/48264</t>
    </r>
    <r>
      <rPr>
        <sz val="12"/>
        <color rgb="FFFF0000"/>
        <rFont val="Calibri"/>
        <family val="2"/>
      </rPr>
      <t xml:space="preserve"> </t>
    </r>
    <r>
      <rPr>
        <sz val="12"/>
        <color rgb="FF000000"/>
        <rFont val="Calibri"/>
        <family val="2"/>
      </rPr>
      <t>/</t>
    </r>
    <r>
      <rPr>
        <sz val="12"/>
        <color rgb="FFFF0000"/>
        <rFont val="Calibri"/>
        <family val="2"/>
      </rPr>
      <t xml:space="preserve"> </t>
    </r>
    <r>
      <rPr>
        <sz val="12"/>
        <color rgb="FF000000"/>
        <rFont val="Calibri"/>
        <family val="2"/>
      </rPr>
      <t>mercadona</t>
    </r>
  </si>
  <si>
    <t>Ctt - recolhas -portes / queijo da serra FR 23/86 /confeipan</t>
  </si>
  <si>
    <r>
      <rPr>
        <sz val="12"/>
        <color rgb="FF000000"/>
        <rFont val="Calibri"/>
        <family val="2"/>
      </rPr>
      <t>Makro (FT022010) /</t>
    </r>
    <r>
      <rPr>
        <sz val="12"/>
        <color rgb="FFFF0000"/>
        <rFont val="Calibri"/>
        <family val="2"/>
      </rPr>
      <t xml:space="preserve"> </t>
    </r>
    <r>
      <rPr>
        <sz val="12"/>
        <color rgb="FF000000"/>
        <rFont val="Calibri"/>
        <family val="2"/>
      </rPr>
      <t>Progelcone FT41220062540- R427119</t>
    </r>
  </si>
  <si>
    <t>Pingo doce/mercadona</t>
  </si>
  <si>
    <t>Queijo da serra FT 23/886</t>
  </si>
  <si>
    <r>
      <rPr>
        <sz val="12"/>
        <color rgb="FF000000"/>
        <rFont val="Calibri"/>
        <family val="2"/>
      </rPr>
      <t xml:space="preserve">Vitrine quente (FAFRINOG -FT 23/432) </t>
    </r>
    <r>
      <rPr>
        <sz val="12"/>
        <color rgb="FFFF0000"/>
        <rFont val="Calibri"/>
        <family val="2"/>
      </rPr>
      <t xml:space="preserve">/ </t>
    </r>
    <r>
      <rPr>
        <sz val="12"/>
        <color rgb="FF000000"/>
        <rFont val="Calibri"/>
        <family val="2"/>
      </rPr>
      <t>Makro FT 035935</t>
    </r>
    <r>
      <rPr>
        <sz val="12"/>
        <color rgb="FFFF0000"/>
        <rFont val="Calibri"/>
        <family val="2"/>
      </rPr>
      <t xml:space="preserve"> -</t>
    </r>
  </si>
  <si>
    <t>Leroy Merlin(chuveiro)</t>
  </si>
  <si>
    <t>Ctt - recolhas -portes</t>
  </si>
  <si>
    <t>Outubro</t>
  </si>
  <si>
    <t>Progelcone</t>
  </si>
  <si>
    <t>Lactogal</t>
  </si>
  <si>
    <t>Lactogal FR 170132774</t>
  </si>
  <si>
    <t>Queijo da serra FT 23/952</t>
  </si>
  <si>
    <t xml:space="preserve">360hyper F/50653 </t>
  </si>
  <si>
    <t>Makro FT 027511  Cookie club Porto FR 560 /Lidl / Ikea</t>
  </si>
  <si>
    <t>20€</t>
  </si>
  <si>
    <t xml:space="preserve">Pontos de açucar FT 771 </t>
  </si>
  <si>
    <r>
      <rPr>
        <sz val="12"/>
        <color rgb="FF000000"/>
        <rFont val="Calibri"/>
        <family val="2"/>
      </rPr>
      <t xml:space="preserve">Pingo doce/ Espaço casa matosinhos/leroy Merlin </t>
    </r>
    <r>
      <rPr>
        <sz val="12"/>
        <color rgb="FFFF0000"/>
        <rFont val="Calibri"/>
        <family val="2"/>
      </rPr>
      <t xml:space="preserve">/ </t>
    </r>
    <r>
      <rPr>
        <sz val="12"/>
        <color rgb="FF000000"/>
        <rFont val="Calibri"/>
        <family val="2"/>
      </rPr>
      <t>Homa</t>
    </r>
    <r>
      <rPr>
        <sz val="12"/>
        <color rgb="FFFF0000"/>
        <rFont val="Calibri"/>
        <family val="2"/>
      </rPr>
      <t xml:space="preserve"> </t>
    </r>
  </si>
  <si>
    <t>Pizza HUT</t>
  </si>
  <si>
    <t>Desentop ( FT 23/11469- FR 36155)</t>
  </si>
  <si>
    <t>360 Hyper (FR F/51226)</t>
  </si>
  <si>
    <t>Makro FT 027669</t>
  </si>
  <si>
    <t>Novembro</t>
  </si>
  <si>
    <t>Makro FR 029448</t>
  </si>
  <si>
    <t>Pingo doce/ Lactogal FR 1702555147/FR 1701328234</t>
  </si>
  <si>
    <t>Lactogal FR 17055266</t>
  </si>
  <si>
    <t>360 Hyper (FR F/51854) - Alex</t>
  </si>
  <si>
    <t>360 Hyper (FR F/52004) - Alex</t>
  </si>
  <si>
    <t>Lactogal FR1701328650</t>
  </si>
  <si>
    <t>Portarossa (castanhas)</t>
  </si>
  <si>
    <t>Queijo(FT1057/FT1072)/pingo doce/progelcone FT41220076250</t>
  </si>
  <si>
    <t>Makro (FT22884)</t>
  </si>
  <si>
    <t xml:space="preserve">Decoração/ </t>
  </si>
  <si>
    <t xml:space="preserve">Espirito rebelde - garrafas (FT 23/27553) </t>
  </si>
  <si>
    <t>Lactogal FR 1701329270</t>
  </si>
  <si>
    <t>Lactogal FR1702557211/FR1701329657</t>
  </si>
  <si>
    <t>Queijo (FT 7268)</t>
  </si>
  <si>
    <t>Progelcone (FT81030 FR427382)</t>
  </si>
  <si>
    <t>FR 1701330458</t>
  </si>
  <si>
    <t>(Canalizador -  80€, entrou fatura da costa nova, 124,40€ - FS 41/6883 dia 29/12)</t>
  </si>
  <si>
    <t>Bpref FT 23/53 (pago pelo Cajo - extra)</t>
  </si>
  <si>
    <t>Queijo FT 23/1227</t>
  </si>
  <si>
    <t>Lactogal FR 1702559674/FR 1701331335</t>
  </si>
  <si>
    <t>Queijo FT 23/1170 (FT dia 11/12) /Natas FT 1701330825 - (FT dia 14/12) / pingo doce</t>
  </si>
  <si>
    <t>Copinow (FT do dia 28/11)</t>
  </si>
  <si>
    <t>Bolinhos do Jorge</t>
  </si>
  <si>
    <t>Natas FR1701331990/1702560570</t>
  </si>
  <si>
    <t>Makro FT 24/946/pindo doce</t>
  </si>
  <si>
    <t>Lactogal FR1701332442</t>
  </si>
  <si>
    <t>Queijo FT 45</t>
  </si>
  <si>
    <t>Lactogal (FT 1701332785)</t>
  </si>
  <si>
    <t>Makro FT 24/1880</t>
  </si>
  <si>
    <t>Makro FT 24/2038</t>
  </si>
  <si>
    <t>Progelcone FT 41220089973/FR4227398/ Lactogal FR 1701333232/FR 1702562468</t>
  </si>
  <si>
    <t>Pag extra (falta fatura)</t>
  </si>
  <si>
    <t>Lactogal FR1701333558 / inocentro FR 40/15568</t>
  </si>
  <si>
    <t>Lactogal (FR1701334003/FR1702563579)</t>
  </si>
  <si>
    <r>
      <rPr>
        <sz val="12"/>
        <color rgb="FF000000"/>
        <rFont val="Calibri"/>
        <family val="2"/>
      </rPr>
      <t>Chaves de matosinhos Assistencia n 1815</t>
    </r>
    <r>
      <rPr>
        <sz val="12"/>
        <color rgb="FFFF0000"/>
        <rFont val="Calibri"/>
        <family val="2"/>
      </rPr>
      <t xml:space="preserve"> </t>
    </r>
  </si>
  <si>
    <t>Pingo doce /queijo FR 24/99/ cabo usb</t>
  </si>
  <si>
    <t>Lactogal FR 1701334371</t>
  </si>
  <si>
    <t>Restaurante Davide - extra</t>
  </si>
  <si>
    <t>Progelcone FT 41220095029</t>
  </si>
  <si>
    <t>Lactogal FR 1701334837/queijo FT 127</t>
  </si>
  <si>
    <t>Pingo doce/lidl</t>
  </si>
  <si>
    <t>Lactogal FR1701335187/ fatura rest 60€ extra</t>
  </si>
  <si>
    <t>Pingo doce Lactogal FR1701335618</t>
  </si>
  <si>
    <t>Lactogal FR 1701336002</t>
  </si>
  <si>
    <t>Rest apresentação niva</t>
  </si>
  <si>
    <t>Rest madeira cajo (extra)</t>
  </si>
  <si>
    <t>Queijo FT 24/199 / lactogal FT 1702567245/1701336473/mercadona/max10</t>
  </si>
  <si>
    <t>lidl/pingo doce</t>
  </si>
  <si>
    <t>Progelcone FR41220104559/429273</t>
  </si>
  <si>
    <t>Lactogal FR 1701337259</t>
  </si>
  <si>
    <t>Lidl</t>
  </si>
  <si>
    <t>Cintas (Alex)</t>
  </si>
  <si>
    <t>Moedas/lactogal FR 1702568979 / lactogal FR 170133677 / Makro FT 5733</t>
  </si>
  <si>
    <t>Pingo doce/ queijo FR264 (03/04)</t>
  </si>
  <si>
    <t>Lactogal FR 170338120</t>
  </si>
  <si>
    <t>Queijo FT24/312</t>
  </si>
  <si>
    <t>Pingo doce/Lactogal FR1701338887</t>
  </si>
  <si>
    <t>Lactogal FR 1702571418/FR 1701339386</t>
  </si>
  <si>
    <t>QueijoFT24/360</t>
  </si>
  <si>
    <t>Progelcone (FT 41220118236 FR429299)/pingo doce</t>
  </si>
  <si>
    <t>Lactogal FR170130311</t>
  </si>
  <si>
    <t>Pingo doce/ Lactogal FR1701340740/FR1702573342</t>
  </si>
  <si>
    <t>1400€</t>
  </si>
  <si>
    <t>Pindo doce/ desentop FT24/6026</t>
  </si>
  <si>
    <t>Lactogal FR1701341185/ FR1702573960</t>
  </si>
  <si>
    <t>Rest Sogrape extra</t>
  </si>
  <si>
    <t>Queijo FR 24/427 / Rest (extra)</t>
  </si>
  <si>
    <t>360 hyper ( FR 24/11165)</t>
  </si>
  <si>
    <t>Rest (extra)/pingo doce</t>
  </si>
  <si>
    <t>Rest (extra)</t>
  </si>
  <si>
    <t>Rest (extra)/ Lactogal FR 1701341776</t>
  </si>
  <si>
    <t>Pingo doce/ Lactogal FR 1702575403/FR1701342207</t>
  </si>
  <si>
    <t>ser essencial - essencia</t>
  </si>
  <si>
    <t>Continente</t>
  </si>
  <si>
    <t>Gasolina</t>
  </si>
  <si>
    <t>Lactogal FR 1701342953</t>
  </si>
  <si>
    <t>Lactogal FR1701343394</t>
  </si>
  <si>
    <t>Rest (aliexpress)</t>
  </si>
  <si>
    <t>Queijo FR 519</t>
  </si>
  <si>
    <t>FR41220135794-432421</t>
  </si>
  <si>
    <t>Progelcone (FR41220137686/ FR137684/ Recibo 432427)</t>
  </si>
  <si>
    <t>Pingo doce/ Note (fotocopias)</t>
  </si>
  <si>
    <t>Brasão ( rest) - Carol</t>
  </si>
  <si>
    <t>Robalo - extra/pingo doce</t>
  </si>
  <si>
    <t>Progelcone (FR41220141543/fr41220141591- R 432517)</t>
  </si>
  <si>
    <t>Ikea (pago por isabel)</t>
  </si>
  <si>
    <t>200 € Moedas (repor envelope e dar 230 a isabel)</t>
  </si>
  <si>
    <t>Progelcone FT41220147597/FR 432228</t>
  </si>
  <si>
    <t>Progelcone (FR 41220149342 - 432232)</t>
  </si>
  <si>
    <t>Pingo doce/ rest (extra)</t>
  </si>
  <si>
    <t>(moedas)</t>
  </si>
  <si>
    <t>rest gaveto- ex</t>
  </si>
  <si>
    <t>Pingo doce/progelcone FR157527/434206</t>
  </si>
  <si>
    <t>Mercado/pingo doce</t>
  </si>
  <si>
    <t>Moedas - repor envelope</t>
  </si>
  <si>
    <t>Homa</t>
  </si>
  <si>
    <r>
      <rPr>
        <sz val="12"/>
        <color rgb="FFFF0000"/>
        <rFont val="Calibri"/>
        <family val="2"/>
      </rPr>
      <t xml:space="preserve">Despesa deslocação almoço Zero Zero - falta retirar dinheiro envelope | </t>
    </r>
    <r>
      <rPr>
        <sz val="12"/>
        <rFont val="Calibri"/>
        <family val="2"/>
      </rPr>
      <t>Sanita (Peixoto&amp;Cunha) |</t>
    </r>
  </si>
  <si>
    <t>Pingo</t>
  </si>
  <si>
    <t>Homa /queijo FT 24/7462</t>
  </si>
  <si>
    <t>Costa Nova</t>
  </si>
  <si>
    <t xml:space="preserve">Stapples </t>
  </si>
  <si>
    <t>Queijo Serra</t>
  </si>
  <si>
    <t>Arranjar fatura - Adiantamento patrick</t>
  </si>
  <si>
    <t>FM</t>
  </si>
  <si>
    <t>FECHO DO DIA</t>
  </si>
  <si>
    <t>SALT PAY</t>
  </si>
  <si>
    <t>SANTANDER</t>
  </si>
  <si>
    <t>GASTOS C/RECIBO</t>
  </si>
  <si>
    <t>GASTOS S/RECIBO</t>
  </si>
  <si>
    <t>GLOVO</t>
  </si>
  <si>
    <t>UBER EATS</t>
  </si>
  <si>
    <t>VOLUP</t>
  </si>
  <si>
    <t>BOLT</t>
  </si>
  <si>
    <t>NUMERARIO</t>
  </si>
  <si>
    <t>TOTAL</t>
  </si>
  <si>
    <t>DEPOSITO</t>
  </si>
  <si>
    <t>EXTRA</t>
  </si>
  <si>
    <t>FUNDO CAIXA</t>
  </si>
  <si>
    <t>/dia</t>
  </si>
  <si>
    <t>Transf. Bancária</t>
  </si>
  <si>
    <t xml:space="preserve">33 euro quilos melhor </t>
  </si>
  <si>
    <t>27,83 euro/quilos ok</t>
  </si>
  <si>
    <t>o resultado muda de acordo com a pastelaria produzida e não vendida</t>
  </si>
  <si>
    <t>Num cert</t>
  </si>
  <si>
    <t>Pingo doce e continente</t>
  </si>
  <si>
    <t>deposito 26/11 a 01/12</t>
  </si>
  <si>
    <t>Depósito de 03 a 13/01</t>
  </si>
  <si>
    <t>Depósito de 14 a 22/12</t>
  </si>
  <si>
    <t>continente - sacos lixo + banana</t>
  </si>
  <si>
    <t xml:space="preserve">Januario - sacos pastelaria </t>
  </si>
  <si>
    <t>Depósito de 23/12 a 29/12. Tirei 5€ extra Matosinhos pois faltavam 10€ no fecho Bolhão (ver se ficou a mais na caixa)</t>
  </si>
  <si>
    <t>Numerario Ajustado (depósito)</t>
  </si>
  <si>
    <t>A DEPOSITAR</t>
  </si>
  <si>
    <t>Kofi</t>
  </si>
  <si>
    <t>kofi</t>
  </si>
  <si>
    <t>cofco</t>
  </si>
  <si>
    <t>semea</t>
  </si>
  <si>
    <t>Loja</t>
  </si>
  <si>
    <t>FECHO TOTAL</t>
  </si>
  <si>
    <t>FECHO MATOSINHOS</t>
  </si>
  <si>
    <t>TIME OUT MARKET</t>
  </si>
  <si>
    <t>Matosinhos;TimeOut;Bolhão</t>
  </si>
  <si>
    <t>FECHO BOLHAO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</si>
</sst>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[$€-2]\ * #,##0.00_-;\-[$€-2]\ * #,##0.00_-;_-[$€-2]\ * &quot;-&quot;??_-;_-@"/>
    <numFmt numFmtId="165" formatCode="_-* #,##0.00\ &quot;€&quot;_-;\-* #,##0.00\ &quot;€&quot;_-;_-* &quot;-&quot;??\ &quot;€&quot;_-;_-@"/>
    <numFmt numFmtId="166" formatCode="_-[$€-2]\ * #,##0.00_-;\-[$€-2]\ * #,##0.00_-;_-[$€-2]\ * &quot;-&quot;??_-;_-@_-"/>
    <numFmt numFmtId="167" formatCode="_-[$€-2]\ * #,##0_-;\-[$€-2]\ * #,##0_-;_-[$€-2]\ * &quot;-&quot;??_-;_-@"/>
    <numFmt numFmtId="168" formatCode="_-* #,##0.00\ [$€-816]_-;\-* #,##0.00\ [$€-816]_-;_-* &quot;-&quot;??\ [$€-816]_-;_-@_-"/>
    <numFmt numFmtId="169" formatCode="_-* #,##0\ &quot;€&quot;_-;\-* #,##0\ &quot;€&quot;_-;_-* &quot;-&quot;??\ &quot;€&quot;_-;_-@_-"/>
    <numFmt numFmtId="170" formatCode="dd/mm/yy;@"/>
    <numFmt numFmtId="171" formatCode="_-* #,##0.0000\ &quot;€&quot;_-;\-* #,##0.0000\ &quot;€&quot;_-;_-* &quot;-&quot;??\ &quot;€&quot;_-;_-@_-"/>
  </numFmts>
  <fonts count="36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1"/>
      <color rgb="FF444444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ajor"/>
    </font>
    <font>
      <sz val="12"/>
      <color rgb="FF000000"/>
      <name val="Calibri"/>
      <family val="2"/>
      <scheme val="major"/>
    </font>
    <font>
      <sz val="9"/>
      <color theme="1"/>
      <name val="Verdana"/>
      <family val="2"/>
    </font>
    <font>
      <sz val="12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70AD47"/>
        <bgColor rgb="FF70AD47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ED7D31"/>
        <bgColor rgb="FFED7D31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4" fontId="13" fillId="0" borderId="0" applyFont="0" applyFill="0" applyBorder="0" applyAlignment="0" applyProtection="0"/>
    <xf numFmtId="0" fontId="15" fillId="24" borderId="0" applyNumberFormat="0" applyBorder="0" applyAlignment="0" applyProtection="0"/>
    <xf numFmtId="0" fontId="18" fillId="0" borderId="39" applyNumberFormat="0" applyFill="0" applyAlignment="0" applyProtection="0"/>
    <xf numFmtId="0" fontId="19" fillId="0" borderId="40" applyNumberFormat="0" applyFill="0" applyAlignment="0" applyProtection="0"/>
    <xf numFmtId="0" fontId="20" fillId="0" borderId="41" applyNumberFormat="0" applyFill="0" applyAlignment="0" applyProtection="0"/>
    <xf numFmtId="0" fontId="23" fillId="28" borderId="42" applyNumberFormat="0" applyAlignment="0" applyProtection="0"/>
    <xf numFmtId="0" fontId="24" fillId="29" borderId="43" applyNumberFormat="0" applyAlignment="0" applyProtection="0"/>
    <xf numFmtId="0" fontId="25" fillId="29" borderId="42" applyNumberFormat="0" applyAlignment="0" applyProtection="0"/>
    <xf numFmtId="0" fontId="26" fillId="0" borderId="44" applyNumberFormat="0" applyFill="0" applyAlignment="0" applyProtection="0"/>
    <xf numFmtId="0" fontId="27" fillId="30" borderId="45" applyNumberFormat="0" applyAlignment="0" applyProtection="0"/>
    <xf numFmtId="0" fontId="30" fillId="0" borderId="47" applyNumberFormat="0" applyFill="0" applyAlignment="0" applyProtection="0"/>
    <xf numFmtId="0" fontId="1" fillId="0" borderId="1"/>
    <xf numFmtId="0" fontId="17" fillId="0" borderId="1" applyNumberFormat="0" applyFill="0" applyBorder="0" applyAlignment="0" applyProtection="0"/>
    <xf numFmtId="0" fontId="20" fillId="0" borderId="1" applyNumberFormat="0" applyFill="0" applyBorder="0" applyAlignment="0" applyProtection="0"/>
    <xf numFmtId="0" fontId="15" fillId="24" borderId="1" applyNumberFormat="0" applyBorder="0" applyAlignment="0" applyProtection="0"/>
    <xf numFmtId="0" fontId="21" fillId="26" borderId="1" applyNumberFormat="0" applyBorder="0" applyAlignment="0" applyProtection="0"/>
    <xf numFmtId="0" fontId="22" fillId="27" borderId="1" applyNumberFormat="0" applyBorder="0" applyAlignment="0" applyProtection="0"/>
    <xf numFmtId="0" fontId="28" fillId="0" borderId="1" applyNumberFormat="0" applyFill="0" applyBorder="0" applyAlignment="0" applyProtection="0"/>
    <xf numFmtId="0" fontId="1" fillId="31" borderId="46" applyNumberFormat="0" applyFont="0" applyAlignment="0" applyProtection="0"/>
    <xf numFmtId="0" fontId="29" fillId="0" borderId="1" applyNumberFormat="0" applyFill="0" applyBorder="0" applyAlignment="0" applyProtection="0"/>
    <xf numFmtId="0" fontId="31" fillId="32" borderId="1" applyNumberFormat="0" applyBorder="0" applyAlignment="0" applyProtection="0"/>
    <xf numFmtId="0" fontId="1" fillId="33" borderId="1" applyNumberFormat="0" applyBorder="0" applyAlignment="0" applyProtection="0"/>
    <xf numFmtId="0" fontId="1" fillId="34" borderId="1" applyNumberFormat="0" applyBorder="0" applyAlignment="0" applyProtection="0"/>
    <xf numFmtId="0" fontId="1" fillId="35" borderId="1" applyNumberFormat="0" applyBorder="0" applyAlignment="0" applyProtection="0"/>
    <xf numFmtId="0" fontId="31" fillId="36" borderId="1" applyNumberFormat="0" applyBorder="0" applyAlignment="0" applyProtection="0"/>
    <xf numFmtId="0" fontId="1" fillId="37" borderId="1" applyNumberFormat="0" applyBorder="0" applyAlignment="0" applyProtection="0"/>
    <xf numFmtId="0" fontId="1" fillId="38" borderId="1" applyNumberFormat="0" applyBorder="0" applyAlignment="0" applyProtection="0"/>
    <xf numFmtId="0" fontId="1" fillId="39" borderId="1" applyNumberFormat="0" applyBorder="0" applyAlignment="0" applyProtection="0"/>
    <xf numFmtId="0" fontId="31" fillId="40" borderId="1" applyNumberFormat="0" applyBorder="0" applyAlignment="0" applyProtection="0"/>
    <xf numFmtId="0" fontId="1" fillId="41" borderId="1" applyNumberFormat="0" applyBorder="0" applyAlignment="0" applyProtection="0"/>
    <xf numFmtId="0" fontId="1" fillId="42" borderId="1" applyNumberFormat="0" applyBorder="0" applyAlignment="0" applyProtection="0"/>
    <xf numFmtId="0" fontId="1" fillId="43" borderId="1" applyNumberFormat="0" applyBorder="0" applyAlignment="0" applyProtection="0"/>
    <xf numFmtId="0" fontId="31" fillId="44" borderId="1" applyNumberFormat="0" applyBorder="0" applyAlignment="0" applyProtection="0"/>
    <xf numFmtId="0" fontId="1" fillId="45" borderId="1" applyNumberFormat="0" applyBorder="0" applyAlignment="0" applyProtection="0"/>
    <xf numFmtId="0" fontId="1" fillId="46" borderId="1" applyNumberFormat="0" applyBorder="0" applyAlignment="0" applyProtection="0"/>
    <xf numFmtId="0" fontId="1" fillId="47" borderId="1" applyNumberFormat="0" applyBorder="0" applyAlignment="0" applyProtection="0"/>
    <xf numFmtId="0" fontId="31" fillId="48" borderId="1" applyNumberFormat="0" applyBorder="0" applyAlignment="0" applyProtection="0"/>
    <xf numFmtId="0" fontId="1" fillId="49" borderId="1" applyNumberFormat="0" applyBorder="0" applyAlignment="0" applyProtection="0"/>
    <xf numFmtId="0" fontId="1" fillId="50" borderId="1" applyNumberFormat="0" applyBorder="0" applyAlignment="0" applyProtection="0"/>
    <xf numFmtId="0" fontId="1" fillId="51" borderId="1" applyNumberFormat="0" applyBorder="0" applyAlignment="0" applyProtection="0"/>
    <xf numFmtId="0" fontId="31" fillId="52" borderId="1" applyNumberFormat="0" applyBorder="0" applyAlignment="0" applyProtection="0"/>
    <xf numFmtId="0" fontId="1" fillId="53" borderId="1" applyNumberFormat="0" applyBorder="0" applyAlignment="0" applyProtection="0"/>
    <xf numFmtId="0" fontId="1" fillId="54" borderId="1" applyNumberFormat="0" applyBorder="0" applyAlignment="0" applyProtection="0"/>
    <xf numFmtId="0" fontId="1" fillId="55" borderId="1" applyNumberFormat="0" applyBorder="0" applyAlignment="0" applyProtection="0"/>
    <xf numFmtId="0" fontId="22" fillId="27" borderId="0" applyNumberFormat="0" applyBorder="0" applyAlignment="0" applyProtection="0"/>
  </cellStyleXfs>
  <cellXfs count="274">
    <xf numFmtId="0" fontId="0" fillId="0" borderId="0" xfId="0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2" fillId="4" borderId="3" xfId="0" applyNumberFormat="1" applyFont="1" applyFill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0" fontId="2" fillId="0" borderId="4" xfId="0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4" fontId="2" fillId="4" borderId="4" xfId="0" applyNumberFormat="1" applyFont="1" applyFill="1" applyBorder="1"/>
    <xf numFmtId="164" fontId="2" fillId="5" borderId="4" xfId="0" applyNumberFormat="1" applyFont="1" applyFill="1" applyBorder="1"/>
    <xf numFmtId="14" fontId="2" fillId="3" borderId="4" xfId="0" applyNumberFormat="1" applyFont="1" applyFill="1" applyBorder="1"/>
    <xf numFmtId="164" fontId="2" fillId="3" borderId="4" xfId="0" applyNumberFormat="1" applyFont="1" applyFill="1" applyBorder="1"/>
    <xf numFmtId="0" fontId="2" fillId="3" borderId="4" xfId="0" applyFont="1" applyFill="1" applyBorder="1"/>
    <xf numFmtId="0" fontId="6" fillId="0" borderId="4" xfId="0" applyFont="1" applyBorder="1"/>
    <xf numFmtId="164" fontId="2" fillId="0" borderId="5" xfId="0" applyNumberFormat="1" applyFont="1" applyBorder="1"/>
    <xf numFmtId="164" fontId="2" fillId="0" borderId="5" xfId="0" applyNumberFormat="1" applyFont="1" applyBorder="1" applyAlignment="1">
      <alignment horizontal="right"/>
    </xf>
    <xf numFmtId="0" fontId="2" fillId="0" borderId="5" xfId="0" applyFont="1" applyBorder="1"/>
    <xf numFmtId="164" fontId="2" fillId="6" borderId="5" xfId="0" applyNumberFormat="1" applyFont="1" applyFill="1" applyBorder="1"/>
    <xf numFmtId="0" fontId="2" fillId="0" borderId="6" xfId="0" applyFont="1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4" fontId="2" fillId="0" borderId="10" xfId="0" applyNumberFormat="1" applyFont="1" applyBorder="1"/>
    <xf numFmtId="165" fontId="2" fillId="0" borderId="4" xfId="0" applyNumberFormat="1" applyFont="1" applyBorder="1"/>
    <xf numFmtId="0" fontId="2" fillId="0" borderId="11" xfId="0" applyFont="1" applyBorder="1"/>
    <xf numFmtId="0" fontId="2" fillId="3" borderId="11" xfId="0" applyFont="1" applyFill="1" applyBorder="1"/>
    <xf numFmtId="0" fontId="2" fillId="7" borderId="4" xfId="0" applyFont="1" applyFill="1" applyBorder="1"/>
    <xf numFmtId="165" fontId="2" fillId="7" borderId="4" xfId="0" applyNumberFormat="1" applyFont="1" applyFill="1" applyBorder="1"/>
    <xf numFmtId="165" fontId="2" fillId="7" borderId="12" xfId="0" applyNumberFormat="1" applyFont="1" applyFill="1" applyBorder="1"/>
    <xf numFmtId="0" fontId="2" fillId="7" borderId="11" xfId="0" applyFont="1" applyFill="1" applyBorder="1"/>
    <xf numFmtId="14" fontId="2" fillId="0" borderId="13" xfId="0" applyNumberFormat="1" applyFont="1" applyBorder="1"/>
    <xf numFmtId="165" fontId="2" fillId="0" borderId="14" xfId="0" applyNumberFormat="1" applyFont="1" applyBorder="1"/>
    <xf numFmtId="165" fontId="2" fillId="0" borderId="15" xfId="0" applyNumberFormat="1" applyFont="1" applyBorder="1"/>
    <xf numFmtId="0" fontId="2" fillId="0" borderId="16" xfId="0" applyFont="1" applyBorder="1"/>
    <xf numFmtId="165" fontId="2" fillId="0" borderId="20" xfId="0" applyNumberFormat="1" applyFont="1" applyBorder="1"/>
    <xf numFmtId="165" fontId="2" fillId="0" borderId="21" xfId="0" applyNumberFormat="1" applyFont="1" applyBorder="1"/>
    <xf numFmtId="165" fontId="2" fillId="0" borderId="22" xfId="0" applyNumberFormat="1" applyFont="1" applyBorder="1"/>
    <xf numFmtId="165" fontId="2" fillId="8" borderId="12" xfId="0" applyNumberFormat="1" applyFont="1" applyFill="1" applyBorder="1"/>
    <xf numFmtId="14" fontId="2" fillId="7" borderId="10" xfId="0" applyNumberFormat="1" applyFont="1" applyFill="1" applyBorder="1"/>
    <xf numFmtId="0" fontId="2" fillId="7" borderId="23" xfId="0" applyFont="1" applyFill="1" applyBorder="1"/>
    <xf numFmtId="0" fontId="2" fillId="0" borderId="24" xfId="0" applyFont="1" applyBorder="1"/>
    <xf numFmtId="165" fontId="2" fillId="0" borderId="24" xfId="0" applyNumberFormat="1" applyFont="1" applyBorder="1"/>
    <xf numFmtId="165" fontId="2" fillId="0" borderId="25" xfId="0" applyNumberFormat="1" applyFont="1" applyBorder="1"/>
    <xf numFmtId="0" fontId="2" fillId="0" borderId="26" xfId="0" applyFont="1" applyBorder="1"/>
    <xf numFmtId="165" fontId="2" fillId="0" borderId="30" xfId="0" applyNumberFormat="1" applyFont="1" applyBorder="1"/>
    <xf numFmtId="165" fontId="2" fillId="0" borderId="31" xfId="0" applyNumberFormat="1" applyFont="1" applyBorder="1"/>
    <xf numFmtId="165" fontId="2" fillId="0" borderId="32" xfId="0" applyNumberFormat="1" applyFont="1" applyBorder="1"/>
    <xf numFmtId="165" fontId="2" fillId="0" borderId="0" xfId="0" applyNumberFormat="1" applyFont="1"/>
    <xf numFmtId="0" fontId="2" fillId="8" borderId="11" xfId="0" applyFont="1" applyFill="1" applyBorder="1"/>
    <xf numFmtId="0" fontId="2" fillId="8" borderId="23" xfId="0" applyFont="1" applyFill="1" applyBorder="1"/>
    <xf numFmtId="0" fontId="2" fillId="8" borderId="4" xfId="0" applyFont="1" applyFill="1" applyBorder="1"/>
    <xf numFmtId="0" fontId="2" fillId="0" borderId="14" xfId="0" applyFont="1" applyBorder="1"/>
    <xf numFmtId="0" fontId="6" fillId="0" borderId="0" xfId="0" applyFont="1"/>
    <xf numFmtId="0" fontId="8" fillId="0" borderId="0" xfId="0" applyFont="1"/>
    <xf numFmtId="0" fontId="2" fillId="5" borderId="4" xfId="0" applyFont="1" applyFill="1" applyBorder="1"/>
    <xf numFmtId="0" fontId="2" fillId="9" borderId="4" xfId="0" applyFont="1" applyFill="1" applyBorder="1"/>
    <xf numFmtId="0" fontId="2" fillId="10" borderId="4" xfId="0" applyFont="1" applyFill="1" applyBorder="1"/>
    <xf numFmtId="0" fontId="2" fillId="11" borderId="4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/>
    <xf numFmtId="164" fontId="2" fillId="3" borderId="23" xfId="0" applyNumberFormat="1" applyFont="1" applyFill="1" applyBorder="1"/>
    <xf numFmtId="0" fontId="2" fillId="3" borderId="23" xfId="0" applyFont="1" applyFill="1" applyBorder="1"/>
    <xf numFmtId="14" fontId="2" fillId="0" borderId="3" xfId="0" applyNumberFormat="1" applyFont="1" applyBorder="1" applyAlignment="1">
      <alignment horizontal="right"/>
    </xf>
    <xf numFmtId="165" fontId="2" fillId="0" borderId="12" xfId="0" applyNumberFormat="1" applyFont="1" applyBorder="1"/>
    <xf numFmtId="0" fontId="2" fillId="0" borderId="27" xfId="0" applyFont="1" applyBorder="1"/>
    <xf numFmtId="165" fontId="2" fillId="0" borderId="3" xfId="0" applyNumberFormat="1" applyFont="1" applyBorder="1"/>
    <xf numFmtId="0" fontId="2" fillId="12" borderId="4" xfId="0" applyFont="1" applyFill="1" applyBorder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166" fontId="0" fillId="0" borderId="0" xfId="0" applyNumberFormat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3" fontId="2" fillId="0" borderId="11" xfId="0" applyNumberFormat="1" applyFont="1" applyBorder="1"/>
    <xf numFmtId="0" fontId="2" fillId="13" borderId="4" xfId="0" applyFont="1" applyFill="1" applyBorder="1"/>
    <xf numFmtId="0" fontId="2" fillId="0" borderId="4" xfId="0" applyFont="1" applyBorder="1" applyAlignment="1">
      <alignment wrapText="1"/>
    </xf>
    <xf numFmtId="14" fontId="0" fillId="12" borderId="0" xfId="0" applyNumberFormat="1" applyFill="1"/>
    <xf numFmtId="0" fontId="2" fillId="14" borderId="5" xfId="0" applyFont="1" applyFill="1" applyBorder="1"/>
    <xf numFmtId="164" fontId="2" fillId="15" borderId="5" xfId="0" applyNumberFormat="1" applyFont="1" applyFill="1" applyBorder="1"/>
    <xf numFmtId="17" fontId="2" fillId="3" borderId="23" xfId="0" applyNumberFormat="1" applyFont="1" applyFill="1" applyBorder="1"/>
    <xf numFmtId="0" fontId="6" fillId="0" borderId="5" xfId="0" applyFont="1" applyBorder="1"/>
    <xf numFmtId="0" fontId="10" fillId="12" borderId="0" xfId="0" applyFont="1" applyFill="1"/>
    <xf numFmtId="167" fontId="2" fillId="15" borderId="5" xfId="0" applyNumberFormat="1" applyFont="1" applyFill="1" applyBorder="1"/>
    <xf numFmtId="16" fontId="0" fillId="0" borderId="0" xfId="0" applyNumberFormat="1"/>
    <xf numFmtId="0" fontId="9" fillId="0" borderId="5" xfId="0" applyFont="1" applyBorder="1"/>
    <xf numFmtId="2" fontId="0" fillId="0" borderId="0" xfId="0" applyNumberFormat="1"/>
    <xf numFmtId="0" fontId="2" fillId="12" borderId="14" xfId="0" applyFont="1" applyFill="1" applyBorder="1"/>
    <xf numFmtId="14" fontId="2" fillId="0" borderId="23" xfId="0" applyNumberFormat="1" applyFont="1" applyBorder="1"/>
    <xf numFmtId="14" fontId="2" fillId="0" borderId="33" xfId="0" applyNumberFormat="1" applyFont="1" applyBorder="1"/>
    <xf numFmtId="0" fontId="2" fillId="16" borderId="4" xfId="0" applyFont="1" applyFill="1" applyBorder="1"/>
    <xf numFmtId="0" fontId="2" fillId="16" borderId="14" xfId="0" applyFont="1" applyFill="1" applyBorder="1"/>
    <xf numFmtId="165" fontId="2" fillId="17" borderId="4" xfId="0" applyNumberFormat="1" applyFont="1" applyFill="1" applyBorder="1"/>
    <xf numFmtId="164" fontId="0" fillId="0" borderId="0" xfId="0" applyNumberFormat="1"/>
    <xf numFmtId="164" fontId="2" fillId="15" borderId="3" xfId="0" applyNumberFormat="1" applyFont="1" applyFill="1" applyBorder="1"/>
    <xf numFmtId="164" fontId="6" fillId="0" borderId="5" xfId="0" applyNumberFormat="1" applyFont="1" applyBorder="1" applyAlignment="1">
      <alignment horizontal="right"/>
    </xf>
    <xf numFmtId="0" fontId="12" fillId="0" borderId="0" xfId="0" applyFont="1"/>
    <xf numFmtId="164" fontId="2" fillId="15" borderId="4" xfId="0" applyNumberFormat="1" applyFont="1" applyFill="1" applyBorder="1"/>
    <xf numFmtId="14" fontId="2" fillId="3" borderId="14" xfId="0" applyNumberFormat="1" applyFont="1" applyFill="1" applyBorder="1"/>
    <xf numFmtId="17" fontId="2" fillId="3" borderId="33" xfId="0" applyNumberFormat="1" applyFont="1" applyFill="1" applyBorder="1"/>
    <xf numFmtId="164" fontId="2" fillId="3" borderId="33" xfId="0" applyNumberFormat="1" applyFont="1" applyFill="1" applyBorder="1"/>
    <xf numFmtId="0" fontId="2" fillId="3" borderId="33" xfId="0" applyFont="1" applyFill="1" applyBorder="1"/>
    <xf numFmtId="14" fontId="0" fillId="0" borderId="34" xfId="0" applyNumberFormat="1" applyBorder="1"/>
    <xf numFmtId="164" fontId="2" fillId="0" borderId="34" xfId="0" applyNumberFormat="1" applyFont="1" applyBorder="1"/>
    <xf numFmtId="0" fontId="0" fillId="0" borderId="34" xfId="0" applyBorder="1"/>
    <xf numFmtId="0" fontId="5" fillId="2" borderId="35" xfId="0" applyFont="1" applyFill="1" applyBorder="1" applyAlignment="1">
      <alignment horizontal="center"/>
    </xf>
    <xf numFmtId="164" fontId="5" fillId="2" borderId="35" xfId="0" applyNumberFormat="1" applyFont="1" applyFill="1" applyBorder="1" applyAlignment="1">
      <alignment horizontal="center"/>
    </xf>
    <xf numFmtId="166" fontId="2" fillId="0" borderId="4" xfId="0" applyNumberFormat="1" applyFont="1" applyBorder="1"/>
    <xf numFmtId="166" fontId="2" fillId="0" borderId="24" xfId="0" applyNumberFormat="1" applyFont="1" applyBorder="1"/>
    <xf numFmtId="166" fontId="0" fillId="0" borderId="34" xfId="0" applyNumberFormat="1" applyBorder="1"/>
    <xf numFmtId="164" fontId="2" fillId="15" borderId="34" xfId="0" applyNumberFormat="1" applyFont="1" applyFill="1" applyBorder="1"/>
    <xf numFmtId="14" fontId="2" fillId="19" borderId="10" xfId="0" applyNumberFormat="1" applyFont="1" applyFill="1" applyBorder="1"/>
    <xf numFmtId="0" fontId="0" fillId="15" borderId="34" xfId="0" applyFill="1" applyBorder="1"/>
    <xf numFmtId="0" fontId="0" fillId="18" borderId="34" xfId="0" applyFill="1" applyBorder="1"/>
    <xf numFmtId="0" fontId="3" fillId="0" borderId="34" xfId="0" applyFont="1" applyBorder="1"/>
    <xf numFmtId="0" fontId="2" fillId="20" borderId="4" xfId="0" applyFont="1" applyFill="1" applyBorder="1"/>
    <xf numFmtId="0" fontId="11" fillId="0" borderId="0" xfId="0" applyFont="1"/>
    <xf numFmtId="168" fontId="11" fillId="0" borderId="0" xfId="0" applyNumberFormat="1" applyFont="1"/>
    <xf numFmtId="168" fontId="11" fillId="0" borderId="0" xfId="1" applyNumberFormat="1" applyFont="1"/>
    <xf numFmtId="0" fontId="0" fillId="15" borderId="0" xfId="0" applyFill="1"/>
    <xf numFmtId="14" fontId="0" fillId="21" borderId="34" xfId="0" applyNumberFormat="1" applyFill="1" applyBorder="1"/>
    <xf numFmtId="14" fontId="2" fillId="22" borderId="10" xfId="0" applyNumberFormat="1" applyFont="1" applyFill="1" applyBorder="1"/>
    <xf numFmtId="0" fontId="2" fillId="22" borderId="4" xfId="0" applyFont="1" applyFill="1" applyBorder="1"/>
    <xf numFmtId="0" fontId="14" fillId="23" borderId="34" xfId="0" applyFont="1" applyFill="1" applyBorder="1"/>
    <xf numFmtId="169" fontId="0" fillId="0" borderId="34" xfId="1" applyNumberFormat="1" applyFont="1" applyBorder="1"/>
    <xf numFmtId="0" fontId="14" fillId="23" borderId="3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34" xfId="0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69" fontId="0" fillId="0" borderId="34" xfId="0" applyNumberFormat="1" applyBorder="1"/>
    <xf numFmtId="169" fontId="3" fillId="0" borderId="34" xfId="1" applyNumberFormat="1" applyFont="1" applyBorder="1"/>
    <xf numFmtId="14" fontId="0" fillId="0" borderId="36" xfId="0" applyNumberFormat="1" applyBorder="1" applyAlignment="1">
      <alignment horizontal="center"/>
    </xf>
    <xf numFmtId="169" fontId="3" fillId="0" borderId="34" xfId="1" applyNumberFormat="1" applyFont="1" applyFill="1" applyBorder="1"/>
    <xf numFmtId="0" fontId="0" fillId="0" borderId="37" xfId="0" applyBorder="1"/>
    <xf numFmtId="169" fontId="0" fillId="0" borderId="37" xfId="1" applyNumberFormat="1" applyFont="1" applyBorder="1"/>
    <xf numFmtId="0" fontId="0" fillId="0" borderId="37" xfId="0" applyBorder="1" applyAlignment="1">
      <alignment horizontal="center"/>
    </xf>
    <xf numFmtId="0" fontId="3" fillId="0" borderId="37" xfId="0" applyFont="1" applyBorder="1"/>
    <xf numFmtId="0" fontId="3" fillId="0" borderId="36" xfId="0" applyFont="1" applyBorder="1"/>
    <xf numFmtId="0" fontId="0" fillId="0" borderId="36" xfId="0" applyBorder="1"/>
    <xf numFmtId="169" fontId="0" fillId="0" borderId="36" xfId="1" applyNumberFormat="1" applyFont="1" applyBorder="1"/>
    <xf numFmtId="0" fontId="0" fillId="0" borderId="36" xfId="0" applyBorder="1" applyAlignment="1">
      <alignment horizontal="center"/>
    </xf>
    <xf numFmtId="0" fontId="3" fillId="0" borderId="36" xfId="0" applyFont="1" applyBorder="1" applyAlignment="1">
      <alignment horizontal="center"/>
    </xf>
    <xf numFmtId="44" fontId="0" fillId="0" borderId="34" xfId="1" applyFont="1" applyBorder="1"/>
    <xf numFmtId="44" fontId="3" fillId="0" borderId="34" xfId="1" applyFont="1" applyFill="1" applyBorder="1"/>
    <xf numFmtId="44" fontId="0" fillId="0" borderId="34" xfId="1" applyFont="1" applyFill="1" applyBorder="1"/>
    <xf numFmtId="0" fontId="16" fillId="24" borderId="34" xfId="2" applyFont="1" applyBorder="1" applyAlignment="1">
      <alignment horizontal="center"/>
    </xf>
    <xf numFmtId="44" fontId="0" fillId="0" borderId="34" xfId="0" applyNumberFormat="1" applyBorder="1"/>
    <xf numFmtId="0" fontId="0" fillId="0" borderId="38" xfId="0" applyBorder="1"/>
    <xf numFmtId="0" fontId="0" fillId="25" borderId="34" xfId="0" applyFill="1" applyBorder="1"/>
    <xf numFmtId="0" fontId="0" fillId="56" borderId="34" xfId="0" applyFill="1" applyBorder="1"/>
    <xf numFmtId="44" fontId="0" fillId="56" borderId="34" xfId="1" applyFont="1" applyFill="1" applyBorder="1"/>
    <xf numFmtId="169" fontId="0" fillId="25" borderId="34" xfId="1" applyNumberFormat="1" applyFont="1" applyFill="1" applyBorder="1"/>
    <xf numFmtId="0" fontId="0" fillId="0" borderId="38" xfId="0" applyBorder="1" applyAlignment="1">
      <alignment horizontal="center"/>
    </xf>
    <xf numFmtId="170" fontId="0" fillId="0" borderId="34" xfId="0" applyNumberFormat="1" applyBorder="1"/>
    <xf numFmtId="170" fontId="0" fillId="0" borderId="36" xfId="0" applyNumberFormat="1" applyBorder="1"/>
    <xf numFmtId="170" fontId="14" fillId="23" borderId="34" xfId="0" applyNumberFormat="1" applyFont="1" applyFill="1" applyBorder="1"/>
    <xf numFmtId="44" fontId="14" fillId="23" borderId="34" xfId="0" applyNumberFormat="1" applyFont="1" applyFill="1" applyBorder="1"/>
    <xf numFmtId="44" fontId="0" fillId="0" borderId="37" xfId="1" applyFont="1" applyBorder="1"/>
    <xf numFmtId="44" fontId="0" fillId="0" borderId="36" xfId="1" applyFont="1" applyBorder="1"/>
    <xf numFmtId="14" fontId="15" fillId="24" borderId="34" xfId="2" applyNumberFormat="1" applyBorder="1"/>
    <xf numFmtId="171" fontId="0" fillId="0" borderId="34" xfId="1" applyNumberFormat="1" applyFont="1" applyBorder="1"/>
    <xf numFmtId="171" fontId="0" fillId="0" borderId="34" xfId="0" applyNumberFormat="1" applyBorder="1"/>
    <xf numFmtId="44" fontId="0" fillId="0" borderId="36" xfId="0" applyNumberFormat="1" applyBorder="1"/>
    <xf numFmtId="43" fontId="0" fillId="0" borderId="34" xfId="0" applyNumberFormat="1" applyBorder="1"/>
    <xf numFmtId="0" fontId="0" fillId="57" borderId="34" xfId="0" applyFill="1" applyBorder="1"/>
    <xf numFmtId="0" fontId="0" fillId="59" borderId="34" xfId="0" applyFill="1" applyBorder="1"/>
    <xf numFmtId="0" fontId="3" fillId="58" borderId="34" xfId="0" applyFont="1" applyFill="1" applyBorder="1"/>
    <xf numFmtId="44" fontId="0" fillId="0" borderId="37" xfId="0" applyNumberFormat="1" applyBorder="1"/>
    <xf numFmtId="0" fontId="3" fillId="0" borderId="37" xfId="0" applyFont="1" applyBorder="1" applyAlignment="1">
      <alignment horizontal="center"/>
    </xf>
    <xf numFmtId="14" fontId="0" fillId="0" borderId="37" xfId="0" applyNumberFormat="1" applyBorder="1"/>
    <xf numFmtId="14" fontId="0" fillId="0" borderId="37" xfId="0" applyNumberFormat="1" applyBorder="1" applyAlignment="1">
      <alignment horizontal="center"/>
    </xf>
    <xf numFmtId="14" fontId="0" fillId="0" borderId="36" xfId="0" applyNumberFormat="1" applyBorder="1"/>
    <xf numFmtId="1" fontId="0" fillId="0" borderId="34" xfId="0" applyNumberFormat="1" applyBorder="1"/>
    <xf numFmtId="14" fontId="32" fillId="0" borderId="34" xfId="0" applyNumberFormat="1" applyFont="1" applyBorder="1"/>
    <xf numFmtId="0" fontId="33" fillId="0" borderId="34" xfId="0" applyFont="1" applyBorder="1"/>
    <xf numFmtId="0" fontId="32" fillId="0" borderId="34" xfId="0" applyFont="1" applyBorder="1" applyAlignment="1">
      <alignment horizontal="left"/>
    </xf>
    <xf numFmtId="0" fontId="0" fillId="0" borderId="48" xfId="0" applyBorder="1"/>
    <xf numFmtId="3" fontId="0" fillId="0" borderId="34" xfId="0" applyNumberFormat="1" applyBorder="1"/>
    <xf numFmtId="44" fontId="0" fillId="56" borderId="34" xfId="0" applyNumberFormat="1" applyFill="1" applyBorder="1"/>
    <xf numFmtId="0" fontId="3" fillId="0" borderId="34" xfId="0" applyFont="1" applyBorder="1" applyAlignment="1">
      <alignment horizontal="left"/>
    </xf>
    <xf numFmtId="3" fontId="3" fillId="0" borderId="34" xfId="0" applyNumberFormat="1" applyFont="1" applyBorder="1"/>
    <xf numFmtId="14" fontId="0" fillId="0" borderId="36" xfId="0" applyNumberFormat="1" applyBorder="1" applyAlignment="1">
      <alignment horizontal="right"/>
    </xf>
    <xf numFmtId="44" fontId="0" fillId="25" borderId="34" xfId="1" applyFont="1" applyFill="1" applyBorder="1"/>
    <xf numFmtId="0" fontId="3" fillId="59" borderId="34" xfId="0" applyFont="1" applyFill="1" applyBorder="1"/>
    <xf numFmtId="44" fontId="0" fillId="18" borderId="34" xfId="1" applyFont="1" applyFill="1" applyBorder="1"/>
    <xf numFmtId="169" fontId="3" fillId="0" borderId="37" xfId="1" applyNumberFormat="1" applyFont="1" applyBorder="1"/>
    <xf numFmtId="44" fontId="3" fillId="25" borderId="34" xfId="1" applyFont="1" applyFill="1" applyBorder="1"/>
    <xf numFmtId="44" fontId="0" fillId="12" borderId="34" xfId="0" applyNumberFormat="1" applyFill="1" applyBorder="1"/>
    <xf numFmtId="0" fontId="14" fillId="23" borderId="34" xfId="0" applyFont="1" applyFill="1" applyBorder="1" applyAlignment="1">
      <alignment horizontal="left"/>
    </xf>
    <xf numFmtId="0" fontId="0" fillId="0" borderId="34" xfId="0" applyBorder="1" applyAlignment="1">
      <alignment horizontal="left"/>
    </xf>
    <xf numFmtId="14" fontId="3" fillId="0" borderId="34" xfId="0" applyNumberFormat="1" applyFont="1" applyBorder="1"/>
    <xf numFmtId="0" fontId="0" fillId="0" borderId="36" xfId="0" applyBorder="1" applyAlignment="1">
      <alignment horizontal="left"/>
    </xf>
    <xf numFmtId="0" fontId="3" fillId="56" borderId="34" xfId="0" applyFont="1" applyFill="1" applyBorder="1"/>
    <xf numFmtId="0" fontId="22" fillId="27" borderId="34" xfId="45" applyBorder="1" applyAlignment="1">
      <alignment horizontal="center"/>
    </xf>
    <xf numFmtId="44" fontId="0" fillId="0" borderId="38" xfId="0" applyNumberFormat="1" applyBorder="1"/>
    <xf numFmtId="44" fontId="3" fillId="0" borderId="34" xfId="1" applyFont="1" applyBorder="1"/>
    <xf numFmtId="0" fontId="0" fillId="0" borderId="38" xfId="0" applyBorder="1" applyAlignment="1">
      <alignment horizontal="left"/>
    </xf>
    <xf numFmtId="0" fontId="0" fillId="0" borderId="1" xfId="0" applyBorder="1" applyAlignment="1">
      <alignment horizontal="left"/>
    </xf>
    <xf numFmtId="44" fontId="0" fillId="25" borderId="34" xfId="0" applyNumberFormat="1" applyFill="1" applyBorder="1"/>
    <xf numFmtId="1" fontId="0" fillId="0" borderId="34" xfId="0" applyNumberFormat="1" applyBorder="1" applyAlignment="1">
      <alignment horizontal="left"/>
    </xf>
    <xf numFmtId="44" fontId="0" fillId="61" borderId="34" xfId="0" applyNumberFormat="1" applyFill="1" applyBorder="1"/>
    <xf numFmtId="44" fontId="0" fillId="0" borderId="1" xfId="0" applyNumberFormat="1" applyBorder="1"/>
    <xf numFmtId="14" fontId="0" fillId="12" borderId="34" xfId="0" applyNumberFormat="1" applyFill="1" applyBorder="1" applyAlignment="1">
      <alignment horizontal="center"/>
    </xf>
    <xf numFmtId="0" fontId="0" fillId="62" borderId="34" xfId="0" applyFill="1" applyBorder="1"/>
    <xf numFmtId="44" fontId="0" fillId="62" borderId="34" xfId="1" applyFont="1" applyFill="1" applyBorder="1"/>
    <xf numFmtId="14" fontId="0" fillId="62" borderId="34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3" fillId="0" borderId="34" xfId="0" applyNumberFormat="1" applyFont="1" applyBorder="1" applyAlignment="1">
      <alignment horizontal="center"/>
    </xf>
    <xf numFmtId="0" fontId="32" fillId="0" borderId="34" xfId="0" applyFont="1" applyBorder="1"/>
    <xf numFmtId="0" fontId="3" fillId="0" borderId="1" xfId="0" applyFont="1" applyBorder="1"/>
    <xf numFmtId="44" fontId="0" fillId="57" borderId="34" xfId="0" applyNumberFormat="1" applyFill="1" applyBorder="1"/>
    <xf numFmtId="0" fontId="9" fillId="0" borderId="34" xfId="0" applyFont="1" applyBorder="1"/>
    <xf numFmtId="0" fontId="34" fillId="0" borderId="34" xfId="0" applyFont="1" applyBorder="1"/>
    <xf numFmtId="0" fontId="0" fillId="63" borderId="34" xfId="0" applyFill="1" applyBorder="1"/>
    <xf numFmtId="0" fontId="0" fillId="12" borderId="34" xfId="0" applyFill="1" applyBorder="1"/>
    <xf numFmtId="0" fontId="3" fillId="12" borderId="34" xfId="0" applyFont="1" applyFill="1" applyBorder="1"/>
    <xf numFmtId="0" fontId="0" fillId="12" borderId="34" xfId="0" applyFill="1" applyBorder="1" applyAlignment="1">
      <alignment horizontal="center"/>
    </xf>
    <xf numFmtId="0" fontId="0" fillId="22" borderId="34" xfId="0" applyFill="1" applyBorder="1"/>
    <xf numFmtId="44" fontId="0" fillId="22" borderId="34" xfId="0" applyNumberFormat="1" applyFill="1" applyBorder="1"/>
    <xf numFmtId="14" fontId="0" fillId="22" borderId="34" xfId="0" applyNumberFormat="1" applyFill="1" applyBorder="1" applyAlignment="1">
      <alignment horizontal="center"/>
    </xf>
    <xf numFmtId="0" fontId="3" fillId="22" borderId="34" xfId="0" applyFont="1" applyFill="1" applyBorder="1" applyAlignment="1">
      <alignment horizontal="center"/>
    </xf>
    <xf numFmtId="0" fontId="0" fillId="22" borderId="34" xfId="0" applyFill="1" applyBorder="1" applyAlignment="1">
      <alignment horizontal="left"/>
    </xf>
    <xf numFmtId="0" fontId="3" fillId="22" borderId="34" xfId="0" applyFont="1" applyFill="1" applyBorder="1"/>
    <xf numFmtId="0" fontId="3" fillId="12" borderId="34" xfId="0" applyFont="1" applyFill="1" applyBorder="1" applyAlignment="1">
      <alignment horizontal="left"/>
    </xf>
    <xf numFmtId="44" fontId="0" fillId="25" borderId="36" xfId="0" applyNumberFormat="1" applyFill="1" applyBorder="1"/>
    <xf numFmtId="0" fontId="3" fillId="0" borderId="38" xfId="0" applyFont="1" applyBorder="1" applyAlignment="1">
      <alignment horizontal="center"/>
    </xf>
    <xf numFmtId="0" fontId="3" fillId="0" borderId="36" xfId="0" applyFont="1" applyBorder="1" applyAlignment="1">
      <alignment horizontal="left"/>
    </xf>
    <xf numFmtId="0" fontId="9" fillId="0" borderId="0" xfId="0" applyFont="1"/>
    <xf numFmtId="0" fontId="0" fillId="0" borderId="37" xfId="0" applyBorder="1" applyAlignment="1">
      <alignment horizontal="left"/>
    </xf>
    <xf numFmtId="14" fontId="35" fillId="22" borderId="34" xfId="0" applyNumberFormat="1" applyFont="1" applyFill="1" applyBorder="1" applyAlignment="1">
      <alignment horizontal="center"/>
    </xf>
    <xf numFmtId="0" fontId="9" fillId="0" borderId="36" xfId="0" applyFont="1" applyBorder="1"/>
    <xf numFmtId="14" fontId="0" fillId="25" borderId="34" xfId="0" applyNumberFormat="1" applyFill="1" applyBorder="1" applyAlignment="1">
      <alignment horizontal="center"/>
    </xf>
    <xf numFmtId="0" fontId="0" fillId="62" borderId="37" xfId="0" applyFill="1" applyBorder="1"/>
    <xf numFmtId="44" fontId="0" fillId="62" borderId="37" xfId="1" applyFont="1" applyFill="1" applyBorder="1"/>
    <xf numFmtId="14" fontId="0" fillId="60" borderId="34" xfId="0" applyNumberFormat="1" applyFill="1" applyBorder="1" applyAlignment="1">
      <alignment horizontal="center"/>
    </xf>
    <xf numFmtId="14" fontId="0" fillId="22" borderId="0" xfId="0" applyNumberFormat="1" applyFill="1"/>
    <xf numFmtId="0" fontId="0" fillId="0" borderId="0" xfId="0" applyAlignment="1">
      <alignment horizontal="center"/>
    </xf>
    <xf numFmtId="2" fontId="0" fillId="0" borderId="34" xfId="0" applyNumberFormat="1" applyBorder="1"/>
    <xf numFmtId="14" fontId="0" fillId="60" borderId="37" xfId="0" applyNumberFormat="1" applyFill="1" applyBorder="1" applyAlignment="1">
      <alignment horizontal="center"/>
    </xf>
    <xf numFmtId="14" fontId="0" fillId="25" borderId="37" xfId="0" applyNumberFormat="1" applyFill="1" applyBorder="1" applyAlignment="1">
      <alignment horizontal="center"/>
    </xf>
    <xf numFmtId="0" fontId="0" fillId="56" borderId="37" xfId="0" applyFill="1" applyBorder="1"/>
    <xf numFmtId="44" fontId="0" fillId="56" borderId="37" xfId="0" applyNumberFormat="1" applyFill="1" applyBorder="1"/>
    <xf numFmtId="0" fontId="22" fillId="27" borderId="37" xfId="45" applyBorder="1" applyAlignment="1">
      <alignment horizontal="center"/>
    </xf>
    <xf numFmtId="14" fontId="0" fillId="12" borderId="37" xfId="0" applyNumberFormat="1" applyFill="1" applyBorder="1" applyAlignment="1">
      <alignment horizontal="center"/>
    </xf>
    <xf numFmtId="171" fontId="0" fillId="0" borderId="37" xfId="1" applyNumberFormat="1" applyFont="1" applyBorder="1"/>
    <xf numFmtId="0" fontId="9" fillId="0" borderId="37" xfId="0" applyFont="1" applyBorder="1"/>
    <xf numFmtId="14" fontId="0" fillId="57" borderId="34" xfId="0" applyNumberFormat="1" applyFill="1" applyBorder="1" applyAlignment="1">
      <alignment horizontal="center"/>
    </xf>
    <xf numFmtId="0" fontId="3" fillId="57" borderId="34" xfId="0" applyFont="1" applyFill="1" applyBorder="1"/>
    <xf numFmtId="0" fontId="0" fillId="62" borderId="0" xfId="0" applyFill="1"/>
    <xf numFmtId="3" fontId="0" fillId="0" borderId="36" xfId="0" applyNumberFormat="1" applyBorder="1"/>
    <xf numFmtId="14" fontId="0" fillId="0" borderId="34" xfId="0" applyNumberFormat="1" applyBorder="1" applyAlignment="1">
      <alignment horizontal="right"/>
    </xf>
    <xf numFmtId="14" fontId="0" fillId="58" borderId="34" xfId="0" applyNumberFormat="1" applyFill="1" applyBorder="1" applyAlignment="1">
      <alignment horizontal="center"/>
    </xf>
    <xf numFmtId="0" fontId="0" fillId="22" borderId="34" xfId="0" applyFill="1" applyBorder="1" applyAlignment="1">
      <alignment horizontal="center"/>
    </xf>
    <xf numFmtId="3" fontId="0" fillId="0" borderId="34" xfId="0" applyNumberFormat="1" applyBorder="1" applyAlignment="1">
      <alignment horizontal="left"/>
    </xf>
    <xf numFmtId="0" fontId="0" fillId="62" borderId="1" xfId="0" applyFill="1" applyBorder="1"/>
    <xf numFmtId="44" fontId="0" fillId="12" borderId="34" xfId="1" applyFont="1" applyFill="1" applyBorder="1"/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7" xfId="0" applyFont="1" applyFill="1" applyBorder="1" applyAlignment="1">
      <alignment horizontal="right"/>
    </xf>
    <xf numFmtId="0" fontId="7" fillId="0" borderId="18" xfId="0" applyFont="1" applyBorder="1"/>
    <xf numFmtId="0" fontId="7" fillId="0" borderId="19" xfId="0" applyFont="1" applyBorder="1"/>
    <xf numFmtId="0" fontId="5" fillId="2" borderId="27" xfId="0" applyFont="1" applyFill="1" applyBorder="1" applyAlignment="1">
      <alignment horizontal="right"/>
    </xf>
    <xf numFmtId="0" fontId="7" fillId="0" borderId="28" xfId="0" applyFont="1" applyBorder="1"/>
    <xf numFmtId="0" fontId="7" fillId="0" borderId="29" xfId="0" applyFont="1" applyBorder="1"/>
    <xf numFmtId="0" fontId="5" fillId="2" borderId="28" xfId="0" applyFont="1" applyFill="1" applyBorder="1" applyAlignment="1">
      <alignment horizontal="right"/>
    </xf>
  </cellXfs>
  <cellStyles count="46">
    <cellStyle name="20% - Accent1 2" xfId="22" xr:uid="{89BCBF4F-C4E5-451D-9BC1-D7C54E46FDCA}"/>
    <cellStyle name="20% - Accent2 2" xfId="26" xr:uid="{6328F437-52C9-4345-88E7-97B5AF36128B}"/>
    <cellStyle name="20% - Accent3 2" xfId="30" xr:uid="{5CF39588-0806-4B29-8CD1-EC865D84E22C}"/>
    <cellStyle name="20% - Accent4 2" xfId="34" xr:uid="{530E6E8A-7179-440D-A6FF-D70BFBDF3AB7}"/>
    <cellStyle name="20% - Accent5 2" xfId="38" xr:uid="{918C9A68-B72C-4901-959F-4DC619AD443C}"/>
    <cellStyle name="20% - Accent6 2" xfId="42" xr:uid="{574340BE-7248-42F2-B3C5-3BCDFC4A018D}"/>
    <cellStyle name="40% - Accent1 2" xfId="23" xr:uid="{F90F828A-DA59-4ADF-B5C4-F4E7FD472DCD}"/>
    <cellStyle name="40% - Accent2 2" xfId="27" xr:uid="{455F428C-4AE1-4FC3-98A7-B271D3AE6319}"/>
    <cellStyle name="40% - Accent3 2" xfId="31" xr:uid="{71B9CC2C-66E3-46BF-ACEF-C17313633EE1}"/>
    <cellStyle name="40% - Accent4 2" xfId="35" xr:uid="{20F4E2D6-C733-4395-83BC-227605DDB6B0}"/>
    <cellStyle name="40% - Accent5 2" xfId="39" xr:uid="{7461CA58-DC81-4567-A70C-FAD7E1EDEF0A}"/>
    <cellStyle name="40% - Accent6 2" xfId="43" xr:uid="{E30F9EB6-AE8B-4C19-8084-16BA3939DAAD}"/>
    <cellStyle name="60% - Accent1 2" xfId="24" xr:uid="{279B6A8B-30BD-4E74-952E-7BF414F85571}"/>
    <cellStyle name="60% - Accent2 2" xfId="28" xr:uid="{91367C0D-3942-4FE9-9296-A50ECFD4AA9C}"/>
    <cellStyle name="60% - Accent3 2" xfId="32" xr:uid="{DB051782-6885-4996-A962-7A417B963389}"/>
    <cellStyle name="60% - Accent4 2" xfId="36" xr:uid="{F5D1F9C6-F07B-42EC-A787-5309458C10C6}"/>
    <cellStyle name="60% - Accent5 2" xfId="40" xr:uid="{93EC2E22-9C45-43C7-8502-C752CB86DAFB}"/>
    <cellStyle name="60% - Accent6 2" xfId="44" xr:uid="{D90FB73A-AED1-473D-8424-36F31BBB40E2}"/>
    <cellStyle name="Accent1 2" xfId="21" xr:uid="{F3F672C2-5452-43BB-A296-3D771B31CDC5}"/>
    <cellStyle name="Accent2 2" xfId="25" xr:uid="{E7FED0B4-30E1-47FF-AEE8-A56D3C0251E5}"/>
    <cellStyle name="Accent3 2" xfId="29" xr:uid="{CF99F834-5021-4D36-B7C9-D80AB7F7ED66}"/>
    <cellStyle name="Accent4 2" xfId="33" xr:uid="{4C791761-06A9-4B8A-848E-8C044836D382}"/>
    <cellStyle name="Accent5 2" xfId="37" xr:uid="{8D87BF5C-DEC4-4058-89E0-E41FB7671192}"/>
    <cellStyle name="Accent6 2" xfId="41" xr:uid="{A2E6849F-AAD6-42CB-9751-33DBEDF75170}"/>
    <cellStyle name="Bad 2" xfId="16" xr:uid="{2E06DFEC-AA3B-4C4F-AC73-8EF105DB76E2}"/>
    <cellStyle name="Calculation" xfId="8" builtinId="22" customBuiltin="1"/>
    <cellStyle name="Check Cell" xfId="10" builtinId="23" customBuiltin="1"/>
    <cellStyle name="Currency" xfId="1" builtinId="4"/>
    <cellStyle name="Explanatory Text 2" xfId="20" xr:uid="{26CC2A33-684E-4857-BF69-1365FEF61854}"/>
    <cellStyle name="Good" xfId="2" builtinId="26"/>
    <cellStyle name="Good 2" xfId="15" xr:uid="{8D7173FD-113C-4084-84B5-DF74427ED002}"/>
    <cellStyle name="Heading 1" xfId="3" builtinId="16" customBuiltin="1"/>
    <cellStyle name="Heading 2" xfId="4" builtinId="17" customBuiltin="1"/>
    <cellStyle name="Heading 3" xfId="5" builtinId="18" customBuiltin="1"/>
    <cellStyle name="Heading 4 2" xfId="14" xr:uid="{7D846C43-E021-4B33-AA9D-3CD3F09E041E}"/>
    <cellStyle name="Input" xfId="6" builtinId="20" customBuiltin="1"/>
    <cellStyle name="Linked Cell" xfId="9" builtinId="24" customBuiltin="1"/>
    <cellStyle name="Neutral" xfId="45" builtinId="28"/>
    <cellStyle name="Neutral 2" xfId="17" xr:uid="{BF66B48E-DEAC-4CC1-94EB-6578DE66900E}"/>
    <cellStyle name="Normal" xfId="0" builtinId="0"/>
    <cellStyle name="Normal 2" xfId="12" xr:uid="{E7719B64-4902-4C48-9E45-020754A1D168}"/>
    <cellStyle name="Note 2" xfId="19" xr:uid="{523D895F-B1D9-4C5A-825D-99D5675204E5}"/>
    <cellStyle name="Output" xfId="7" builtinId="21" customBuiltin="1"/>
    <cellStyle name="Title 2" xfId="13" xr:uid="{47F6A3C2-4FF7-49E1-940E-C73D306CFE94}"/>
    <cellStyle name="Total" xfId="11" builtinId="25" customBuiltin="1"/>
    <cellStyle name="Warning Text 2" xfId="18" xr:uid="{192219FD-1D22-4788-B1E2-995E73B8AB4B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A receber-style" pivot="0" count="3" xr9:uid="{00000000-0011-0000-FFFF-FFFF00000000}">
      <tableStyleElement type="headerRow" dxfId="9"/>
      <tableStyleElement type="firstRowStripe" dxfId="8"/>
      <tableStyleElement type="secondRowStripe" dxfId="7"/>
    </tableStyle>
    <tableStyle name="A pagar (forn)-style" pivot="0" count="3" xr9:uid="{00000000-0011-0000-FFFF-FFFF01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và Porto" id="{EE6B8BA0-4457-4D76-8B6E-30BEF86E1591}" userId="" providerId="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6" dT="2023-11-29T12:17:27.13" personId="{EE6B8BA0-4457-4D76-8B6E-30BEF86E1591}" id="{76D3D43A-F970-4EF8-9499-D6C6A55FB214}">
    <text>VALIDAR RELATÓRIO UBER EATS PARA CONFIRMAR QUEBRA MB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900A-E8E8-40A0-BF1F-333B7147B404}">
  <dimension ref="A1:D11"/>
  <sheetViews>
    <sheetView workbookViewId="0">
      <selection activeCell="C8" sqref="C8:C10"/>
    </sheetView>
  </sheetViews>
  <sheetFormatPr defaultRowHeight="15.5" x14ac:dyDescent="0.35"/>
  <cols>
    <col min="1" max="1" width="12.83203125" customWidth="1"/>
    <col min="3" max="3" width="12.33203125" customWidth="1"/>
  </cols>
  <sheetData>
    <row r="1" spans="1:4" x14ac:dyDescent="0.35">
      <c r="A1" t="s">
        <v>0</v>
      </c>
      <c r="C1" s="93">
        <f>50000</f>
        <v>50000</v>
      </c>
    </row>
    <row r="3" spans="1:4" x14ac:dyDescent="0.35">
      <c r="A3" t="s">
        <v>1</v>
      </c>
      <c r="C3" s="93">
        <v>7872</v>
      </c>
      <c r="D3" t="s">
        <v>2</v>
      </c>
    </row>
    <row r="4" spans="1:4" x14ac:dyDescent="0.35">
      <c r="A4" t="s">
        <v>3</v>
      </c>
      <c r="C4" s="93">
        <v>8866</v>
      </c>
      <c r="D4" t="s">
        <v>4</v>
      </c>
    </row>
    <row r="5" spans="1:4" x14ac:dyDescent="0.35">
      <c r="A5" t="s">
        <v>5</v>
      </c>
      <c r="C5" s="93">
        <v>10205</v>
      </c>
      <c r="D5" t="s">
        <v>6</v>
      </c>
    </row>
    <row r="6" spans="1:4" x14ac:dyDescent="0.35">
      <c r="A6" t="s">
        <v>7</v>
      </c>
      <c r="C6" s="93">
        <v>2700</v>
      </c>
      <c r="D6" t="s">
        <v>8</v>
      </c>
    </row>
    <row r="7" spans="1:4" x14ac:dyDescent="0.35">
      <c r="A7" t="s">
        <v>9</v>
      </c>
      <c r="C7" s="93">
        <v>869</v>
      </c>
      <c r="D7" t="s">
        <v>10</v>
      </c>
    </row>
    <row r="8" spans="1:4" x14ac:dyDescent="0.35">
      <c r="A8" t="s">
        <v>11</v>
      </c>
      <c r="C8">
        <v>2937.73</v>
      </c>
      <c r="D8" t="s">
        <v>12</v>
      </c>
    </row>
    <row r="9" spans="1:4" x14ac:dyDescent="0.35">
      <c r="A9" t="s">
        <v>13</v>
      </c>
      <c r="C9" s="93">
        <v>526</v>
      </c>
      <c r="D9" t="s">
        <v>14</v>
      </c>
    </row>
    <row r="10" spans="1:4" x14ac:dyDescent="0.35">
      <c r="A10" t="s">
        <v>15</v>
      </c>
      <c r="C10">
        <v>1878.38</v>
      </c>
      <c r="D10" t="s">
        <v>16</v>
      </c>
    </row>
    <row r="11" spans="1:4" x14ac:dyDescent="0.35">
      <c r="A11" t="s">
        <v>17</v>
      </c>
      <c r="C11">
        <v>1166.5</v>
      </c>
      <c r="D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89AD-E874-4CF5-9BEF-0FCD9535CF27}">
  <sheetPr>
    <tabColor theme="6"/>
    <pageSetUpPr fitToPage="1"/>
  </sheetPr>
  <dimension ref="A1:O1048560"/>
  <sheetViews>
    <sheetView tabSelected="1" zoomScale="78" zoomScaleNormal="80" workbookViewId="0">
      <selection activeCell="C1919" sqref="C1919"/>
    </sheetView>
  </sheetViews>
  <sheetFormatPr defaultColWidth="9" defaultRowHeight="15.5" x14ac:dyDescent="0.35"/>
  <cols>
    <col min="1" max="1" width="11.33203125" style="111" bestFit="1" customWidth="1"/>
    <col min="2" max="2" width="13.58203125" style="111" customWidth="1"/>
    <col min="3" max="3" width="34.08203125" style="111" customWidth="1"/>
    <col min="4" max="4" width="20.5" style="111" bestFit="1" customWidth="1"/>
    <col min="5" max="5" width="17.58203125" style="111" customWidth="1"/>
    <col min="6" max="6" width="12.75" style="168" bestFit="1" customWidth="1"/>
    <col min="7" max="7" width="15" style="133" bestFit="1" customWidth="1"/>
    <col min="8" max="8" width="17.33203125" style="133" customWidth="1"/>
    <col min="9" max="9" width="21.25" style="133" customWidth="1"/>
    <col min="10" max="10" width="18.58203125" style="111" customWidth="1"/>
    <col min="11" max="11" width="11.33203125" style="160" bestFit="1" customWidth="1"/>
    <col min="12" max="12" width="12.5" style="111" hidden="1" customWidth="1"/>
    <col min="13" max="13" width="57.83203125" style="196" customWidth="1"/>
    <col min="14" max="16384" width="9" style="111"/>
  </cols>
  <sheetData>
    <row r="1" spans="1:13" ht="16.5" customHeight="1" x14ac:dyDescent="0.35">
      <c r="A1" s="130" t="s">
        <v>64</v>
      </c>
      <c r="B1" s="130" t="s">
        <v>56</v>
      </c>
      <c r="C1" s="130" t="s">
        <v>108</v>
      </c>
      <c r="D1" s="130" t="s">
        <v>109</v>
      </c>
      <c r="E1" s="130" t="s">
        <v>110</v>
      </c>
      <c r="F1" s="163" t="s">
        <v>111</v>
      </c>
      <c r="G1" s="132" t="s">
        <v>112</v>
      </c>
      <c r="H1" s="132" t="s">
        <v>58</v>
      </c>
      <c r="I1" s="132" t="s">
        <v>113</v>
      </c>
      <c r="J1" s="130" t="s">
        <v>114</v>
      </c>
      <c r="K1" s="162" t="s">
        <v>115</v>
      </c>
      <c r="L1" s="163" t="s">
        <v>116</v>
      </c>
      <c r="M1" s="195" t="s">
        <v>117</v>
      </c>
    </row>
    <row r="2" spans="1:13" s="76" customFormat="1" x14ac:dyDescent="0.35">
      <c r="A2" s="178">
        <v>45756</v>
      </c>
      <c r="B2" s="145" t="s">
        <v>65</v>
      </c>
      <c r="C2" s="145" t="s">
        <v>67</v>
      </c>
      <c r="D2" s="145"/>
      <c r="E2" s="145" t="s">
        <v>118</v>
      </c>
      <c r="F2" s="169">
        <v>-67.22</v>
      </c>
      <c r="G2" s="138"/>
      <c r="H2" s="148" t="s">
        <v>66</v>
      </c>
      <c r="I2" s="147" t="s">
        <v>119</v>
      </c>
      <c r="J2" s="145"/>
      <c r="K2" s="188">
        <v>45782</v>
      </c>
      <c r="L2" s="145">
        <f t="shared" ref="L2:L7" si="0">F2</f>
        <v>-67.22</v>
      </c>
      <c r="M2" s="145"/>
    </row>
    <row r="3" spans="1:13" customFormat="1" x14ac:dyDescent="0.35">
      <c r="A3" s="160">
        <v>45128</v>
      </c>
      <c r="B3" s="111" t="s">
        <v>65</v>
      </c>
      <c r="C3" s="111" t="s">
        <v>68</v>
      </c>
      <c r="D3" s="111"/>
      <c r="E3" s="111">
        <v>5159</v>
      </c>
      <c r="F3" s="131">
        <v>-99.26</v>
      </c>
      <c r="G3" s="135"/>
      <c r="H3" s="133" t="s">
        <v>66</v>
      </c>
      <c r="I3" s="133"/>
      <c r="J3" s="111"/>
      <c r="K3" s="160"/>
      <c r="L3" s="136">
        <f t="shared" si="0"/>
        <v>-99.26</v>
      </c>
      <c r="M3" s="111" t="s">
        <v>120</v>
      </c>
    </row>
    <row r="4" spans="1:13" customFormat="1" x14ac:dyDescent="0.35">
      <c r="A4" s="160">
        <v>45194</v>
      </c>
      <c r="B4" s="111" t="s">
        <v>65</v>
      </c>
      <c r="C4" s="111" t="s">
        <v>121</v>
      </c>
      <c r="D4" s="111"/>
      <c r="E4" s="111" t="s">
        <v>122</v>
      </c>
      <c r="F4" s="131">
        <v>-34.42</v>
      </c>
      <c r="G4" s="135"/>
      <c r="H4" s="133" t="s">
        <v>66</v>
      </c>
      <c r="I4" s="133"/>
      <c r="J4" s="111"/>
      <c r="K4" s="160"/>
      <c r="L4" s="136">
        <f t="shared" si="0"/>
        <v>-34.42</v>
      </c>
      <c r="M4" s="111" t="s">
        <v>123</v>
      </c>
    </row>
    <row r="5" spans="1:13" customFormat="1" x14ac:dyDescent="0.35">
      <c r="A5" s="160">
        <v>45196</v>
      </c>
      <c r="B5" s="111" t="s">
        <v>65</v>
      </c>
      <c r="C5" s="111" t="s">
        <v>121</v>
      </c>
      <c r="D5" s="111"/>
      <c r="E5" s="111" t="s">
        <v>124</v>
      </c>
      <c r="F5" s="131">
        <v>-127.5</v>
      </c>
      <c r="G5" s="135"/>
      <c r="H5" s="133" t="s">
        <v>66</v>
      </c>
      <c r="I5" s="133"/>
      <c r="J5" s="111"/>
      <c r="K5" s="160"/>
      <c r="L5" s="136">
        <f t="shared" si="0"/>
        <v>-127.5</v>
      </c>
      <c r="M5" s="111" t="s">
        <v>125</v>
      </c>
    </row>
    <row r="6" spans="1:13" customFormat="1" x14ac:dyDescent="0.35">
      <c r="A6" s="160">
        <v>45259</v>
      </c>
      <c r="B6" s="111" t="s">
        <v>65</v>
      </c>
      <c r="C6" s="111" t="s">
        <v>121</v>
      </c>
      <c r="D6" s="111"/>
      <c r="E6" s="111" t="s">
        <v>126</v>
      </c>
      <c r="F6" s="131">
        <v>-111.51</v>
      </c>
      <c r="G6" s="135"/>
      <c r="H6" s="133" t="s">
        <v>66</v>
      </c>
      <c r="I6" s="133"/>
      <c r="J6" s="111"/>
      <c r="K6" s="160"/>
      <c r="L6" s="136">
        <f t="shared" si="0"/>
        <v>-111.51</v>
      </c>
      <c r="M6" s="111" t="s">
        <v>123</v>
      </c>
    </row>
    <row r="7" spans="1:13" customFormat="1" x14ac:dyDescent="0.35">
      <c r="A7" s="160">
        <v>45341</v>
      </c>
      <c r="B7" s="111" t="s">
        <v>65</v>
      </c>
      <c r="C7" s="111" t="s">
        <v>68</v>
      </c>
      <c r="D7" s="111"/>
      <c r="E7" s="111" t="s">
        <v>127</v>
      </c>
      <c r="F7" s="131">
        <v>-180.1</v>
      </c>
      <c r="G7" s="135"/>
      <c r="H7" s="133" t="s">
        <v>66</v>
      </c>
      <c r="I7" s="133"/>
      <c r="J7" s="111"/>
      <c r="K7" s="160"/>
      <c r="L7" s="136">
        <f t="shared" si="0"/>
        <v>-180.1</v>
      </c>
      <c r="M7" s="111" t="s">
        <v>123</v>
      </c>
    </row>
    <row r="8" spans="1:13" customFormat="1" x14ac:dyDescent="0.35">
      <c r="A8" s="109">
        <v>45796</v>
      </c>
      <c r="B8" s="121" t="s">
        <v>65</v>
      </c>
      <c r="C8" s="121" t="s">
        <v>121</v>
      </c>
      <c r="D8" s="111"/>
      <c r="E8" s="121" t="s">
        <v>128</v>
      </c>
      <c r="F8" s="153">
        <v>-311</v>
      </c>
      <c r="G8" s="135"/>
      <c r="H8" s="134" t="s">
        <v>66</v>
      </c>
      <c r="I8" s="134" t="s">
        <v>119</v>
      </c>
      <c r="J8" s="111"/>
      <c r="K8" s="135">
        <v>45796</v>
      </c>
      <c r="L8" s="111"/>
      <c r="M8" s="111"/>
    </row>
    <row r="9" spans="1:13" customFormat="1" x14ac:dyDescent="0.35">
      <c r="A9" s="160">
        <v>45514</v>
      </c>
      <c r="B9" s="111" t="s">
        <v>65</v>
      </c>
      <c r="C9" s="111" t="s">
        <v>129</v>
      </c>
      <c r="D9" s="111"/>
      <c r="E9" s="111" t="s">
        <v>130</v>
      </c>
      <c r="F9" s="131">
        <v>-166.05</v>
      </c>
      <c r="G9" s="135"/>
      <c r="H9" s="133" t="s">
        <v>66</v>
      </c>
      <c r="I9" s="133" t="s">
        <v>131</v>
      </c>
      <c r="J9" s="111"/>
      <c r="K9" s="160"/>
      <c r="L9" s="136">
        <f>F9</f>
        <v>-166.05</v>
      </c>
      <c r="M9" s="111" t="s">
        <v>132</v>
      </c>
    </row>
    <row r="10" spans="1:13" x14ac:dyDescent="0.35">
      <c r="A10" s="109">
        <v>45812</v>
      </c>
      <c r="B10" s="111" t="s">
        <v>57</v>
      </c>
      <c r="C10" s="111" t="s">
        <v>133</v>
      </c>
      <c r="E10" s="111" t="s">
        <v>134</v>
      </c>
      <c r="F10" s="153">
        <v>75</v>
      </c>
      <c r="H10" s="133" t="s">
        <v>66</v>
      </c>
      <c r="I10" s="133" t="s">
        <v>135</v>
      </c>
      <c r="K10" s="160">
        <v>45819</v>
      </c>
      <c r="L10" s="111">
        <f>F10</f>
        <v>75</v>
      </c>
      <c r="M10" s="111"/>
    </row>
    <row r="11" spans="1:13" s="76" customFormat="1" x14ac:dyDescent="0.35">
      <c r="A11" s="160">
        <v>45303</v>
      </c>
      <c r="B11" s="145" t="s">
        <v>65</v>
      </c>
      <c r="C11" s="145" t="s">
        <v>11</v>
      </c>
      <c r="D11" s="145"/>
      <c r="E11" s="145"/>
      <c r="F11" s="146">
        <v>-2937.73</v>
      </c>
      <c r="G11" s="138"/>
      <c r="H11" s="147" t="s">
        <v>66</v>
      </c>
      <c r="I11" s="147"/>
      <c r="J11" s="145"/>
      <c r="K11" s="161"/>
      <c r="L11" s="136">
        <f>F11</f>
        <v>-2937.73</v>
      </c>
      <c r="M11" s="145" t="s">
        <v>12</v>
      </c>
    </row>
    <row r="12" spans="1:13" customFormat="1" x14ac:dyDescent="0.35">
      <c r="A12" s="109">
        <v>45786</v>
      </c>
      <c r="B12" s="111" t="s">
        <v>65</v>
      </c>
      <c r="C12" s="111" t="s">
        <v>11</v>
      </c>
      <c r="D12" s="111"/>
      <c r="E12" s="111" t="s">
        <v>136</v>
      </c>
      <c r="F12" s="153">
        <v>-1562.44</v>
      </c>
      <c r="G12" s="135"/>
      <c r="H12" s="133" t="s">
        <v>66</v>
      </c>
      <c r="I12" s="133" t="s">
        <v>119</v>
      </c>
      <c r="J12" s="111"/>
      <c r="K12" s="160">
        <v>45789</v>
      </c>
      <c r="L12" s="111"/>
      <c r="M12" s="111" t="s">
        <v>12</v>
      </c>
    </row>
    <row r="13" spans="1:13" customFormat="1" x14ac:dyDescent="0.35">
      <c r="A13" s="160">
        <v>45303</v>
      </c>
      <c r="B13" s="111" t="s">
        <v>65</v>
      </c>
      <c r="C13" s="111" t="s">
        <v>39</v>
      </c>
      <c r="D13" s="111"/>
      <c r="E13" s="111">
        <v>74548945</v>
      </c>
      <c r="F13" s="131">
        <v>-15.23</v>
      </c>
      <c r="G13" s="135"/>
      <c r="H13" s="133" t="s">
        <v>66</v>
      </c>
      <c r="I13" s="133"/>
      <c r="J13" s="111"/>
      <c r="K13" s="160"/>
      <c r="L13" s="136">
        <f>F13</f>
        <v>-15.23</v>
      </c>
      <c r="M13" s="111" t="s">
        <v>137</v>
      </c>
    </row>
    <row r="14" spans="1:13" customFormat="1" x14ac:dyDescent="0.35">
      <c r="A14" s="109">
        <v>45784</v>
      </c>
      <c r="B14" s="111" t="s">
        <v>65</v>
      </c>
      <c r="C14" s="111" t="s">
        <v>138</v>
      </c>
      <c r="D14" s="111"/>
      <c r="E14" s="111"/>
      <c r="F14" s="153">
        <v>-1590.79</v>
      </c>
      <c r="G14" s="135">
        <v>45787</v>
      </c>
      <c r="H14" s="133" t="s">
        <v>66</v>
      </c>
      <c r="I14" s="133" t="s">
        <v>119</v>
      </c>
      <c r="J14" s="111"/>
      <c r="K14" s="160">
        <v>45786</v>
      </c>
      <c r="L14" s="153">
        <f>F14</f>
        <v>-1590.79</v>
      </c>
      <c r="M14" s="111" t="s">
        <v>139</v>
      </c>
    </row>
    <row r="15" spans="1:13" customFormat="1" x14ac:dyDescent="0.35">
      <c r="A15" s="111"/>
      <c r="B15" s="111" t="s">
        <v>65</v>
      </c>
      <c r="C15" s="111" t="s">
        <v>140</v>
      </c>
      <c r="D15" s="111"/>
      <c r="E15" s="111"/>
      <c r="F15" s="153">
        <v>-400</v>
      </c>
      <c r="G15" s="133"/>
      <c r="H15" s="134" t="s">
        <v>66</v>
      </c>
      <c r="I15" s="133" t="s">
        <v>119</v>
      </c>
      <c r="J15" s="111"/>
      <c r="K15" s="160">
        <v>45912</v>
      </c>
      <c r="L15" s="111"/>
      <c r="M15" s="196" t="s">
        <v>141</v>
      </c>
    </row>
    <row r="16" spans="1:13" customFormat="1" x14ac:dyDescent="0.35">
      <c r="A16" s="109">
        <v>45939</v>
      </c>
      <c r="B16" s="121" t="s">
        <v>65</v>
      </c>
      <c r="C16" s="121" t="s">
        <v>142</v>
      </c>
      <c r="D16" s="111"/>
      <c r="E16" s="121" t="s">
        <v>143</v>
      </c>
      <c r="F16" s="153">
        <v>-13000</v>
      </c>
      <c r="G16" s="133"/>
      <c r="H16" s="134" t="s">
        <v>144</v>
      </c>
      <c r="I16" s="134" t="s">
        <v>145</v>
      </c>
      <c r="J16" s="111"/>
      <c r="K16" s="160"/>
      <c r="L16" s="111"/>
      <c r="M16" s="186" t="s">
        <v>146</v>
      </c>
    </row>
    <row r="17" spans="1:13" customFormat="1" x14ac:dyDescent="0.35">
      <c r="A17" s="109">
        <v>45853</v>
      </c>
      <c r="B17" s="111" t="s">
        <v>65</v>
      </c>
      <c r="C17" s="111" t="s">
        <v>140</v>
      </c>
      <c r="D17" s="111"/>
      <c r="E17" s="111"/>
      <c r="F17" s="153">
        <v>-400</v>
      </c>
      <c r="G17" s="133"/>
      <c r="H17" s="133" t="s">
        <v>66</v>
      </c>
      <c r="I17" s="133" t="s">
        <v>119</v>
      </c>
      <c r="J17" s="111"/>
      <c r="K17" s="135"/>
      <c r="L17" s="111"/>
      <c r="M17" s="196" t="s">
        <v>147</v>
      </c>
    </row>
    <row r="18" spans="1:13" customFormat="1" x14ac:dyDescent="0.35">
      <c r="A18" s="109">
        <v>45748</v>
      </c>
      <c r="B18" s="111" t="s">
        <v>65</v>
      </c>
      <c r="C18" s="111" t="s">
        <v>140</v>
      </c>
      <c r="D18" s="111"/>
      <c r="E18" s="111"/>
      <c r="F18" s="153">
        <v>-600</v>
      </c>
      <c r="G18" s="133"/>
      <c r="H18" s="133" t="s">
        <v>66</v>
      </c>
      <c r="I18" s="133" t="s">
        <v>119</v>
      </c>
      <c r="J18" s="111"/>
      <c r="K18" s="135"/>
      <c r="L18" s="111"/>
      <c r="M18" s="196" t="s">
        <v>148</v>
      </c>
    </row>
    <row r="19" spans="1:13" customFormat="1" x14ac:dyDescent="0.35">
      <c r="A19" s="111"/>
      <c r="B19" s="111" t="s">
        <v>65</v>
      </c>
      <c r="C19" s="111" t="s">
        <v>140</v>
      </c>
      <c r="D19" s="111"/>
      <c r="E19" s="111"/>
      <c r="F19" s="153">
        <v>-400</v>
      </c>
      <c r="G19" s="135">
        <v>45962</v>
      </c>
      <c r="H19" s="133" t="s">
        <v>66</v>
      </c>
      <c r="I19" s="133" t="s">
        <v>119</v>
      </c>
      <c r="J19" s="111"/>
      <c r="K19" s="135">
        <v>45972</v>
      </c>
      <c r="L19" s="111"/>
      <c r="M19" s="196" t="s">
        <v>149</v>
      </c>
    </row>
    <row r="20" spans="1:13" customFormat="1" x14ac:dyDescent="0.35">
      <c r="A20" s="176"/>
      <c r="B20" s="140" t="s">
        <v>65</v>
      </c>
      <c r="C20" s="140" t="s">
        <v>140</v>
      </c>
      <c r="D20" s="140"/>
      <c r="E20" s="140"/>
      <c r="F20" s="174">
        <v>-400</v>
      </c>
      <c r="G20" s="177">
        <v>46023</v>
      </c>
      <c r="H20" s="142" t="s">
        <v>66</v>
      </c>
      <c r="I20" s="142" t="s">
        <v>119</v>
      </c>
      <c r="J20" s="111"/>
      <c r="K20" s="135">
        <v>46038</v>
      </c>
      <c r="L20" s="196" t="s">
        <v>149</v>
      </c>
      <c r="M20" s="196" t="s">
        <v>150</v>
      </c>
    </row>
    <row r="21" spans="1:13" customFormat="1" x14ac:dyDescent="0.35">
      <c r="A21" s="111"/>
      <c r="B21" s="111" t="s">
        <v>65</v>
      </c>
      <c r="C21" s="111" t="s">
        <v>140</v>
      </c>
      <c r="D21" s="111"/>
      <c r="E21" s="111"/>
      <c r="F21" s="153">
        <v>-400</v>
      </c>
      <c r="G21" s="135">
        <v>46082</v>
      </c>
      <c r="H21" s="134" t="s">
        <v>66</v>
      </c>
      <c r="I21" s="133" t="s">
        <v>119</v>
      </c>
      <c r="J21" s="111"/>
      <c r="K21" s="135">
        <v>46090</v>
      </c>
      <c r="L21" s="196" t="s">
        <v>149</v>
      </c>
      <c r="M21" s="196" t="s">
        <v>151</v>
      </c>
    </row>
    <row r="22" spans="1:13" customFormat="1" x14ac:dyDescent="0.35">
      <c r="A22" s="109">
        <v>45566</v>
      </c>
      <c r="B22" s="111" t="s">
        <v>65</v>
      </c>
      <c r="C22" s="111" t="s">
        <v>30</v>
      </c>
      <c r="D22" s="111"/>
      <c r="E22" s="111" t="s">
        <v>152</v>
      </c>
      <c r="F22" s="131">
        <v>-42.52</v>
      </c>
      <c r="G22" s="135"/>
      <c r="H22" s="133" t="s">
        <v>66</v>
      </c>
      <c r="I22" s="133" t="s">
        <v>119</v>
      </c>
      <c r="J22" s="111"/>
      <c r="K22" s="135">
        <v>45454</v>
      </c>
      <c r="L22" s="153">
        <f t="shared" ref="L22:L46" si="1">F22</f>
        <v>-42.52</v>
      </c>
      <c r="M22" s="111" t="s">
        <v>153</v>
      </c>
    </row>
    <row r="23" spans="1:13" customFormat="1" x14ac:dyDescent="0.35">
      <c r="A23" s="109">
        <v>45587</v>
      </c>
      <c r="B23" s="111" t="s">
        <v>65</v>
      </c>
      <c r="C23" s="111" t="s">
        <v>30</v>
      </c>
      <c r="D23" s="111"/>
      <c r="E23" s="111" t="s">
        <v>154</v>
      </c>
      <c r="F23" s="131">
        <v>-87.38</v>
      </c>
      <c r="G23" s="135"/>
      <c r="H23" s="133" t="s">
        <v>66</v>
      </c>
      <c r="I23" s="133" t="s">
        <v>119</v>
      </c>
      <c r="J23" s="111"/>
      <c r="K23" s="135">
        <v>45454</v>
      </c>
      <c r="L23" s="153">
        <f t="shared" si="1"/>
        <v>-87.38</v>
      </c>
      <c r="M23" s="111" t="s">
        <v>153</v>
      </c>
    </row>
    <row r="24" spans="1:13" customFormat="1" x14ac:dyDescent="0.35">
      <c r="A24" s="109">
        <v>45595</v>
      </c>
      <c r="B24" s="111" t="s">
        <v>65</v>
      </c>
      <c r="C24" s="111" t="s">
        <v>30</v>
      </c>
      <c r="D24" s="111"/>
      <c r="E24" s="111" t="s">
        <v>155</v>
      </c>
      <c r="F24" s="131">
        <v>-139.66999999999999</v>
      </c>
      <c r="G24" s="135"/>
      <c r="H24" s="133" t="s">
        <v>66</v>
      </c>
      <c r="I24" s="133" t="s">
        <v>119</v>
      </c>
      <c r="J24" s="111"/>
      <c r="K24" s="135">
        <v>45454</v>
      </c>
      <c r="L24" s="153">
        <f t="shared" si="1"/>
        <v>-139.66999999999999</v>
      </c>
      <c r="M24" s="111" t="s">
        <v>153</v>
      </c>
    </row>
    <row r="25" spans="1:13" customFormat="1" x14ac:dyDescent="0.35">
      <c r="A25" s="109">
        <v>45601</v>
      </c>
      <c r="B25" s="111" t="s">
        <v>65</v>
      </c>
      <c r="C25" s="111" t="s">
        <v>30</v>
      </c>
      <c r="D25" s="111"/>
      <c r="E25" s="111" t="s">
        <v>156</v>
      </c>
      <c r="F25" s="131">
        <v>-152.34</v>
      </c>
      <c r="G25" s="135"/>
      <c r="H25" s="133" t="s">
        <v>66</v>
      </c>
      <c r="I25" s="133" t="s">
        <v>119</v>
      </c>
      <c r="J25" s="111"/>
      <c r="K25" s="135">
        <v>45455</v>
      </c>
      <c r="L25" s="153">
        <f t="shared" si="1"/>
        <v>-152.34</v>
      </c>
      <c r="M25" s="111"/>
    </row>
    <row r="26" spans="1:13" customFormat="1" x14ac:dyDescent="0.35">
      <c r="A26" s="109">
        <v>45601</v>
      </c>
      <c r="B26" s="111" t="s">
        <v>65</v>
      </c>
      <c r="C26" s="111" t="s">
        <v>30</v>
      </c>
      <c r="D26" s="111"/>
      <c r="E26" s="111" t="s">
        <v>157</v>
      </c>
      <c r="F26" s="131">
        <v>-14.51</v>
      </c>
      <c r="G26" s="135"/>
      <c r="H26" s="133" t="s">
        <v>66</v>
      </c>
      <c r="I26" s="133" t="s">
        <v>119</v>
      </c>
      <c r="J26" s="111"/>
      <c r="K26" s="135">
        <v>45455</v>
      </c>
      <c r="L26" s="153">
        <f t="shared" si="1"/>
        <v>-14.51</v>
      </c>
      <c r="M26" s="111"/>
    </row>
    <row r="27" spans="1:13" customFormat="1" x14ac:dyDescent="0.35">
      <c r="A27" s="109">
        <v>45608</v>
      </c>
      <c r="B27" s="111" t="s">
        <v>65</v>
      </c>
      <c r="C27" s="111" t="s">
        <v>30</v>
      </c>
      <c r="D27" s="111"/>
      <c r="E27" s="111" t="s">
        <v>158</v>
      </c>
      <c r="F27" s="131">
        <v>-21.27</v>
      </c>
      <c r="G27" s="135"/>
      <c r="H27" s="133" t="s">
        <v>66</v>
      </c>
      <c r="I27" s="133" t="s">
        <v>119</v>
      </c>
      <c r="J27" s="111"/>
      <c r="K27" s="135">
        <v>45455</v>
      </c>
      <c r="L27" s="153">
        <f t="shared" si="1"/>
        <v>-21.27</v>
      </c>
      <c r="M27" s="111"/>
    </row>
    <row r="28" spans="1:13" customFormat="1" x14ac:dyDescent="0.35">
      <c r="A28" s="109">
        <v>45615</v>
      </c>
      <c r="B28" s="111" t="s">
        <v>65</v>
      </c>
      <c r="C28" s="111" t="s">
        <v>30</v>
      </c>
      <c r="D28" s="111"/>
      <c r="E28" s="111" t="s">
        <v>159</v>
      </c>
      <c r="F28" s="131">
        <v>-83.34</v>
      </c>
      <c r="G28" s="135">
        <v>45615</v>
      </c>
      <c r="H28" s="133" t="s">
        <v>66</v>
      </c>
      <c r="I28" s="133" t="s">
        <v>119</v>
      </c>
      <c r="J28" s="111"/>
      <c r="K28" s="135">
        <v>45455</v>
      </c>
      <c r="L28" s="153">
        <f t="shared" si="1"/>
        <v>-83.34</v>
      </c>
      <c r="M28" s="111"/>
    </row>
    <row r="29" spans="1:13" customFormat="1" x14ac:dyDescent="0.35">
      <c r="A29" s="109">
        <v>45622</v>
      </c>
      <c r="B29" s="111" t="s">
        <v>65</v>
      </c>
      <c r="C29" s="111" t="s">
        <v>30</v>
      </c>
      <c r="D29" s="111"/>
      <c r="E29" s="111" t="s">
        <v>160</v>
      </c>
      <c r="F29" s="131">
        <v>-33.1</v>
      </c>
      <c r="G29" s="135">
        <v>45622</v>
      </c>
      <c r="H29" s="133" t="s">
        <v>66</v>
      </c>
      <c r="I29" s="133" t="s">
        <v>119</v>
      </c>
      <c r="J29" s="111"/>
      <c r="K29" s="135">
        <v>45455</v>
      </c>
      <c r="L29" s="153">
        <f t="shared" si="1"/>
        <v>-33.1</v>
      </c>
      <c r="M29" s="111"/>
    </row>
    <row r="30" spans="1:13" customFormat="1" x14ac:dyDescent="0.35">
      <c r="A30" s="109">
        <v>45684</v>
      </c>
      <c r="B30" s="111" t="s">
        <v>65</v>
      </c>
      <c r="C30" s="111" t="s">
        <v>30</v>
      </c>
      <c r="D30" s="111"/>
      <c r="E30" s="111" t="s">
        <v>161</v>
      </c>
      <c r="F30" s="149">
        <v>-114.43</v>
      </c>
      <c r="G30" s="135">
        <v>45684</v>
      </c>
      <c r="H30" s="133" t="s">
        <v>66</v>
      </c>
      <c r="I30" s="133" t="s">
        <v>119</v>
      </c>
      <c r="J30" s="111"/>
      <c r="K30" s="135">
        <v>45695</v>
      </c>
      <c r="L30" s="153">
        <f t="shared" si="1"/>
        <v>-114.43</v>
      </c>
      <c r="M30" s="111"/>
    </row>
    <row r="31" spans="1:13" customFormat="1" x14ac:dyDescent="0.35">
      <c r="A31" s="109">
        <v>45684</v>
      </c>
      <c r="B31" s="111" t="s">
        <v>65</v>
      </c>
      <c r="C31" s="111" t="s">
        <v>30</v>
      </c>
      <c r="D31" s="111"/>
      <c r="E31" s="111" t="s">
        <v>162</v>
      </c>
      <c r="F31" s="149">
        <v>-21.84</v>
      </c>
      <c r="G31" s="135">
        <v>45684</v>
      </c>
      <c r="H31" s="133" t="s">
        <v>66</v>
      </c>
      <c r="I31" s="133" t="s">
        <v>119</v>
      </c>
      <c r="J31" s="111"/>
      <c r="K31" s="135">
        <v>45695</v>
      </c>
      <c r="L31" s="153">
        <f t="shared" si="1"/>
        <v>-21.84</v>
      </c>
      <c r="M31" s="111"/>
    </row>
    <row r="32" spans="1:13" customFormat="1" x14ac:dyDescent="0.35">
      <c r="A32" s="109">
        <v>45693</v>
      </c>
      <c r="B32" s="111" t="s">
        <v>65</v>
      </c>
      <c r="C32" s="111" t="s">
        <v>30</v>
      </c>
      <c r="D32" s="111"/>
      <c r="E32" s="111" t="s">
        <v>163</v>
      </c>
      <c r="F32" s="153">
        <v>-61.27</v>
      </c>
      <c r="G32" s="135">
        <v>45693</v>
      </c>
      <c r="H32" s="134" t="s">
        <v>66</v>
      </c>
      <c r="I32" s="133" t="s">
        <v>119</v>
      </c>
      <c r="J32" s="111"/>
      <c r="K32" s="135">
        <v>45723</v>
      </c>
      <c r="L32" s="153">
        <f t="shared" si="1"/>
        <v>-61.27</v>
      </c>
      <c r="M32" s="111"/>
    </row>
    <row r="33" spans="1:13" customFormat="1" x14ac:dyDescent="0.35">
      <c r="A33" s="109">
        <v>45707</v>
      </c>
      <c r="B33" s="111" t="s">
        <v>65</v>
      </c>
      <c r="C33" s="111" t="s">
        <v>30</v>
      </c>
      <c r="D33" s="111"/>
      <c r="E33" s="121" t="s">
        <v>164</v>
      </c>
      <c r="F33" s="153">
        <v>-52.85</v>
      </c>
      <c r="G33" s="135">
        <v>45735</v>
      </c>
      <c r="H33" s="134" t="s">
        <v>66</v>
      </c>
      <c r="I33" s="133" t="s">
        <v>119</v>
      </c>
      <c r="J33" s="111"/>
      <c r="K33" s="135">
        <v>45723</v>
      </c>
      <c r="L33" s="153">
        <f t="shared" si="1"/>
        <v>-52.85</v>
      </c>
      <c r="M33" s="111"/>
    </row>
    <row r="34" spans="1:13" customFormat="1" x14ac:dyDescent="0.35">
      <c r="A34" s="109">
        <v>45699</v>
      </c>
      <c r="B34" s="111" t="s">
        <v>65</v>
      </c>
      <c r="C34" s="111" t="s">
        <v>30</v>
      </c>
      <c r="D34" s="111"/>
      <c r="E34" s="121" t="s">
        <v>165</v>
      </c>
      <c r="F34" s="153">
        <v>-21.99</v>
      </c>
      <c r="G34" s="135">
        <v>45727</v>
      </c>
      <c r="H34" s="134" t="s">
        <v>66</v>
      </c>
      <c r="I34" s="133" t="s">
        <v>119</v>
      </c>
      <c r="J34" s="111"/>
      <c r="K34" s="135">
        <v>45723</v>
      </c>
      <c r="L34" s="153">
        <f t="shared" si="1"/>
        <v>-21.99</v>
      </c>
      <c r="M34" s="111"/>
    </row>
    <row r="35" spans="1:13" customFormat="1" x14ac:dyDescent="0.35">
      <c r="A35" s="109">
        <v>45714</v>
      </c>
      <c r="B35" s="111" t="s">
        <v>65</v>
      </c>
      <c r="C35" s="111" t="s">
        <v>30</v>
      </c>
      <c r="D35" s="111"/>
      <c r="E35" s="111" t="s">
        <v>166</v>
      </c>
      <c r="F35" s="153">
        <v>-92.79</v>
      </c>
      <c r="G35" s="135"/>
      <c r="H35" s="133" t="s">
        <v>66</v>
      </c>
      <c r="I35" s="133" t="s">
        <v>119</v>
      </c>
      <c r="J35" s="111"/>
      <c r="K35" s="135">
        <v>45727</v>
      </c>
      <c r="L35" s="153">
        <f t="shared" si="1"/>
        <v>-92.79</v>
      </c>
      <c r="M35" s="111"/>
    </row>
    <row r="36" spans="1:13" customFormat="1" x14ac:dyDescent="0.35">
      <c r="A36" s="109">
        <v>45699</v>
      </c>
      <c r="B36" s="111" t="s">
        <v>65</v>
      </c>
      <c r="C36" s="111" t="s">
        <v>30</v>
      </c>
      <c r="D36" s="111"/>
      <c r="E36" s="111" t="s">
        <v>167</v>
      </c>
      <c r="F36" s="153">
        <v>-33.17</v>
      </c>
      <c r="G36" s="135"/>
      <c r="H36" s="134" t="s">
        <v>66</v>
      </c>
      <c r="I36" s="133" t="s">
        <v>168</v>
      </c>
      <c r="J36" s="111"/>
      <c r="K36" s="135">
        <v>45751</v>
      </c>
      <c r="L36" s="111">
        <f t="shared" si="1"/>
        <v>-33.17</v>
      </c>
      <c r="M36" s="111"/>
    </row>
    <row r="37" spans="1:13" customFormat="1" x14ac:dyDescent="0.35">
      <c r="A37" s="109">
        <v>45713</v>
      </c>
      <c r="B37" s="111" t="s">
        <v>65</v>
      </c>
      <c r="C37" s="111" t="s">
        <v>30</v>
      </c>
      <c r="D37" s="111"/>
      <c r="E37" s="111" t="s">
        <v>169</v>
      </c>
      <c r="F37" s="153">
        <v>-29.86</v>
      </c>
      <c r="G37" s="135"/>
      <c r="H37" s="134" t="s">
        <v>66</v>
      </c>
      <c r="I37" s="133" t="s">
        <v>170</v>
      </c>
      <c r="J37" s="111"/>
      <c r="K37" s="135">
        <v>45751</v>
      </c>
      <c r="L37" s="153">
        <f t="shared" si="1"/>
        <v>-29.86</v>
      </c>
      <c r="M37" s="111"/>
    </row>
    <row r="38" spans="1:13" customFormat="1" x14ac:dyDescent="0.35">
      <c r="A38" s="109">
        <v>45721</v>
      </c>
      <c r="B38" s="111" t="s">
        <v>65</v>
      </c>
      <c r="C38" s="111" t="s">
        <v>30</v>
      </c>
      <c r="D38" s="111"/>
      <c r="E38" s="111" t="s">
        <v>171</v>
      </c>
      <c r="F38" s="153">
        <v>-106.49</v>
      </c>
      <c r="G38" s="135"/>
      <c r="H38" s="134" t="s">
        <v>66</v>
      </c>
      <c r="I38" s="133" t="s">
        <v>119</v>
      </c>
      <c r="J38" s="111"/>
      <c r="K38" s="135">
        <v>45751</v>
      </c>
      <c r="L38" s="153">
        <f t="shared" si="1"/>
        <v>-106.49</v>
      </c>
      <c r="M38" s="111"/>
    </row>
    <row r="39" spans="1:13" customFormat="1" x14ac:dyDescent="0.35">
      <c r="A39" s="109">
        <v>45727</v>
      </c>
      <c r="B39" s="111" t="s">
        <v>65</v>
      </c>
      <c r="C39" s="111" t="s">
        <v>30</v>
      </c>
      <c r="D39" s="111"/>
      <c r="E39" s="111" t="s">
        <v>172</v>
      </c>
      <c r="F39" s="153">
        <v>-33.17</v>
      </c>
      <c r="G39" s="135"/>
      <c r="H39" s="134" t="s">
        <v>66</v>
      </c>
      <c r="I39" s="133" t="s">
        <v>170</v>
      </c>
      <c r="J39" s="111"/>
      <c r="K39" s="135">
        <v>45751</v>
      </c>
      <c r="L39" s="153">
        <f t="shared" si="1"/>
        <v>-33.17</v>
      </c>
      <c r="M39" s="111"/>
    </row>
    <row r="40" spans="1:13" customFormat="1" x14ac:dyDescent="0.35">
      <c r="A40" s="109">
        <v>45727</v>
      </c>
      <c r="B40" s="111" t="s">
        <v>65</v>
      </c>
      <c r="C40" s="111" t="s">
        <v>30</v>
      </c>
      <c r="D40" s="111"/>
      <c r="E40" s="111" t="s">
        <v>173</v>
      </c>
      <c r="F40" s="153">
        <v>-50.09</v>
      </c>
      <c r="G40" s="135"/>
      <c r="H40" s="134" t="s">
        <v>66</v>
      </c>
      <c r="I40" s="133" t="s">
        <v>119</v>
      </c>
      <c r="J40" s="111"/>
      <c r="K40" s="135">
        <v>45751</v>
      </c>
      <c r="L40" s="153">
        <f t="shared" si="1"/>
        <v>-50.09</v>
      </c>
      <c r="M40" s="111"/>
    </row>
    <row r="41" spans="1:13" customFormat="1" x14ac:dyDescent="0.35">
      <c r="A41" s="109">
        <v>45734</v>
      </c>
      <c r="B41" s="121" t="s">
        <v>65</v>
      </c>
      <c r="C41" s="121" t="s">
        <v>30</v>
      </c>
      <c r="D41" s="111"/>
      <c r="E41" s="121" t="s">
        <v>174</v>
      </c>
      <c r="F41" s="153">
        <v>-52.85</v>
      </c>
      <c r="G41" s="135"/>
      <c r="H41" s="134" t="s">
        <v>66</v>
      </c>
      <c r="I41" s="133" t="s">
        <v>119</v>
      </c>
      <c r="J41" s="111"/>
      <c r="K41" s="135">
        <v>45751</v>
      </c>
      <c r="L41" s="111">
        <f t="shared" si="1"/>
        <v>-52.85</v>
      </c>
      <c r="M41" s="111"/>
    </row>
    <row r="42" spans="1:13" customFormat="1" x14ac:dyDescent="0.35">
      <c r="A42" s="109">
        <v>45741</v>
      </c>
      <c r="B42" s="121" t="s">
        <v>65</v>
      </c>
      <c r="C42" s="121" t="s">
        <v>30</v>
      </c>
      <c r="D42" s="111"/>
      <c r="E42" s="121" t="s">
        <v>175</v>
      </c>
      <c r="F42" s="153">
        <v>-55.17</v>
      </c>
      <c r="G42" s="135">
        <v>45771</v>
      </c>
      <c r="H42" s="133" t="s">
        <v>66</v>
      </c>
      <c r="I42" s="133" t="s">
        <v>119</v>
      </c>
      <c r="J42" s="111"/>
      <c r="K42" s="135">
        <v>45771</v>
      </c>
      <c r="L42" s="111">
        <f t="shared" si="1"/>
        <v>-55.17</v>
      </c>
      <c r="M42" s="111"/>
    </row>
    <row r="43" spans="1:13" customFormat="1" x14ac:dyDescent="0.35">
      <c r="A43" s="109">
        <v>45741</v>
      </c>
      <c r="B43" s="111" t="s">
        <v>65</v>
      </c>
      <c r="C43" s="111" t="s">
        <v>30</v>
      </c>
      <c r="D43" s="111"/>
      <c r="E43" s="111" t="s">
        <v>176</v>
      </c>
      <c r="F43" s="153">
        <v>-17.13</v>
      </c>
      <c r="G43" s="135">
        <v>45771</v>
      </c>
      <c r="H43" s="133" t="s">
        <v>66</v>
      </c>
      <c r="I43" s="133" t="s">
        <v>168</v>
      </c>
      <c r="J43" s="111"/>
      <c r="K43" s="135">
        <v>45771</v>
      </c>
      <c r="L43" s="111">
        <f t="shared" si="1"/>
        <v>-17.13</v>
      </c>
      <c r="M43" s="111"/>
    </row>
    <row r="44" spans="1:13" customFormat="1" x14ac:dyDescent="0.35">
      <c r="A44" s="109">
        <v>374466</v>
      </c>
      <c r="B44" s="111" t="s">
        <v>65</v>
      </c>
      <c r="C44" s="111" t="s">
        <v>30</v>
      </c>
      <c r="D44" s="111"/>
      <c r="E44" s="111" t="s">
        <v>177</v>
      </c>
      <c r="F44" s="153">
        <v>-111.35</v>
      </c>
      <c r="G44" s="135"/>
      <c r="H44" s="134" t="s">
        <v>66</v>
      </c>
      <c r="I44" s="133" t="s">
        <v>119</v>
      </c>
      <c r="J44" s="111"/>
      <c r="K44" s="135">
        <v>45782</v>
      </c>
      <c r="L44" s="111">
        <f t="shared" si="1"/>
        <v>-111.35</v>
      </c>
      <c r="M44" s="111"/>
    </row>
    <row r="45" spans="1:13" customFormat="1" x14ac:dyDescent="0.35">
      <c r="A45" s="109">
        <v>45762</v>
      </c>
      <c r="B45" s="111" t="s">
        <v>65</v>
      </c>
      <c r="C45" s="111" t="s">
        <v>30</v>
      </c>
      <c r="D45" s="111"/>
      <c r="E45" s="121" t="s">
        <v>178</v>
      </c>
      <c r="F45" s="153">
        <v>-38.03</v>
      </c>
      <c r="G45" s="135"/>
      <c r="H45" s="134" t="s">
        <v>66</v>
      </c>
      <c r="I45" s="133" t="s">
        <v>168</v>
      </c>
      <c r="J45" s="111"/>
      <c r="K45" s="135">
        <v>45782</v>
      </c>
      <c r="L45" s="111">
        <f t="shared" si="1"/>
        <v>-38.03</v>
      </c>
      <c r="M45" s="121" t="s">
        <v>179</v>
      </c>
    </row>
    <row r="46" spans="1:13" customFormat="1" x14ac:dyDescent="0.35">
      <c r="A46" s="109">
        <v>45762</v>
      </c>
      <c r="B46" s="111" t="s">
        <v>65</v>
      </c>
      <c r="C46" s="111" t="s">
        <v>30</v>
      </c>
      <c r="D46" s="111"/>
      <c r="E46" s="111" t="s">
        <v>180</v>
      </c>
      <c r="F46" s="153">
        <v>-98.76</v>
      </c>
      <c r="G46" s="135"/>
      <c r="H46" s="134" t="s">
        <v>66</v>
      </c>
      <c r="I46" s="133" t="s">
        <v>119</v>
      </c>
      <c r="J46" s="111"/>
      <c r="K46" s="135">
        <v>45782</v>
      </c>
      <c r="L46" s="111">
        <f t="shared" si="1"/>
        <v>-98.76</v>
      </c>
      <c r="M46" s="111"/>
    </row>
    <row r="47" spans="1:13" customFormat="1" x14ac:dyDescent="0.35">
      <c r="A47" s="109">
        <v>45762</v>
      </c>
      <c r="B47" s="111" t="s">
        <v>65</v>
      </c>
      <c r="C47" s="111" t="s">
        <v>30</v>
      </c>
      <c r="D47" s="111"/>
      <c r="E47" s="121" t="s">
        <v>178</v>
      </c>
      <c r="F47" s="153">
        <v>-38.03</v>
      </c>
      <c r="G47" s="135"/>
      <c r="H47" s="134" t="s">
        <v>66</v>
      </c>
      <c r="I47" s="134" t="s">
        <v>170</v>
      </c>
      <c r="J47" s="111"/>
      <c r="K47" s="135">
        <v>45782</v>
      </c>
      <c r="L47" s="111"/>
      <c r="M47" s="111"/>
    </row>
    <row r="48" spans="1:13" customFormat="1" x14ac:dyDescent="0.35">
      <c r="A48" s="109">
        <v>45770</v>
      </c>
      <c r="B48" s="111" t="s">
        <v>65</v>
      </c>
      <c r="C48" s="111" t="s">
        <v>30</v>
      </c>
      <c r="D48" s="111"/>
      <c r="E48" s="121" t="s">
        <v>181</v>
      </c>
      <c r="F48" s="153">
        <v>-39.130000000000003</v>
      </c>
      <c r="G48" s="135"/>
      <c r="H48" s="134" t="s">
        <v>66</v>
      </c>
      <c r="I48" s="133" t="s">
        <v>119</v>
      </c>
      <c r="J48" s="111"/>
      <c r="K48" s="135">
        <v>45782</v>
      </c>
      <c r="L48" s="111"/>
      <c r="M48" s="111"/>
    </row>
    <row r="49" spans="1:13" customFormat="1" x14ac:dyDescent="0.35">
      <c r="A49" s="109">
        <v>45776</v>
      </c>
      <c r="B49" s="111" t="s">
        <v>65</v>
      </c>
      <c r="C49" s="111" t="s">
        <v>30</v>
      </c>
      <c r="D49" s="111"/>
      <c r="E49" s="121" t="s">
        <v>182</v>
      </c>
      <c r="F49" s="153">
        <v>-175.39</v>
      </c>
      <c r="G49" s="135"/>
      <c r="H49" s="134" t="s">
        <v>66</v>
      </c>
      <c r="I49" s="133" t="s">
        <v>119</v>
      </c>
      <c r="J49" s="111"/>
      <c r="K49" s="135">
        <v>45782</v>
      </c>
      <c r="L49" s="111"/>
      <c r="M49" s="111"/>
    </row>
    <row r="50" spans="1:13" customFormat="1" x14ac:dyDescent="0.35">
      <c r="A50" s="109">
        <v>45782</v>
      </c>
      <c r="B50" s="111" t="s">
        <v>65</v>
      </c>
      <c r="C50" s="111" t="s">
        <v>30</v>
      </c>
      <c r="D50" s="111"/>
      <c r="E50" s="111" t="s">
        <v>183</v>
      </c>
      <c r="F50" s="153">
        <v>-134.44</v>
      </c>
      <c r="G50" s="135">
        <v>45812</v>
      </c>
      <c r="H50" s="134" t="s">
        <v>66</v>
      </c>
      <c r="I50" s="133" t="s">
        <v>119</v>
      </c>
      <c r="J50" s="111"/>
      <c r="K50" s="135">
        <v>45803</v>
      </c>
      <c r="L50" s="111">
        <f>F50</f>
        <v>-134.44</v>
      </c>
      <c r="M50" s="111"/>
    </row>
    <row r="51" spans="1:13" customFormat="1" x14ac:dyDescent="0.35">
      <c r="A51" s="109">
        <v>45776</v>
      </c>
      <c r="B51" s="111" t="s">
        <v>65</v>
      </c>
      <c r="C51" s="111" t="s">
        <v>30</v>
      </c>
      <c r="D51" s="111"/>
      <c r="E51" s="111" t="s">
        <v>184</v>
      </c>
      <c r="F51" s="153">
        <f>-(66.12-38.03)</f>
        <v>-28.090000000000003</v>
      </c>
      <c r="G51" s="135">
        <v>45812</v>
      </c>
      <c r="H51" s="134" t="s">
        <v>66</v>
      </c>
      <c r="I51" s="133" t="s">
        <v>168</v>
      </c>
      <c r="J51" s="111"/>
      <c r="K51" s="135">
        <v>45803</v>
      </c>
      <c r="L51" s="111">
        <f>F51</f>
        <v>-28.090000000000003</v>
      </c>
      <c r="M51" s="111" t="s">
        <v>185</v>
      </c>
    </row>
    <row r="52" spans="1:13" customFormat="1" x14ac:dyDescent="0.35">
      <c r="A52" s="109">
        <v>45789</v>
      </c>
      <c r="B52" s="111" t="s">
        <v>65</v>
      </c>
      <c r="C52" s="111" t="s">
        <v>30</v>
      </c>
      <c r="D52" s="111"/>
      <c r="E52" s="111" t="s">
        <v>186</v>
      </c>
      <c r="F52" s="153">
        <v>-79.08</v>
      </c>
      <c r="G52" s="133"/>
      <c r="H52" s="134" t="s">
        <v>66</v>
      </c>
      <c r="I52" s="133" t="s">
        <v>168</v>
      </c>
      <c r="J52" s="111"/>
      <c r="K52" s="135">
        <v>45803</v>
      </c>
      <c r="L52" s="111"/>
      <c r="M52" s="111"/>
    </row>
    <row r="53" spans="1:13" customFormat="1" x14ac:dyDescent="0.35">
      <c r="A53" s="109">
        <v>45789</v>
      </c>
      <c r="B53" s="111" t="s">
        <v>65</v>
      </c>
      <c r="C53" s="111" t="s">
        <v>30</v>
      </c>
      <c r="D53" s="111"/>
      <c r="E53" s="111" t="s">
        <v>187</v>
      </c>
      <c r="F53" s="153">
        <v>-106.49</v>
      </c>
      <c r="G53" s="133"/>
      <c r="H53" s="134" t="s">
        <v>66</v>
      </c>
      <c r="I53" s="133" t="s">
        <v>119</v>
      </c>
      <c r="J53" s="111"/>
      <c r="K53" s="135">
        <v>45803</v>
      </c>
      <c r="L53" s="111"/>
      <c r="M53" s="111"/>
    </row>
    <row r="54" spans="1:13" customFormat="1" x14ac:dyDescent="0.35">
      <c r="A54" s="109">
        <v>45629</v>
      </c>
      <c r="B54" s="111" t="s">
        <v>65</v>
      </c>
      <c r="C54" s="111" t="s">
        <v>30</v>
      </c>
      <c r="D54" s="111"/>
      <c r="E54" s="111" t="s">
        <v>188</v>
      </c>
      <c r="F54" s="131">
        <v>-49.66</v>
      </c>
      <c r="G54" s="135">
        <f>IF(OR(C54="Matosinhos",C54="Bolhão"),A54,A54+30)</f>
        <v>45659</v>
      </c>
      <c r="H54" s="133" t="s">
        <v>66</v>
      </c>
      <c r="I54" s="133" t="s">
        <v>119</v>
      </c>
      <c r="J54" s="111"/>
      <c r="K54" s="135">
        <v>45901</v>
      </c>
      <c r="L54" s="153">
        <f t="shared" ref="L54:L93" si="2">F54</f>
        <v>-49.66</v>
      </c>
      <c r="M54" s="111"/>
    </row>
    <row r="55" spans="1:13" customFormat="1" x14ac:dyDescent="0.35">
      <c r="A55" s="109">
        <v>45635</v>
      </c>
      <c r="B55" s="111" t="s">
        <v>65</v>
      </c>
      <c r="C55" s="111" t="s">
        <v>30</v>
      </c>
      <c r="D55" s="111"/>
      <c r="E55" s="111" t="s">
        <v>189</v>
      </c>
      <c r="F55" s="131">
        <v>-104.57</v>
      </c>
      <c r="G55" s="135">
        <f>IF(OR(C55="Matosinhos",C55="Bolhão"),A55,A55+30)</f>
        <v>45665</v>
      </c>
      <c r="H55" s="133" t="s">
        <v>66</v>
      </c>
      <c r="I55" s="133" t="s">
        <v>119</v>
      </c>
      <c r="J55" s="111"/>
      <c r="K55" s="135">
        <v>45901</v>
      </c>
      <c r="L55" s="153">
        <f t="shared" si="2"/>
        <v>-104.57</v>
      </c>
      <c r="M55" s="111"/>
    </row>
    <row r="56" spans="1:13" customFormat="1" x14ac:dyDescent="0.35">
      <c r="A56" s="109">
        <v>45643</v>
      </c>
      <c r="B56" s="111" t="s">
        <v>65</v>
      </c>
      <c r="C56" s="111" t="s">
        <v>30</v>
      </c>
      <c r="D56" s="111"/>
      <c r="E56" s="111" t="s">
        <v>190</v>
      </c>
      <c r="F56" s="131">
        <v>-81.510000000000005</v>
      </c>
      <c r="G56" s="135">
        <f>IF(OR(C56="Matosinhos",C56="Bolhão"),A56,A56+30)</f>
        <v>45673</v>
      </c>
      <c r="H56" s="133" t="s">
        <v>66</v>
      </c>
      <c r="I56" s="133" t="s">
        <v>119</v>
      </c>
      <c r="J56" s="111"/>
      <c r="K56" s="135">
        <v>45901</v>
      </c>
      <c r="L56" s="153">
        <f t="shared" si="2"/>
        <v>-81.510000000000005</v>
      </c>
      <c r="M56" s="111"/>
    </row>
    <row r="57" spans="1:13" customFormat="1" x14ac:dyDescent="0.35">
      <c r="A57" s="109">
        <v>45656</v>
      </c>
      <c r="B57" s="111" t="s">
        <v>65</v>
      </c>
      <c r="C57" s="111" t="s">
        <v>30</v>
      </c>
      <c r="D57" s="111"/>
      <c r="E57" s="111" t="s">
        <v>191</v>
      </c>
      <c r="F57" s="131">
        <v>-139.69999999999999</v>
      </c>
      <c r="G57" s="135">
        <f>IF(OR(C57="Matosinhos",C57="Bolhão"),A57,A57+30)</f>
        <v>45686</v>
      </c>
      <c r="H57" s="133" t="s">
        <v>66</v>
      </c>
      <c r="I57" s="133" t="s">
        <v>119</v>
      </c>
      <c r="J57" s="111"/>
      <c r="K57" s="135">
        <v>45901</v>
      </c>
      <c r="L57" s="153">
        <f t="shared" si="2"/>
        <v>-139.69999999999999</v>
      </c>
      <c r="M57" s="111"/>
    </row>
    <row r="58" spans="1:13" customFormat="1" x14ac:dyDescent="0.35">
      <c r="A58" s="109">
        <v>45103</v>
      </c>
      <c r="B58" s="111" t="s">
        <v>65</v>
      </c>
      <c r="C58" s="111" t="s">
        <v>30</v>
      </c>
      <c r="D58" s="111"/>
      <c r="E58" s="111">
        <v>1213</v>
      </c>
      <c r="F58" s="131">
        <v>-109.64</v>
      </c>
      <c r="G58" s="135"/>
      <c r="H58" s="133" t="s">
        <v>66</v>
      </c>
      <c r="I58" s="133" t="s">
        <v>119</v>
      </c>
      <c r="J58" s="111"/>
      <c r="K58" s="135"/>
      <c r="L58" s="153">
        <f t="shared" si="2"/>
        <v>-109.64</v>
      </c>
      <c r="M58" s="111" t="s">
        <v>192</v>
      </c>
    </row>
    <row r="59" spans="1:13" customFormat="1" x14ac:dyDescent="0.35">
      <c r="A59" s="109">
        <v>45119</v>
      </c>
      <c r="B59" s="111" t="s">
        <v>65</v>
      </c>
      <c r="C59" s="111" t="s">
        <v>30</v>
      </c>
      <c r="D59" s="111"/>
      <c r="E59" s="111">
        <v>1351</v>
      </c>
      <c r="F59" s="131">
        <v>-123.2</v>
      </c>
      <c r="G59" s="135"/>
      <c r="H59" s="133" t="s">
        <v>66</v>
      </c>
      <c r="I59" s="133" t="s">
        <v>119</v>
      </c>
      <c r="J59" s="111"/>
      <c r="K59" s="135"/>
      <c r="L59" s="153">
        <f t="shared" si="2"/>
        <v>-123.2</v>
      </c>
      <c r="M59" s="111" t="s">
        <v>193</v>
      </c>
    </row>
    <row r="60" spans="1:13" customFormat="1" x14ac:dyDescent="0.35">
      <c r="A60" s="109">
        <v>45133</v>
      </c>
      <c r="B60" s="111" t="s">
        <v>65</v>
      </c>
      <c r="C60" s="111" t="s">
        <v>30</v>
      </c>
      <c r="D60" s="111"/>
      <c r="E60" s="111">
        <v>1439</v>
      </c>
      <c r="F60" s="131">
        <v>-75.260000000000005</v>
      </c>
      <c r="G60" s="135"/>
      <c r="H60" s="133" t="s">
        <v>66</v>
      </c>
      <c r="I60" s="133" t="s">
        <v>119</v>
      </c>
      <c r="J60" s="111"/>
      <c r="K60" s="135"/>
      <c r="L60" s="153">
        <f t="shared" si="2"/>
        <v>-75.260000000000005</v>
      </c>
      <c r="M60" s="111"/>
    </row>
    <row r="61" spans="1:13" customFormat="1" x14ac:dyDescent="0.35">
      <c r="A61" s="109">
        <v>45161</v>
      </c>
      <c r="B61" s="111" t="s">
        <v>65</v>
      </c>
      <c r="C61" s="111" t="s">
        <v>30</v>
      </c>
      <c r="D61" s="111"/>
      <c r="E61" s="111" t="s">
        <v>194</v>
      </c>
      <c r="F61" s="131">
        <v>-118.09</v>
      </c>
      <c r="G61" s="135"/>
      <c r="H61" s="133" t="s">
        <v>66</v>
      </c>
      <c r="I61" s="133" t="s">
        <v>119</v>
      </c>
      <c r="J61" s="111"/>
      <c r="K61" s="135"/>
      <c r="L61" s="153">
        <f t="shared" si="2"/>
        <v>-118.09</v>
      </c>
      <c r="M61" s="111" t="s">
        <v>153</v>
      </c>
    </row>
    <row r="62" spans="1:13" customFormat="1" x14ac:dyDescent="0.35">
      <c r="A62" s="109">
        <v>45173</v>
      </c>
      <c r="B62" s="111" t="s">
        <v>65</v>
      </c>
      <c r="C62" s="111" t="s">
        <v>30</v>
      </c>
      <c r="D62" s="111"/>
      <c r="E62" s="111" t="s">
        <v>195</v>
      </c>
      <c r="F62" s="131">
        <v>-49.14</v>
      </c>
      <c r="G62" s="135"/>
      <c r="H62" s="133" t="s">
        <v>66</v>
      </c>
      <c r="I62" s="133" t="s">
        <v>119</v>
      </c>
      <c r="J62" s="111"/>
      <c r="K62" s="135"/>
      <c r="L62" s="153">
        <f t="shared" si="2"/>
        <v>-49.14</v>
      </c>
      <c r="M62" s="111" t="s">
        <v>153</v>
      </c>
    </row>
    <row r="63" spans="1:13" customFormat="1" x14ac:dyDescent="0.35">
      <c r="A63" s="109">
        <v>45183</v>
      </c>
      <c r="B63" s="111" t="s">
        <v>65</v>
      </c>
      <c r="C63" s="111" t="s">
        <v>30</v>
      </c>
      <c r="D63" s="111"/>
      <c r="E63" s="111" t="s">
        <v>196</v>
      </c>
      <c r="F63" s="131">
        <v>-8.92</v>
      </c>
      <c r="G63" s="135"/>
      <c r="H63" s="133" t="s">
        <v>66</v>
      </c>
      <c r="I63" s="133" t="s">
        <v>119</v>
      </c>
      <c r="J63" s="111"/>
      <c r="K63" s="135"/>
      <c r="L63" s="153">
        <f t="shared" si="2"/>
        <v>-8.92</v>
      </c>
      <c r="M63" s="111" t="s">
        <v>153</v>
      </c>
    </row>
    <row r="64" spans="1:13" customFormat="1" x14ac:dyDescent="0.35">
      <c r="A64" s="109">
        <v>45188</v>
      </c>
      <c r="B64" s="111" t="s">
        <v>65</v>
      </c>
      <c r="C64" s="111" t="s">
        <v>30</v>
      </c>
      <c r="D64" s="111"/>
      <c r="E64" s="111" t="s">
        <v>197</v>
      </c>
      <c r="F64" s="131">
        <v>-11.69</v>
      </c>
      <c r="G64" s="135"/>
      <c r="H64" s="133" t="s">
        <v>66</v>
      </c>
      <c r="I64" s="133" t="s">
        <v>119</v>
      </c>
      <c r="J64" s="111"/>
      <c r="K64" s="135"/>
      <c r="L64" s="153">
        <f t="shared" si="2"/>
        <v>-11.69</v>
      </c>
      <c r="M64" s="111" t="s">
        <v>153</v>
      </c>
    </row>
    <row r="65" spans="1:13" customFormat="1" x14ac:dyDescent="0.35">
      <c r="A65" s="109">
        <v>45203</v>
      </c>
      <c r="B65" s="111" t="s">
        <v>65</v>
      </c>
      <c r="C65" s="111" t="s">
        <v>30</v>
      </c>
      <c r="D65" s="111"/>
      <c r="E65" s="111" t="s">
        <v>198</v>
      </c>
      <c r="F65" s="131">
        <v>-16.239999999999998</v>
      </c>
      <c r="G65" s="135"/>
      <c r="H65" s="133" t="s">
        <v>66</v>
      </c>
      <c r="I65" s="133" t="s">
        <v>119</v>
      </c>
      <c r="J65" s="111"/>
      <c r="K65" s="135"/>
      <c r="L65" s="153">
        <f t="shared" si="2"/>
        <v>-16.239999999999998</v>
      </c>
      <c r="M65" s="111" t="s">
        <v>153</v>
      </c>
    </row>
    <row r="66" spans="1:13" customFormat="1" x14ac:dyDescent="0.35">
      <c r="A66" s="109">
        <v>45217</v>
      </c>
      <c r="B66" s="111" t="s">
        <v>65</v>
      </c>
      <c r="C66" s="111" t="s">
        <v>30</v>
      </c>
      <c r="D66" s="111"/>
      <c r="E66" s="111" t="s">
        <v>199</v>
      </c>
      <c r="F66" s="131">
        <v>-57.96</v>
      </c>
      <c r="G66" s="135"/>
      <c r="H66" s="133" t="s">
        <v>66</v>
      </c>
      <c r="I66" s="133" t="s">
        <v>119</v>
      </c>
      <c r="J66" s="111"/>
      <c r="K66" s="135"/>
      <c r="L66" s="153">
        <f t="shared" si="2"/>
        <v>-57.96</v>
      </c>
      <c r="M66" s="111" t="s">
        <v>153</v>
      </c>
    </row>
    <row r="67" spans="1:13" customFormat="1" x14ac:dyDescent="0.35">
      <c r="A67" s="109">
        <v>45236</v>
      </c>
      <c r="B67" s="111" t="s">
        <v>65</v>
      </c>
      <c r="C67" s="111" t="s">
        <v>30</v>
      </c>
      <c r="D67" s="111"/>
      <c r="E67" s="111" t="s">
        <v>200</v>
      </c>
      <c r="F67" s="131">
        <v>-27.98</v>
      </c>
      <c r="G67" s="135"/>
      <c r="H67" s="133" t="s">
        <v>66</v>
      </c>
      <c r="I67" s="133" t="s">
        <v>119</v>
      </c>
      <c r="J67" s="111"/>
      <c r="K67" s="135"/>
      <c r="L67" s="153">
        <f t="shared" si="2"/>
        <v>-27.98</v>
      </c>
      <c r="M67" s="111" t="s">
        <v>153</v>
      </c>
    </row>
    <row r="68" spans="1:13" customFormat="1" x14ac:dyDescent="0.35">
      <c r="A68" s="109">
        <v>45244</v>
      </c>
      <c r="B68" s="111" t="s">
        <v>65</v>
      </c>
      <c r="C68" s="111" t="s">
        <v>30</v>
      </c>
      <c r="D68" s="111"/>
      <c r="E68" s="111" t="s">
        <v>201</v>
      </c>
      <c r="F68" s="131">
        <v>-13.47</v>
      </c>
      <c r="G68" s="135"/>
      <c r="H68" s="133" t="s">
        <v>66</v>
      </c>
      <c r="I68" s="133" t="s">
        <v>119</v>
      </c>
      <c r="J68" s="111"/>
      <c r="K68" s="135"/>
      <c r="L68" s="153">
        <f t="shared" si="2"/>
        <v>-13.47</v>
      </c>
      <c r="M68" s="111" t="s">
        <v>202</v>
      </c>
    </row>
    <row r="69" spans="1:13" customFormat="1" x14ac:dyDescent="0.35">
      <c r="A69" s="109">
        <v>45245</v>
      </c>
      <c r="B69" s="111" t="s">
        <v>65</v>
      </c>
      <c r="C69" s="111" t="s">
        <v>30</v>
      </c>
      <c r="D69" s="111"/>
      <c r="E69" s="111" t="s">
        <v>203</v>
      </c>
      <c r="F69" s="131">
        <v>-4.55</v>
      </c>
      <c r="G69" s="135"/>
      <c r="H69" s="133" t="s">
        <v>66</v>
      </c>
      <c r="I69" s="133" t="s">
        <v>119</v>
      </c>
      <c r="J69" s="111"/>
      <c r="K69" s="135"/>
      <c r="L69" s="153">
        <f t="shared" si="2"/>
        <v>-4.55</v>
      </c>
      <c r="M69" s="111" t="s">
        <v>153</v>
      </c>
    </row>
    <row r="70" spans="1:13" customFormat="1" x14ac:dyDescent="0.35">
      <c r="A70" s="109">
        <v>45245</v>
      </c>
      <c r="B70" s="111" t="s">
        <v>65</v>
      </c>
      <c r="C70" s="111" t="s">
        <v>30</v>
      </c>
      <c r="D70" s="111"/>
      <c r="E70" s="111" t="s">
        <v>204</v>
      </c>
      <c r="F70" s="131">
        <v>-40.25</v>
      </c>
      <c r="G70" s="135"/>
      <c r="H70" s="133" t="s">
        <v>66</v>
      </c>
      <c r="I70" s="133" t="s">
        <v>119</v>
      </c>
      <c r="J70" s="111"/>
      <c r="K70" s="135"/>
      <c r="L70" s="153">
        <f t="shared" si="2"/>
        <v>-40.25</v>
      </c>
      <c r="M70" s="111" t="s">
        <v>153</v>
      </c>
    </row>
    <row r="71" spans="1:13" customFormat="1" x14ac:dyDescent="0.35">
      <c r="A71" s="109">
        <v>45251</v>
      </c>
      <c r="B71" s="111" t="s">
        <v>65</v>
      </c>
      <c r="C71" s="111" t="s">
        <v>30</v>
      </c>
      <c r="D71" s="111"/>
      <c r="E71" s="111" t="s">
        <v>205</v>
      </c>
      <c r="F71" s="131">
        <v>-49.35</v>
      </c>
      <c r="G71" s="135"/>
      <c r="H71" s="133" t="s">
        <v>66</v>
      </c>
      <c r="I71" s="133" t="s">
        <v>119</v>
      </c>
      <c r="J71" s="111"/>
      <c r="K71" s="135"/>
      <c r="L71" s="153">
        <f t="shared" si="2"/>
        <v>-49.35</v>
      </c>
      <c r="M71" s="111" t="s">
        <v>153</v>
      </c>
    </row>
    <row r="72" spans="1:13" customFormat="1" x14ac:dyDescent="0.35">
      <c r="A72" s="109">
        <v>45258</v>
      </c>
      <c r="B72" s="111" t="s">
        <v>65</v>
      </c>
      <c r="C72" s="111" t="s">
        <v>30</v>
      </c>
      <c r="D72" s="111"/>
      <c r="E72" s="111" t="s">
        <v>206</v>
      </c>
      <c r="F72" s="131">
        <v>-33.39</v>
      </c>
      <c r="G72" s="135"/>
      <c r="H72" s="133" t="s">
        <v>66</v>
      </c>
      <c r="I72" s="133" t="s">
        <v>119</v>
      </c>
      <c r="J72" s="111"/>
      <c r="K72" s="135"/>
      <c r="L72" s="153">
        <f t="shared" si="2"/>
        <v>-33.39</v>
      </c>
      <c r="M72" s="111" t="s">
        <v>153</v>
      </c>
    </row>
    <row r="73" spans="1:13" customFormat="1" x14ac:dyDescent="0.35">
      <c r="A73" s="109">
        <v>45265</v>
      </c>
      <c r="B73" s="111" t="s">
        <v>65</v>
      </c>
      <c r="C73" s="111" t="s">
        <v>30</v>
      </c>
      <c r="D73" s="111"/>
      <c r="E73" s="111" t="s">
        <v>207</v>
      </c>
      <c r="F73" s="131">
        <v>-63.37</v>
      </c>
      <c r="G73" s="135"/>
      <c r="H73" s="133" t="s">
        <v>66</v>
      </c>
      <c r="I73" s="133" t="s">
        <v>119</v>
      </c>
      <c r="J73" s="111"/>
      <c r="K73" s="135"/>
      <c r="L73" s="153">
        <f t="shared" si="2"/>
        <v>-63.37</v>
      </c>
      <c r="M73" s="111" t="s">
        <v>153</v>
      </c>
    </row>
    <row r="74" spans="1:13" customFormat="1" x14ac:dyDescent="0.35">
      <c r="A74" s="109">
        <v>45271</v>
      </c>
      <c r="B74" s="111" t="s">
        <v>65</v>
      </c>
      <c r="C74" s="111" t="s">
        <v>30</v>
      </c>
      <c r="D74" s="111"/>
      <c r="E74" s="111" t="s">
        <v>208</v>
      </c>
      <c r="F74" s="131">
        <v>-43.67</v>
      </c>
      <c r="G74" s="135"/>
      <c r="H74" s="133" t="s">
        <v>66</v>
      </c>
      <c r="I74" s="133" t="s">
        <v>119</v>
      </c>
      <c r="J74" s="111"/>
      <c r="K74" s="135"/>
      <c r="L74" s="153">
        <f t="shared" si="2"/>
        <v>-43.67</v>
      </c>
      <c r="M74" s="111" t="s">
        <v>153</v>
      </c>
    </row>
    <row r="75" spans="1:13" customFormat="1" x14ac:dyDescent="0.35">
      <c r="A75" s="109">
        <v>45279</v>
      </c>
      <c r="B75" s="111" t="s">
        <v>65</v>
      </c>
      <c r="C75" s="111" t="s">
        <v>30</v>
      </c>
      <c r="D75" s="111"/>
      <c r="E75" s="111" t="s">
        <v>209</v>
      </c>
      <c r="F75" s="131">
        <v>-27.68</v>
      </c>
      <c r="G75" s="135"/>
      <c r="H75" s="133" t="s">
        <v>66</v>
      </c>
      <c r="I75" s="133" t="s">
        <v>119</v>
      </c>
      <c r="J75" s="111"/>
      <c r="K75" s="135"/>
      <c r="L75" s="153">
        <f t="shared" si="2"/>
        <v>-27.68</v>
      </c>
      <c r="M75" s="111" t="s">
        <v>153</v>
      </c>
    </row>
    <row r="76" spans="1:13" customFormat="1" x14ac:dyDescent="0.35">
      <c r="A76" s="109">
        <v>45293</v>
      </c>
      <c r="B76" s="111" t="s">
        <v>65</v>
      </c>
      <c r="C76" s="111" t="s">
        <v>30</v>
      </c>
      <c r="D76" s="111"/>
      <c r="E76" s="111" t="s">
        <v>210</v>
      </c>
      <c r="F76" s="131">
        <v>-84.24</v>
      </c>
      <c r="G76" s="135"/>
      <c r="H76" s="133" t="s">
        <v>66</v>
      </c>
      <c r="I76" s="133" t="s">
        <v>119</v>
      </c>
      <c r="J76" s="111"/>
      <c r="K76" s="135"/>
      <c r="L76" s="153">
        <f t="shared" si="2"/>
        <v>-84.24</v>
      </c>
      <c r="M76" s="111" t="s">
        <v>153</v>
      </c>
    </row>
    <row r="77" spans="1:13" customFormat="1" x14ac:dyDescent="0.35">
      <c r="A77" s="109">
        <v>45300</v>
      </c>
      <c r="B77" s="111" t="s">
        <v>65</v>
      </c>
      <c r="C77" s="111" t="s">
        <v>30</v>
      </c>
      <c r="D77" s="111"/>
      <c r="E77" s="111" t="s">
        <v>211</v>
      </c>
      <c r="F77" s="131">
        <v>-43.7</v>
      </c>
      <c r="G77" s="135"/>
      <c r="H77" s="133" t="s">
        <v>66</v>
      </c>
      <c r="I77" s="133" t="s">
        <v>119</v>
      </c>
      <c r="J77" s="111"/>
      <c r="K77" s="135"/>
      <c r="L77" s="153">
        <f t="shared" si="2"/>
        <v>-43.7</v>
      </c>
      <c r="M77" s="111" t="s">
        <v>153</v>
      </c>
    </row>
    <row r="78" spans="1:13" customFormat="1" x14ac:dyDescent="0.35">
      <c r="A78" s="109">
        <v>45307</v>
      </c>
      <c r="B78" s="111" t="s">
        <v>65</v>
      </c>
      <c r="C78" s="111" t="s">
        <v>30</v>
      </c>
      <c r="D78" s="111"/>
      <c r="E78" s="111" t="s">
        <v>212</v>
      </c>
      <c r="F78" s="131">
        <v>-48.41</v>
      </c>
      <c r="G78" s="135"/>
      <c r="H78" s="133" t="s">
        <v>66</v>
      </c>
      <c r="I78" s="133" t="s">
        <v>119</v>
      </c>
      <c r="J78" s="111"/>
      <c r="K78" s="135"/>
      <c r="L78" s="153">
        <f t="shared" si="2"/>
        <v>-48.41</v>
      </c>
      <c r="M78" s="111" t="s">
        <v>213</v>
      </c>
    </row>
    <row r="79" spans="1:13" customFormat="1" x14ac:dyDescent="0.35">
      <c r="A79" s="109">
        <v>45314</v>
      </c>
      <c r="B79" s="111" t="s">
        <v>65</v>
      </c>
      <c r="C79" s="111" t="s">
        <v>30</v>
      </c>
      <c r="D79" s="111"/>
      <c r="E79" s="111" t="s">
        <v>214</v>
      </c>
      <c r="F79" s="131">
        <v>-43.7</v>
      </c>
      <c r="G79" s="135"/>
      <c r="H79" s="133" t="s">
        <v>66</v>
      </c>
      <c r="I79" s="133" t="s">
        <v>119</v>
      </c>
      <c r="J79" s="111"/>
      <c r="K79" s="135"/>
      <c r="L79" s="153">
        <f t="shared" si="2"/>
        <v>-43.7</v>
      </c>
      <c r="M79" s="111" t="s">
        <v>153</v>
      </c>
    </row>
    <row r="80" spans="1:13" customFormat="1" x14ac:dyDescent="0.35">
      <c r="A80" s="109">
        <v>45314</v>
      </c>
      <c r="B80" s="111" t="s">
        <v>65</v>
      </c>
      <c r="C80" s="111" t="s">
        <v>30</v>
      </c>
      <c r="D80" s="111"/>
      <c r="E80" s="111" t="s">
        <v>215</v>
      </c>
      <c r="F80" s="131">
        <v>-16.559999999999999</v>
      </c>
      <c r="G80" s="135"/>
      <c r="H80" s="133" t="s">
        <v>66</v>
      </c>
      <c r="I80" s="133" t="s">
        <v>119</v>
      </c>
      <c r="J80" s="111"/>
      <c r="K80" s="135"/>
      <c r="L80" s="153">
        <f t="shared" si="2"/>
        <v>-16.559999999999999</v>
      </c>
      <c r="M80" s="111" t="s">
        <v>153</v>
      </c>
    </row>
    <row r="81" spans="1:13" customFormat="1" x14ac:dyDescent="0.35">
      <c r="A81" s="109">
        <v>45322</v>
      </c>
      <c r="B81" s="111" t="s">
        <v>65</v>
      </c>
      <c r="C81" s="111" t="s">
        <v>30</v>
      </c>
      <c r="D81" s="111"/>
      <c r="E81" s="111" t="s">
        <v>216</v>
      </c>
      <c r="F81" s="131">
        <v>-75.03</v>
      </c>
      <c r="G81" s="135"/>
      <c r="H81" s="133" t="s">
        <v>66</v>
      </c>
      <c r="I81" s="133" t="s">
        <v>119</v>
      </c>
      <c r="J81" s="111"/>
      <c r="K81" s="135"/>
      <c r="L81" s="153">
        <f t="shared" si="2"/>
        <v>-75.03</v>
      </c>
      <c r="M81" s="111" t="s">
        <v>153</v>
      </c>
    </row>
    <row r="82" spans="1:13" customFormat="1" x14ac:dyDescent="0.35">
      <c r="A82" s="109">
        <v>45336</v>
      </c>
      <c r="B82" s="111" t="s">
        <v>65</v>
      </c>
      <c r="C82" s="111" t="s">
        <v>30</v>
      </c>
      <c r="D82" s="111"/>
      <c r="E82" s="111" t="s">
        <v>217</v>
      </c>
      <c r="F82" s="131">
        <v>-91.64</v>
      </c>
      <c r="G82" s="135"/>
      <c r="H82" s="133" t="s">
        <v>66</v>
      </c>
      <c r="I82" s="133" t="s">
        <v>119</v>
      </c>
      <c r="J82" s="111"/>
      <c r="K82" s="135"/>
      <c r="L82" s="153">
        <f t="shared" si="2"/>
        <v>-91.64</v>
      </c>
      <c r="M82" s="111" t="s">
        <v>213</v>
      </c>
    </row>
    <row r="83" spans="1:13" customFormat="1" x14ac:dyDescent="0.35">
      <c r="A83" s="109">
        <v>45343</v>
      </c>
      <c r="B83" s="111" t="s">
        <v>65</v>
      </c>
      <c r="C83" s="111" t="s">
        <v>30</v>
      </c>
      <c r="D83" s="111"/>
      <c r="E83" s="111" t="s">
        <v>218</v>
      </c>
      <c r="F83" s="131">
        <v>-65.040000000000006</v>
      </c>
      <c r="G83" s="135"/>
      <c r="H83" s="133" t="s">
        <v>66</v>
      </c>
      <c r="I83" s="133" t="s">
        <v>119</v>
      </c>
      <c r="J83" s="111"/>
      <c r="K83" s="135"/>
      <c r="L83" s="153">
        <f t="shared" si="2"/>
        <v>-65.040000000000006</v>
      </c>
      <c r="M83" s="111" t="s">
        <v>153</v>
      </c>
    </row>
    <row r="84" spans="1:13" customFormat="1" x14ac:dyDescent="0.35">
      <c r="A84" s="109">
        <v>45349</v>
      </c>
      <c r="B84" s="111" t="s">
        <v>65</v>
      </c>
      <c r="C84" s="111" t="s">
        <v>30</v>
      </c>
      <c r="D84" s="111"/>
      <c r="E84" s="111" t="s">
        <v>219</v>
      </c>
      <c r="F84" s="131">
        <v>-21.27</v>
      </c>
      <c r="G84" s="135"/>
      <c r="H84" s="133" t="s">
        <v>66</v>
      </c>
      <c r="I84" s="133" t="s">
        <v>119</v>
      </c>
      <c r="J84" s="111"/>
      <c r="K84" s="135"/>
      <c r="L84" s="153">
        <f t="shared" si="2"/>
        <v>-21.27</v>
      </c>
      <c r="M84" s="111" t="s">
        <v>153</v>
      </c>
    </row>
    <row r="85" spans="1:13" customFormat="1" x14ac:dyDescent="0.35">
      <c r="A85" s="109">
        <v>45356</v>
      </c>
      <c r="B85" s="111" t="s">
        <v>65</v>
      </c>
      <c r="C85" s="111" t="s">
        <v>30</v>
      </c>
      <c r="D85" s="111"/>
      <c r="E85" s="111" t="s">
        <v>220</v>
      </c>
      <c r="F85" s="131">
        <v>-74</v>
      </c>
      <c r="G85" s="135"/>
      <c r="H85" s="133" t="s">
        <v>66</v>
      </c>
      <c r="I85" s="133" t="s">
        <v>119</v>
      </c>
      <c r="J85" s="111"/>
      <c r="K85" s="135"/>
      <c r="L85" s="153">
        <f t="shared" si="2"/>
        <v>-74</v>
      </c>
      <c r="M85" s="111" t="s">
        <v>153</v>
      </c>
    </row>
    <row r="86" spans="1:13" customFormat="1" x14ac:dyDescent="0.35">
      <c r="A86" s="109">
        <v>45366</v>
      </c>
      <c r="B86" s="111" t="s">
        <v>65</v>
      </c>
      <c r="C86" s="111" t="s">
        <v>30</v>
      </c>
      <c r="D86" s="111"/>
      <c r="E86" s="111" t="s">
        <v>221</v>
      </c>
      <c r="F86" s="131">
        <v>-99.48</v>
      </c>
      <c r="G86" s="135"/>
      <c r="H86" s="133" t="s">
        <v>66</v>
      </c>
      <c r="I86" s="133" t="s">
        <v>119</v>
      </c>
      <c r="J86" s="111"/>
      <c r="K86" s="135"/>
      <c r="L86" s="153">
        <f t="shared" si="2"/>
        <v>-99.48</v>
      </c>
      <c r="M86" s="111" t="s">
        <v>153</v>
      </c>
    </row>
    <row r="87" spans="1:13" customFormat="1" x14ac:dyDescent="0.35">
      <c r="A87" s="109">
        <v>45366</v>
      </c>
      <c r="B87" s="111" t="s">
        <v>65</v>
      </c>
      <c r="C87" s="111" t="s">
        <v>30</v>
      </c>
      <c r="D87" s="111"/>
      <c r="E87" s="111" t="s">
        <v>222</v>
      </c>
      <c r="F87" s="131">
        <v>-18.32</v>
      </c>
      <c r="G87" s="135"/>
      <c r="H87" s="133" t="s">
        <v>66</v>
      </c>
      <c r="I87" s="133" t="s">
        <v>119</v>
      </c>
      <c r="J87" s="111"/>
      <c r="K87" s="135"/>
      <c r="L87" s="153">
        <f t="shared" si="2"/>
        <v>-18.32</v>
      </c>
      <c r="M87" s="111" t="s">
        <v>223</v>
      </c>
    </row>
    <row r="88" spans="1:13" customFormat="1" x14ac:dyDescent="0.35">
      <c r="A88" s="109">
        <v>45371</v>
      </c>
      <c r="B88" s="111" t="s">
        <v>65</v>
      </c>
      <c r="C88" s="111" t="s">
        <v>30</v>
      </c>
      <c r="D88" s="111"/>
      <c r="E88" s="111" t="s">
        <v>224</v>
      </c>
      <c r="F88" s="131">
        <v>-41.7</v>
      </c>
      <c r="G88" s="135"/>
      <c r="H88" s="133" t="s">
        <v>66</v>
      </c>
      <c r="I88" s="133" t="s">
        <v>119</v>
      </c>
      <c r="J88" s="111"/>
      <c r="K88" s="135"/>
      <c r="L88" s="153">
        <f t="shared" si="2"/>
        <v>-41.7</v>
      </c>
      <c r="M88" s="111" t="s">
        <v>153</v>
      </c>
    </row>
    <row r="89" spans="1:13" customFormat="1" x14ac:dyDescent="0.35">
      <c r="A89" s="109">
        <v>45377</v>
      </c>
      <c r="B89" s="111" t="s">
        <v>65</v>
      </c>
      <c r="C89" s="111" t="s">
        <v>30</v>
      </c>
      <c r="D89" s="111"/>
      <c r="E89" s="111" t="s">
        <v>225</v>
      </c>
      <c r="F89" s="131">
        <v>-62.93</v>
      </c>
      <c r="G89" s="135"/>
      <c r="H89" s="133" t="s">
        <v>66</v>
      </c>
      <c r="I89" s="133" t="s">
        <v>119</v>
      </c>
      <c r="J89" s="111"/>
      <c r="K89" s="135"/>
      <c r="L89" s="153">
        <f t="shared" si="2"/>
        <v>-62.93</v>
      </c>
      <c r="M89" s="111" t="s">
        <v>153</v>
      </c>
    </row>
    <row r="90" spans="1:13" customFormat="1" x14ac:dyDescent="0.35">
      <c r="A90" s="109">
        <v>45386</v>
      </c>
      <c r="B90" s="111" t="s">
        <v>65</v>
      </c>
      <c r="C90" s="111" t="s">
        <v>30</v>
      </c>
      <c r="D90" s="111"/>
      <c r="E90" s="111" t="s">
        <v>226</v>
      </c>
      <c r="F90" s="131">
        <v>-28.66</v>
      </c>
      <c r="G90" s="135"/>
      <c r="H90" s="133" t="s">
        <v>66</v>
      </c>
      <c r="I90" s="133" t="s">
        <v>119</v>
      </c>
      <c r="J90" s="111"/>
      <c r="K90" s="135"/>
      <c r="L90" s="153">
        <f t="shared" si="2"/>
        <v>-28.66</v>
      </c>
      <c r="M90" s="111" t="s">
        <v>153</v>
      </c>
    </row>
    <row r="91" spans="1:13" customFormat="1" x14ac:dyDescent="0.35">
      <c r="A91" s="109">
        <v>45391</v>
      </c>
      <c r="B91" s="111" t="s">
        <v>65</v>
      </c>
      <c r="C91" s="111" t="s">
        <v>30</v>
      </c>
      <c r="D91" s="111"/>
      <c r="E91" s="111" t="s">
        <v>227</v>
      </c>
      <c r="F91" s="131">
        <v>-43.7</v>
      </c>
      <c r="G91" s="135"/>
      <c r="H91" s="133" t="s">
        <v>66</v>
      </c>
      <c r="I91" s="133" t="s">
        <v>119</v>
      </c>
      <c r="J91" s="111"/>
      <c r="K91" s="135"/>
      <c r="L91" s="153">
        <f t="shared" si="2"/>
        <v>-43.7</v>
      </c>
      <c r="M91" s="111" t="s">
        <v>153</v>
      </c>
    </row>
    <row r="92" spans="1:13" customFormat="1" x14ac:dyDescent="0.35">
      <c r="A92" s="109">
        <v>45398</v>
      </c>
      <c r="B92" s="111" t="s">
        <v>65</v>
      </c>
      <c r="C92" s="111" t="s">
        <v>30</v>
      </c>
      <c r="D92" s="111"/>
      <c r="E92" s="111" t="s">
        <v>228</v>
      </c>
      <c r="F92" s="131">
        <v>-111.32</v>
      </c>
      <c r="G92" s="135"/>
      <c r="H92" s="133" t="s">
        <v>66</v>
      </c>
      <c r="I92" s="133" t="s">
        <v>119</v>
      </c>
      <c r="J92" s="111"/>
      <c r="K92" s="135"/>
      <c r="L92" s="153">
        <f t="shared" si="2"/>
        <v>-111.32</v>
      </c>
      <c r="M92" s="111" t="s">
        <v>153</v>
      </c>
    </row>
    <row r="93" spans="1:13" customFormat="1" x14ac:dyDescent="0.35">
      <c r="A93" s="109">
        <v>45404</v>
      </c>
      <c r="B93" s="111" t="s">
        <v>65</v>
      </c>
      <c r="C93" s="111" t="s">
        <v>30</v>
      </c>
      <c r="D93" s="111"/>
      <c r="E93" s="111" t="s">
        <v>229</v>
      </c>
      <c r="F93" s="131">
        <v>-74.760000000000005</v>
      </c>
      <c r="G93" s="135"/>
      <c r="H93" s="133" t="s">
        <v>66</v>
      </c>
      <c r="I93" s="133" t="s">
        <v>119</v>
      </c>
      <c r="J93" s="111"/>
      <c r="K93" s="135"/>
      <c r="L93" s="153">
        <f t="shared" si="2"/>
        <v>-74.760000000000005</v>
      </c>
      <c r="M93" s="111" t="s">
        <v>153</v>
      </c>
    </row>
    <row r="94" spans="1:13" customFormat="1" x14ac:dyDescent="0.35">
      <c r="A94" s="109">
        <v>45465</v>
      </c>
      <c r="B94" s="121" t="s">
        <v>57</v>
      </c>
      <c r="C94" s="111" t="s">
        <v>60</v>
      </c>
      <c r="D94" s="111" t="s">
        <v>230</v>
      </c>
      <c r="E94" s="111" t="s">
        <v>231</v>
      </c>
      <c r="F94" s="149">
        <v>200</v>
      </c>
      <c r="G94" s="135">
        <f>A94+30</f>
        <v>45495</v>
      </c>
      <c r="H94" s="133" t="s">
        <v>59</v>
      </c>
      <c r="I94" s="133" t="s">
        <v>232</v>
      </c>
      <c r="J94" s="111"/>
      <c r="K94" s="135"/>
      <c r="L94" s="153">
        <f>F94</f>
        <v>200</v>
      </c>
      <c r="M94" s="196">
        <v>274500160</v>
      </c>
    </row>
    <row r="95" spans="1:13" customFormat="1" x14ac:dyDescent="0.35">
      <c r="A95" s="109">
        <v>45901</v>
      </c>
      <c r="B95" s="121" t="s">
        <v>57</v>
      </c>
      <c r="C95" s="121" t="s">
        <v>233</v>
      </c>
      <c r="D95" s="121" t="s">
        <v>233</v>
      </c>
      <c r="E95" s="121" t="s">
        <v>234</v>
      </c>
      <c r="F95" s="153">
        <v>340</v>
      </c>
      <c r="G95" s="133"/>
      <c r="H95" s="134" t="s">
        <v>66</v>
      </c>
      <c r="I95" s="134" t="s">
        <v>232</v>
      </c>
      <c r="J95" s="111"/>
      <c r="K95" s="135">
        <v>45908</v>
      </c>
      <c r="L95" s="111"/>
      <c r="M95" s="196"/>
    </row>
    <row r="96" spans="1:13" customFormat="1" x14ac:dyDescent="0.35">
      <c r="A96" s="109">
        <v>45818</v>
      </c>
      <c r="B96" s="111" t="s">
        <v>57</v>
      </c>
      <c r="C96" s="111" t="s">
        <v>235</v>
      </c>
      <c r="D96" s="111" t="s">
        <v>236</v>
      </c>
      <c r="E96" s="121" t="s">
        <v>237</v>
      </c>
      <c r="F96" s="153">
        <v>670</v>
      </c>
      <c r="G96" s="133"/>
      <c r="H96" s="133" t="s">
        <v>66</v>
      </c>
      <c r="I96" s="133" t="s">
        <v>135</v>
      </c>
      <c r="J96" s="111"/>
      <c r="K96" s="135">
        <v>45820</v>
      </c>
      <c r="L96" s="153">
        <f t="shared" ref="L96:L131" si="3">F96</f>
        <v>670</v>
      </c>
      <c r="M96" s="111"/>
    </row>
    <row r="97" spans="1:13" customFormat="1" x14ac:dyDescent="0.35">
      <c r="A97" s="109">
        <v>45411</v>
      </c>
      <c r="B97" s="111" t="s">
        <v>65</v>
      </c>
      <c r="C97" s="111" t="s">
        <v>30</v>
      </c>
      <c r="D97" s="111"/>
      <c r="E97" s="111" t="s">
        <v>238</v>
      </c>
      <c r="F97" s="131">
        <v>-128.38</v>
      </c>
      <c r="G97" s="135"/>
      <c r="H97" s="133" t="s">
        <v>66</v>
      </c>
      <c r="I97" s="133" t="s">
        <v>119</v>
      </c>
      <c r="J97" s="111"/>
      <c r="K97" s="135"/>
      <c r="L97" s="153">
        <f t="shared" si="3"/>
        <v>-128.38</v>
      </c>
      <c r="M97" s="111" t="s">
        <v>153</v>
      </c>
    </row>
    <row r="98" spans="1:13" customFormat="1" x14ac:dyDescent="0.35">
      <c r="A98" s="109">
        <v>45419</v>
      </c>
      <c r="B98" s="111" t="s">
        <v>65</v>
      </c>
      <c r="C98" s="111" t="s">
        <v>30</v>
      </c>
      <c r="D98" s="111"/>
      <c r="E98" s="111" t="s">
        <v>239</v>
      </c>
      <c r="F98" s="131">
        <v>-77.709999999999994</v>
      </c>
      <c r="G98" s="135"/>
      <c r="H98" s="133" t="s">
        <v>66</v>
      </c>
      <c r="I98" s="133" t="s">
        <v>119</v>
      </c>
      <c r="J98" s="111">
        <v>45448</v>
      </c>
      <c r="K98" s="135"/>
      <c r="L98" s="153">
        <f t="shared" si="3"/>
        <v>-77.709999999999994</v>
      </c>
      <c r="M98" s="111" t="s">
        <v>240</v>
      </c>
    </row>
    <row r="99" spans="1:13" customFormat="1" x14ac:dyDescent="0.35">
      <c r="A99" s="109">
        <v>45426</v>
      </c>
      <c r="B99" s="111" t="s">
        <v>65</v>
      </c>
      <c r="C99" s="111" t="s">
        <v>30</v>
      </c>
      <c r="D99" s="111"/>
      <c r="E99" s="111" t="s">
        <v>241</v>
      </c>
      <c r="F99" s="131">
        <v>-79.47</v>
      </c>
      <c r="G99" s="135"/>
      <c r="H99" s="133" t="s">
        <v>66</v>
      </c>
      <c r="I99" s="133" t="s">
        <v>119</v>
      </c>
      <c r="J99" s="111">
        <v>45448</v>
      </c>
      <c r="K99" s="135"/>
      <c r="L99" s="153">
        <f t="shared" si="3"/>
        <v>-79.47</v>
      </c>
      <c r="M99" s="111" t="s">
        <v>153</v>
      </c>
    </row>
    <row r="100" spans="1:13" customFormat="1" x14ac:dyDescent="0.35">
      <c r="A100" s="109">
        <v>45432</v>
      </c>
      <c r="B100" s="111" t="s">
        <v>65</v>
      </c>
      <c r="C100" s="111" t="s">
        <v>30</v>
      </c>
      <c r="D100" s="111"/>
      <c r="E100" s="111" t="s">
        <v>242</v>
      </c>
      <c r="F100" s="131">
        <v>-64.959999999999994</v>
      </c>
      <c r="G100" s="135"/>
      <c r="H100" s="133" t="s">
        <v>66</v>
      </c>
      <c r="I100" s="133" t="s">
        <v>119</v>
      </c>
      <c r="J100" s="111">
        <v>45448</v>
      </c>
      <c r="K100" s="135"/>
      <c r="L100" s="153">
        <f t="shared" si="3"/>
        <v>-64.959999999999994</v>
      </c>
      <c r="M100" s="111" t="s">
        <v>153</v>
      </c>
    </row>
    <row r="101" spans="1:13" customFormat="1" x14ac:dyDescent="0.35">
      <c r="A101" s="109">
        <v>45439</v>
      </c>
      <c r="B101" s="111" t="s">
        <v>65</v>
      </c>
      <c r="C101" s="111" t="s">
        <v>30</v>
      </c>
      <c r="D101" s="111"/>
      <c r="E101" s="111" t="s">
        <v>243</v>
      </c>
      <c r="F101" s="131">
        <v>-64.959999999999994</v>
      </c>
      <c r="G101" s="135"/>
      <c r="H101" s="133" t="s">
        <v>66</v>
      </c>
      <c r="I101" s="133" t="s">
        <v>119</v>
      </c>
      <c r="J101" s="111">
        <v>45448</v>
      </c>
      <c r="K101" s="135"/>
      <c r="L101" s="153">
        <f t="shared" si="3"/>
        <v>-64.959999999999994</v>
      </c>
      <c r="M101" s="111" t="s">
        <v>153</v>
      </c>
    </row>
    <row r="102" spans="1:13" customFormat="1" x14ac:dyDescent="0.35">
      <c r="A102" s="109">
        <v>45448</v>
      </c>
      <c r="B102" s="111" t="s">
        <v>65</v>
      </c>
      <c r="C102" s="111" t="s">
        <v>30</v>
      </c>
      <c r="D102" s="111"/>
      <c r="E102" s="111" t="s">
        <v>244</v>
      </c>
      <c r="F102" s="131">
        <v>-119.14</v>
      </c>
      <c r="G102" s="135"/>
      <c r="H102" s="133" t="s">
        <v>66</v>
      </c>
      <c r="I102" s="133"/>
      <c r="J102" s="111"/>
      <c r="K102" s="135"/>
      <c r="L102" s="153">
        <f t="shared" si="3"/>
        <v>-119.14</v>
      </c>
      <c r="M102" s="111" t="s">
        <v>153</v>
      </c>
    </row>
    <row r="103" spans="1:13" customFormat="1" x14ac:dyDescent="0.35">
      <c r="A103" s="109">
        <v>45449</v>
      </c>
      <c r="B103" s="111" t="s">
        <v>65</v>
      </c>
      <c r="C103" s="111" t="s">
        <v>30</v>
      </c>
      <c r="D103" s="111"/>
      <c r="E103" s="111" t="s">
        <v>245</v>
      </c>
      <c r="F103" s="131">
        <v>-60.25</v>
      </c>
      <c r="G103" s="135"/>
      <c r="H103" s="133" t="s">
        <v>66</v>
      </c>
      <c r="I103" s="133" t="s">
        <v>119</v>
      </c>
      <c r="J103" s="111"/>
      <c r="K103" s="135"/>
      <c r="L103" s="153">
        <f t="shared" si="3"/>
        <v>-60.25</v>
      </c>
      <c r="M103" s="111" t="s">
        <v>246</v>
      </c>
    </row>
    <row r="104" spans="1:13" customFormat="1" x14ac:dyDescent="0.35">
      <c r="A104" s="109">
        <v>45456</v>
      </c>
      <c r="B104" s="111" t="s">
        <v>65</v>
      </c>
      <c r="C104" s="111" t="s">
        <v>30</v>
      </c>
      <c r="D104" s="111"/>
      <c r="E104" s="111" t="s">
        <v>247</v>
      </c>
      <c r="F104" s="131">
        <v>-31.71</v>
      </c>
      <c r="G104" s="135"/>
      <c r="H104" s="133" t="s">
        <v>66</v>
      </c>
      <c r="I104" s="133"/>
      <c r="J104" s="111"/>
      <c r="K104" s="135"/>
      <c r="L104" s="153">
        <f t="shared" si="3"/>
        <v>-31.71</v>
      </c>
      <c r="M104" s="111" t="s">
        <v>153</v>
      </c>
    </row>
    <row r="105" spans="1:13" customFormat="1" x14ac:dyDescent="0.35">
      <c r="A105" s="109">
        <v>45456</v>
      </c>
      <c r="B105" s="111" t="s">
        <v>65</v>
      </c>
      <c r="C105" s="111" t="s">
        <v>30</v>
      </c>
      <c r="D105" s="111"/>
      <c r="E105" s="111" t="s">
        <v>248</v>
      </c>
      <c r="F105" s="131">
        <v>-125.84</v>
      </c>
      <c r="G105" s="135"/>
      <c r="H105" s="133" t="s">
        <v>66</v>
      </c>
      <c r="I105" s="133"/>
      <c r="J105" s="111"/>
      <c r="K105" s="135"/>
      <c r="L105" s="153">
        <f t="shared" si="3"/>
        <v>-125.84</v>
      </c>
      <c r="M105" s="111" t="s">
        <v>153</v>
      </c>
    </row>
    <row r="106" spans="1:13" customFormat="1" x14ac:dyDescent="0.35">
      <c r="A106" s="109">
        <v>45461</v>
      </c>
      <c r="B106" s="111" t="s">
        <v>65</v>
      </c>
      <c r="C106" s="111" t="s">
        <v>30</v>
      </c>
      <c r="D106" s="111"/>
      <c r="E106" s="111" t="s">
        <v>249</v>
      </c>
      <c r="F106" s="131">
        <v>-96.8</v>
      </c>
      <c r="G106" s="135"/>
      <c r="H106" s="133" t="s">
        <v>66</v>
      </c>
      <c r="I106" s="133"/>
      <c r="J106" s="111"/>
      <c r="K106" s="135"/>
      <c r="L106" s="153">
        <f t="shared" si="3"/>
        <v>-96.8</v>
      </c>
      <c r="M106" s="111" t="s">
        <v>153</v>
      </c>
    </row>
    <row r="107" spans="1:13" customFormat="1" x14ac:dyDescent="0.35">
      <c r="A107" s="109">
        <v>45468</v>
      </c>
      <c r="B107" s="111" t="s">
        <v>65</v>
      </c>
      <c r="C107" s="111" t="s">
        <v>30</v>
      </c>
      <c r="D107" s="111"/>
      <c r="E107" s="111" t="s">
        <v>250</v>
      </c>
      <c r="F107" s="131">
        <v>-37.81</v>
      </c>
      <c r="G107" s="135"/>
      <c r="H107" s="133" t="s">
        <v>66</v>
      </c>
      <c r="I107" s="133"/>
      <c r="J107" s="111"/>
      <c r="K107" s="135"/>
      <c r="L107" s="153">
        <f t="shared" si="3"/>
        <v>-37.81</v>
      </c>
      <c r="M107" s="111" t="s">
        <v>153</v>
      </c>
    </row>
    <row r="108" spans="1:13" customFormat="1" x14ac:dyDescent="0.35">
      <c r="A108" s="109">
        <v>45475</v>
      </c>
      <c r="B108" s="111" t="s">
        <v>65</v>
      </c>
      <c r="C108" s="111" t="s">
        <v>30</v>
      </c>
      <c r="D108" s="111"/>
      <c r="E108" s="111" t="s">
        <v>251</v>
      </c>
      <c r="F108" s="131">
        <v>-83.36</v>
      </c>
      <c r="G108" s="135"/>
      <c r="H108" s="133" t="s">
        <v>66</v>
      </c>
      <c r="I108" s="133"/>
      <c r="J108" s="111"/>
      <c r="K108" s="135"/>
      <c r="L108" s="153">
        <f t="shared" si="3"/>
        <v>-83.36</v>
      </c>
      <c r="M108" s="111" t="s">
        <v>153</v>
      </c>
    </row>
    <row r="109" spans="1:13" customFormat="1" x14ac:dyDescent="0.35">
      <c r="A109" s="109">
        <v>45481</v>
      </c>
      <c r="B109" s="111" t="s">
        <v>65</v>
      </c>
      <c r="C109" s="111" t="s">
        <v>30</v>
      </c>
      <c r="D109" s="111"/>
      <c r="E109" s="111" t="s">
        <v>252</v>
      </c>
      <c r="F109" s="131">
        <v>-48.41</v>
      </c>
      <c r="G109" s="135"/>
      <c r="H109" s="133" t="s">
        <v>66</v>
      </c>
      <c r="I109" s="133"/>
      <c r="J109" s="111"/>
      <c r="K109" s="135"/>
      <c r="L109" s="153">
        <f t="shared" si="3"/>
        <v>-48.41</v>
      </c>
      <c r="M109" s="111" t="s">
        <v>153</v>
      </c>
    </row>
    <row r="110" spans="1:13" customFormat="1" x14ac:dyDescent="0.35">
      <c r="A110" s="109">
        <v>45489</v>
      </c>
      <c r="B110" s="111" t="s">
        <v>65</v>
      </c>
      <c r="C110" s="111" t="s">
        <v>30</v>
      </c>
      <c r="D110" s="111"/>
      <c r="E110" s="111" t="s">
        <v>253</v>
      </c>
      <c r="F110" s="131">
        <v>-64.959999999999994</v>
      </c>
      <c r="G110" s="135"/>
      <c r="H110" s="133" t="s">
        <v>66</v>
      </c>
      <c r="I110" s="133"/>
      <c r="J110" s="111"/>
      <c r="K110" s="135"/>
      <c r="L110" s="153">
        <f t="shared" si="3"/>
        <v>-64.959999999999994</v>
      </c>
      <c r="M110" s="111" t="s">
        <v>153</v>
      </c>
    </row>
    <row r="111" spans="1:13" customFormat="1" x14ac:dyDescent="0.35">
      <c r="A111" s="109">
        <v>45496</v>
      </c>
      <c r="B111" s="111" t="s">
        <v>65</v>
      </c>
      <c r="C111" s="111" t="s">
        <v>30</v>
      </c>
      <c r="D111" s="111"/>
      <c r="E111" s="111" t="s">
        <v>254</v>
      </c>
      <c r="F111" s="131">
        <v>-122.56</v>
      </c>
      <c r="G111" s="135"/>
      <c r="H111" s="133" t="s">
        <v>66</v>
      </c>
      <c r="I111" s="133"/>
      <c r="J111" s="111"/>
      <c r="K111" s="135"/>
      <c r="L111" s="153">
        <f t="shared" si="3"/>
        <v>-122.56</v>
      </c>
      <c r="M111" s="111" t="s">
        <v>153</v>
      </c>
    </row>
    <row r="112" spans="1:13" customFormat="1" x14ac:dyDescent="0.35">
      <c r="A112" s="109">
        <v>45498</v>
      </c>
      <c r="B112" s="111" t="s">
        <v>65</v>
      </c>
      <c r="C112" s="111" t="s">
        <v>30</v>
      </c>
      <c r="D112" s="111"/>
      <c r="E112" s="111" t="s">
        <v>255</v>
      </c>
      <c r="F112" s="131">
        <v>-49.66</v>
      </c>
      <c r="G112" s="135"/>
      <c r="H112" s="133" t="s">
        <v>66</v>
      </c>
      <c r="I112" s="133"/>
      <c r="J112" s="111"/>
      <c r="K112" s="135"/>
      <c r="L112" s="153">
        <f t="shared" si="3"/>
        <v>-49.66</v>
      </c>
      <c r="M112" s="111" t="s">
        <v>153</v>
      </c>
    </row>
    <row r="113" spans="1:13" customFormat="1" x14ac:dyDescent="0.35">
      <c r="A113" s="109">
        <v>45503</v>
      </c>
      <c r="B113" s="111" t="s">
        <v>65</v>
      </c>
      <c r="C113" s="111" t="s">
        <v>30</v>
      </c>
      <c r="D113" s="111"/>
      <c r="E113" s="111" t="s">
        <v>256</v>
      </c>
      <c r="F113" s="131">
        <v>-43.7</v>
      </c>
      <c r="G113" s="135"/>
      <c r="H113" s="133" t="s">
        <v>66</v>
      </c>
      <c r="I113" s="133"/>
      <c r="J113" s="111"/>
      <c r="K113" s="135"/>
      <c r="L113" s="153">
        <f t="shared" si="3"/>
        <v>-43.7</v>
      </c>
      <c r="M113" s="111" t="s">
        <v>153</v>
      </c>
    </row>
    <row r="114" spans="1:13" customFormat="1" x14ac:dyDescent="0.35">
      <c r="A114" s="109">
        <v>45505</v>
      </c>
      <c r="B114" s="111" t="s">
        <v>65</v>
      </c>
      <c r="C114" s="111" t="s">
        <v>30</v>
      </c>
      <c r="D114" s="111"/>
      <c r="E114" s="111" t="s">
        <v>257</v>
      </c>
      <c r="F114" s="131">
        <v>-33.1</v>
      </c>
      <c r="G114" s="135"/>
      <c r="H114" s="133" t="s">
        <v>66</v>
      </c>
      <c r="I114" s="133" t="s">
        <v>119</v>
      </c>
      <c r="J114" s="111"/>
      <c r="K114" s="135"/>
      <c r="L114" s="153">
        <f t="shared" si="3"/>
        <v>-33.1</v>
      </c>
      <c r="M114" s="111" t="s">
        <v>246</v>
      </c>
    </row>
    <row r="115" spans="1:13" customFormat="1" x14ac:dyDescent="0.35">
      <c r="A115" s="109">
        <v>45510</v>
      </c>
      <c r="B115" s="111" t="s">
        <v>65</v>
      </c>
      <c r="C115" s="111" t="s">
        <v>30</v>
      </c>
      <c r="D115" s="111"/>
      <c r="E115" s="111" t="s">
        <v>258</v>
      </c>
      <c r="F115" s="131">
        <v>-93.42</v>
      </c>
      <c r="G115" s="135"/>
      <c r="H115" s="133" t="s">
        <v>66</v>
      </c>
      <c r="I115" s="133" t="s">
        <v>119</v>
      </c>
      <c r="J115" s="111"/>
      <c r="K115" s="135"/>
      <c r="L115" s="153">
        <f t="shared" si="3"/>
        <v>-93.42</v>
      </c>
      <c r="M115" s="111" t="s">
        <v>153</v>
      </c>
    </row>
    <row r="116" spans="1:13" customFormat="1" x14ac:dyDescent="0.35">
      <c r="A116" s="109">
        <v>45511</v>
      </c>
      <c r="B116" s="111" t="s">
        <v>65</v>
      </c>
      <c r="C116" s="111" t="s">
        <v>30</v>
      </c>
      <c r="D116" s="111"/>
      <c r="E116" s="111" t="s">
        <v>259</v>
      </c>
      <c r="F116" s="131">
        <v>-81.430000000000007</v>
      </c>
      <c r="G116" s="135"/>
      <c r="H116" s="133" t="s">
        <v>66</v>
      </c>
      <c r="I116" s="133" t="s">
        <v>119</v>
      </c>
      <c r="J116" s="111"/>
      <c r="K116" s="135"/>
      <c r="L116" s="153">
        <f t="shared" si="3"/>
        <v>-81.430000000000007</v>
      </c>
      <c r="M116" s="111" t="s">
        <v>246</v>
      </c>
    </row>
    <row r="117" spans="1:13" customFormat="1" x14ac:dyDescent="0.35">
      <c r="A117" s="109">
        <v>45516</v>
      </c>
      <c r="B117" s="111" t="s">
        <v>65</v>
      </c>
      <c r="C117" s="111" t="s">
        <v>30</v>
      </c>
      <c r="D117" s="111"/>
      <c r="E117" s="111" t="s">
        <v>260</v>
      </c>
      <c r="F117" s="131">
        <v>-152.34</v>
      </c>
      <c r="G117" s="135"/>
      <c r="H117" s="133" t="s">
        <v>66</v>
      </c>
      <c r="I117" s="133" t="s">
        <v>119</v>
      </c>
      <c r="J117" s="111"/>
      <c r="K117" s="135"/>
      <c r="L117" s="153">
        <f t="shared" si="3"/>
        <v>-152.34</v>
      </c>
      <c r="M117" s="111" t="s">
        <v>246</v>
      </c>
    </row>
    <row r="118" spans="1:13" customFormat="1" x14ac:dyDescent="0.35">
      <c r="A118" s="109">
        <v>45517</v>
      </c>
      <c r="B118" s="111" t="s">
        <v>65</v>
      </c>
      <c r="C118" s="111" t="s">
        <v>30</v>
      </c>
      <c r="D118" s="111"/>
      <c r="E118" s="111" t="s">
        <v>261</v>
      </c>
      <c r="F118" s="131">
        <v>-9.42</v>
      </c>
      <c r="G118" s="135"/>
      <c r="H118" s="133" t="s">
        <v>66</v>
      </c>
      <c r="I118" s="133" t="s">
        <v>119</v>
      </c>
      <c r="J118" s="111"/>
      <c r="K118" s="135"/>
      <c r="L118" s="153">
        <f t="shared" si="3"/>
        <v>-9.42</v>
      </c>
      <c r="M118" s="111" t="s">
        <v>153</v>
      </c>
    </row>
    <row r="119" spans="1:13" customFormat="1" x14ac:dyDescent="0.35">
      <c r="A119" s="109">
        <v>45524</v>
      </c>
      <c r="B119" s="111" t="s">
        <v>65</v>
      </c>
      <c r="C119" s="111" t="s">
        <v>30</v>
      </c>
      <c r="D119" s="111"/>
      <c r="E119" s="111" t="s">
        <v>262</v>
      </c>
      <c r="F119" s="131">
        <v>-74.760000000000005</v>
      </c>
      <c r="G119" s="135"/>
      <c r="H119" s="133" t="s">
        <v>66</v>
      </c>
      <c r="I119" s="133" t="s">
        <v>119</v>
      </c>
      <c r="J119" s="111"/>
      <c r="K119" s="135"/>
      <c r="L119" s="153">
        <f t="shared" si="3"/>
        <v>-74.760000000000005</v>
      </c>
      <c r="M119" s="111" t="s">
        <v>263</v>
      </c>
    </row>
    <row r="120" spans="1:13" customFormat="1" x14ac:dyDescent="0.35">
      <c r="A120" s="109">
        <v>45530</v>
      </c>
      <c r="B120" s="111" t="s">
        <v>65</v>
      </c>
      <c r="C120" s="111" t="s">
        <v>30</v>
      </c>
      <c r="D120" s="111"/>
      <c r="E120" s="111" t="s">
        <v>264</v>
      </c>
      <c r="F120" s="131">
        <v>-121.06</v>
      </c>
      <c r="G120" s="135"/>
      <c r="H120" s="133" t="s">
        <v>66</v>
      </c>
      <c r="I120" s="133" t="s">
        <v>131</v>
      </c>
      <c r="J120" s="111"/>
      <c r="K120" s="135"/>
      <c r="L120" s="153">
        <f t="shared" si="3"/>
        <v>-121.06</v>
      </c>
      <c r="M120" s="111" t="s">
        <v>265</v>
      </c>
    </row>
    <row r="121" spans="1:13" customFormat="1" x14ac:dyDescent="0.35">
      <c r="A121" s="109">
        <v>45531</v>
      </c>
      <c r="B121" s="111" t="s">
        <v>65</v>
      </c>
      <c r="C121" s="111" t="s">
        <v>30</v>
      </c>
      <c r="D121" s="111"/>
      <c r="E121" s="111" t="s">
        <v>266</v>
      </c>
      <c r="F121" s="131">
        <v>-166.32</v>
      </c>
      <c r="G121" s="135"/>
      <c r="H121" s="133" t="s">
        <v>66</v>
      </c>
      <c r="I121" s="133" t="s">
        <v>119</v>
      </c>
      <c r="J121" s="111"/>
      <c r="K121" s="135"/>
      <c r="L121" s="153">
        <f t="shared" si="3"/>
        <v>-166.32</v>
      </c>
      <c r="M121" s="111" t="s">
        <v>153</v>
      </c>
    </row>
    <row r="122" spans="1:13" customFormat="1" x14ac:dyDescent="0.35">
      <c r="A122" s="109">
        <v>45531</v>
      </c>
      <c r="B122" s="111" t="s">
        <v>65</v>
      </c>
      <c r="C122" s="111" t="s">
        <v>30</v>
      </c>
      <c r="D122" s="111"/>
      <c r="E122" s="111" t="s">
        <v>267</v>
      </c>
      <c r="F122" s="131">
        <v>-46.81</v>
      </c>
      <c r="G122" s="135"/>
      <c r="H122" s="133" t="s">
        <v>66</v>
      </c>
      <c r="I122" s="133" t="s">
        <v>131</v>
      </c>
      <c r="J122" s="111"/>
      <c r="K122" s="135"/>
      <c r="L122" s="153">
        <f t="shared" si="3"/>
        <v>-46.81</v>
      </c>
      <c r="M122" s="111" t="s">
        <v>153</v>
      </c>
    </row>
    <row r="123" spans="1:13" customFormat="1" x14ac:dyDescent="0.35">
      <c r="A123" s="109">
        <v>45538</v>
      </c>
      <c r="B123" s="111" t="s">
        <v>65</v>
      </c>
      <c r="C123" s="111" t="s">
        <v>30</v>
      </c>
      <c r="D123" s="111"/>
      <c r="E123" s="111" t="s">
        <v>268</v>
      </c>
      <c r="F123" s="131">
        <v>-9.84</v>
      </c>
      <c r="G123" s="135"/>
      <c r="H123" s="133" t="s">
        <v>66</v>
      </c>
      <c r="I123" s="133" t="s">
        <v>119</v>
      </c>
      <c r="J123" s="111"/>
      <c r="K123" s="135"/>
      <c r="L123" s="153">
        <f t="shared" si="3"/>
        <v>-9.84</v>
      </c>
      <c r="M123" s="111" t="s">
        <v>153</v>
      </c>
    </row>
    <row r="124" spans="1:13" customFormat="1" x14ac:dyDescent="0.35">
      <c r="A124" s="109">
        <v>45538</v>
      </c>
      <c r="B124" s="111" t="s">
        <v>65</v>
      </c>
      <c r="C124" s="111" t="s">
        <v>30</v>
      </c>
      <c r="D124" s="111"/>
      <c r="E124" s="111" t="s">
        <v>269</v>
      </c>
      <c r="F124" s="131">
        <v>-70.38</v>
      </c>
      <c r="G124" s="135"/>
      <c r="H124" s="133" t="s">
        <v>66</v>
      </c>
      <c r="I124" s="133" t="s">
        <v>119</v>
      </c>
      <c r="J124" s="111"/>
      <c r="K124" s="135"/>
      <c r="L124" s="153">
        <f t="shared" si="3"/>
        <v>-70.38</v>
      </c>
      <c r="M124" s="111" t="s">
        <v>246</v>
      </c>
    </row>
    <row r="125" spans="1:13" customFormat="1" x14ac:dyDescent="0.35">
      <c r="A125" s="109">
        <v>45545</v>
      </c>
      <c r="B125" s="111" t="s">
        <v>65</v>
      </c>
      <c r="C125" s="111" t="s">
        <v>30</v>
      </c>
      <c r="D125" s="111"/>
      <c r="E125" s="111" t="s">
        <v>270</v>
      </c>
      <c r="F125" s="131">
        <v>-203.77</v>
      </c>
      <c r="G125" s="135"/>
      <c r="H125" s="133" t="s">
        <v>66</v>
      </c>
      <c r="I125" s="133" t="s">
        <v>119</v>
      </c>
      <c r="J125" s="111"/>
      <c r="K125" s="135"/>
      <c r="L125" s="153">
        <f t="shared" si="3"/>
        <v>-203.77</v>
      </c>
      <c r="M125" s="111" t="s">
        <v>153</v>
      </c>
    </row>
    <row r="126" spans="1:13" customFormat="1" x14ac:dyDescent="0.35">
      <c r="A126" s="109">
        <v>45552</v>
      </c>
      <c r="B126" s="111" t="s">
        <v>65</v>
      </c>
      <c r="C126" s="111" t="s">
        <v>30</v>
      </c>
      <c r="D126" s="111"/>
      <c r="E126" s="111" t="s">
        <v>271</v>
      </c>
      <c r="F126" s="131">
        <v>-193.21</v>
      </c>
      <c r="G126" s="135"/>
      <c r="H126" s="133" t="s">
        <v>66</v>
      </c>
      <c r="I126" s="133" t="s">
        <v>119</v>
      </c>
      <c r="J126" s="111"/>
      <c r="K126" s="135"/>
      <c r="L126" s="153">
        <f t="shared" si="3"/>
        <v>-193.21</v>
      </c>
      <c r="M126" s="111" t="s">
        <v>153</v>
      </c>
    </row>
    <row r="127" spans="1:13" customFormat="1" x14ac:dyDescent="0.35">
      <c r="A127" s="109">
        <v>45559</v>
      </c>
      <c r="B127" s="111" t="s">
        <v>65</v>
      </c>
      <c r="C127" s="111" t="s">
        <v>30</v>
      </c>
      <c r="D127" s="111"/>
      <c r="E127" s="111" t="s">
        <v>272</v>
      </c>
      <c r="F127" s="131">
        <v>-70.91</v>
      </c>
      <c r="G127" s="135"/>
      <c r="H127" s="133" t="s">
        <v>66</v>
      </c>
      <c r="I127" s="133" t="s">
        <v>119</v>
      </c>
      <c r="J127" s="111"/>
      <c r="K127" s="135"/>
      <c r="L127" s="153">
        <f t="shared" si="3"/>
        <v>-70.91</v>
      </c>
      <c r="M127" s="111" t="s">
        <v>153</v>
      </c>
    </row>
    <row r="128" spans="1:13" customFormat="1" x14ac:dyDescent="0.35">
      <c r="A128" s="109">
        <v>45580</v>
      </c>
      <c r="B128" s="111" t="s">
        <v>65</v>
      </c>
      <c r="C128" s="111" t="s">
        <v>30</v>
      </c>
      <c r="D128" s="111"/>
      <c r="E128" s="111" t="s">
        <v>273</v>
      </c>
      <c r="F128" s="131">
        <v>-137.9</v>
      </c>
      <c r="G128" s="135"/>
      <c r="H128" s="133" t="s">
        <v>66</v>
      </c>
      <c r="I128" s="133" t="s">
        <v>119</v>
      </c>
      <c r="J128" s="111"/>
      <c r="K128" s="135"/>
      <c r="L128" s="153">
        <f t="shared" si="3"/>
        <v>-137.9</v>
      </c>
      <c r="M128" s="111" t="s">
        <v>274</v>
      </c>
    </row>
    <row r="129" spans="1:13" customFormat="1" x14ac:dyDescent="0.35">
      <c r="A129" s="109">
        <v>45499</v>
      </c>
      <c r="B129" s="111" t="s">
        <v>65</v>
      </c>
      <c r="C129" s="111" t="s">
        <v>69</v>
      </c>
      <c r="D129" s="111"/>
      <c r="E129" s="111" t="s">
        <v>275</v>
      </c>
      <c r="F129" s="149">
        <v>-211.6</v>
      </c>
      <c r="G129" s="135"/>
      <c r="H129" s="133" t="s">
        <v>66</v>
      </c>
      <c r="I129" s="133" t="s">
        <v>119</v>
      </c>
      <c r="J129" s="111"/>
      <c r="K129" s="135"/>
      <c r="L129" s="153">
        <f t="shared" si="3"/>
        <v>-211.6</v>
      </c>
      <c r="M129" s="111" t="s">
        <v>276</v>
      </c>
    </row>
    <row r="130" spans="1:13" customFormat="1" x14ac:dyDescent="0.35">
      <c r="A130" s="109">
        <v>45692</v>
      </c>
      <c r="B130" s="111" t="s">
        <v>65</v>
      </c>
      <c r="C130" s="111" t="s">
        <v>69</v>
      </c>
      <c r="D130" s="111"/>
      <c r="E130" s="111" t="s">
        <v>277</v>
      </c>
      <c r="F130" s="153">
        <v>-110.56</v>
      </c>
      <c r="G130" s="135"/>
      <c r="H130" s="134" t="s">
        <v>66</v>
      </c>
      <c r="I130" s="133" t="s">
        <v>119</v>
      </c>
      <c r="J130" s="111"/>
      <c r="K130" s="135">
        <v>45722</v>
      </c>
      <c r="L130" s="153">
        <f t="shared" si="3"/>
        <v>-110.56</v>
      </c>
      <c r="M130" s="111" t="s">
        <v>278</v>
      </c>
    </row>
    <row r="131" spans="1:13" customFormat="1" x14ac:dyDescent="0.35">
      <c r="A131" s="109">
        <v>45566</v>
      </c>
      <c r="B131" s="111" t="s">
        <v>65</v>
      </c>
      <c r="C131" s="111" t="s">
        <v>69</v>
      </c>
      <c r="D131" s="111"/>
      <c r="E131" s="111" t="s">
        <v>279</v>
      </c>
      <c r="F131" s="131">
        <v>-74.92</v>
      </c>
      <c r="G131" s="135"/>
      <c r="H131" s="133" t="s">
        <v>66</v>
      </c>
      <c r="I131" s="133" t="s">
        <v>119</v>
      </c>
      <c r="J131" s="111"/>
      <c r="K131" s="135"/>
      <c r="L131" s="153">
        <f t="shared" si="3"/>
        <v>-74.92</v>
      </c>
      <c r="M131" s="111" t="s">
        <v>280</v>
      </c>
    </row>
    <row r="132" spans="1:13" customFormat="1" x14ac:dyDescent="0.35">
      <c r="A132" s="109">
        <v>45908</v>
      </c>
      <c r="B132" s="121" t="s">
        <v>65</v>
      </c>
      <c r="C132" s="121" t="s">
        <v>69</v>
      </c>
      <c r="D132" s="111"/>
      <c r="E132" s="121" t="s">
        <v>281</v>
      </c>
      <c r="F132" s="153">
        <v>-113.18</v>
      </c>
      <c r="G132" s="135">
        <f>A132+30</f>
        <v>45938</v>
      </c>
      <c r="H132" s="134" t="s">
        <v>66</v>
      </c>
      <c r="I132" s="133" t="s">
        <v>119</v>
      </c>
      <c r="J132" s="111"/>
      <c r="K132" s="135">
        <v>45915</v>
      </c>
      <c r="L132" s="111"/>
      <c r="M132" s="196"/>
    </row>
    <row r="133" spans="1:13" customFormat="1" x14ac:dyDescent="0.35">
      <c r="A133" s="176">
        <v>46027</v>
      </c>
      <c r="B133" s="140" t="s">
        <v>65</v>
      </c>
      <c r="C133" s="140" t="s">
        <v>69</v>
      </c>
      <c r="D133" s="140"/>
      <c r="E133" s="140" t="s">
        <v>282</v>
      </c>
      <c r="F133" s="174">
        <v>-108.42</v>
      </c>
      <c r="G133" s="245">
        <f>A133+30</f>
        <v>46057</v>
      </c>
      <c r="H133" s="175" t="s">
        <v>66</v>
      </c>
      <c r="I133" s="142" t="s">
        <v>145</v>
      </c>
      <c r="J133" s="111"/>
      <c r="K133" s="160">
        <v>46062</v>
      </c>
      <c r="L133" s="111"/>
      <c r="M133" s="196"/>
    </row>
    <row r="134" spans="1:13" customFormat="1" x14ac:dyDescent="0.35">
      <c r="A134" s="109">
        <v>45804</v>
      </c>
      <c r="B134" s="111" t="s">
        <v>65</v>
      </c>
      <c r="C134" s="111" t="s">
        <v>70</v>
      </c>
      <c r="D134" s="111"/>
      <c r="E134" s="184">
        <v>3474669938</v>
      </c>
      <c r="F134" s="153">
        <v>-10.74</v>
      </c>
      <c r="G134" s="133"/>
      <c r="H134" s="133" t="s">
        <v>66</v>
      </c>
      <c r="I134" s="133" t="s">
        <v>232</v>
      </c>
      <c r="J134" s="111"/>
      <c r="K134" s="135">
        <v>45813</v>
      </c>
      <c r="L134" s="111">
        <f t="shared" ref="L134:L170" si="4">F134</f>
        <v>-10.74</v>
      </c>
      <c r="M134" s="111" t="s">
        <v>283</v>
      </c>
    </row>
    <row r="135" spans="1:13" customFormat="1" x14ac:dyDescent="0.35">
      <c r="A135" s="109">
        <v>45608</v>
      </c>
      <c r="B135" s="111" t="s">
        <v>65</v>
      </c>
      <c r="C135" s="111" t="s">
        <v>284</v>
      </c>
      <c r="D135" s="111"/>
      <c r="E135" s="111"/>
      <c r="F135" s="131">
        <v>-4501.6899999999996</v>
      </c>
      <c r="G135" s="135">
        <v>45652</v>
      </c>
      <c r="H135" s="133" t="s">
        <v>66</v>
      </c>
      <c r="I135" s="133" t="s">
        <v>119</v>
      </c>
      <c r="J135" s="111"/>
      <c r="K135" s="135">
        <v>45652</v>
      </c>
      <c r="L135" s="153">
        <f t="shared" si="4"/>
        <v>-4501.6899999999996</v>
      </c>
      <c r="M135" s="111" t="s">
        <v>285</v>
      </c>
    </row>
    <row r="136" spans="1:13" customFormat="1" x14ac:dyDescent="0.35">
      <c r="A136" s="109">
        <v>45608</v>
      </c>
      <c r="B136" s="111" t="s">
        <v>65</v>
      </c>
      <c r="C136" s="111" t="s">
        <v>284</v>
      </c>
      <c r="D136" s="111"/>
      <c r="E136" s="111"/>
      <c r="F136" s="131">
        <v>-4501.7</v>
      </c>
      <c r="G136" s="135">
        <v>45621</v>
      </c>
      <c r="H136" s="133" t="s">
        <v>66</v>
      </c>
      <c r="I136" s="133" t="s">
        <v>119</v>
      </c>
      <c r="J136" s="111"/>
      <c r="K136" s="135">
        <v>45621</v>
      </c>
      <c r="L136" s="153">
        <f t="shared" si="4"/>
        <v>-4501.7</v>
      </c>
      <c r="M136" s="111" t="s">
        <v>88</v>
      </c>
    </row>
    <row r="137" spans="1:13" customFormat="1" x14ac:dyDescent="0.35">
      <c r="A137" s="109">
        <v>45336</v>
      </c>
      <c r="B137" s="111" t="s">
        <v>65</v>
      </c>
      <c r="C137" s="111" t="s">
        <v>286</v>
      </c>
      <c r="D137" s="111"/>
      <c r="E137" s="111" t="s">
        <v>287</v>
      </c>
      <c r="F137" s="131">
        <v>-1149.68</v>
      </c>
      <c r="G137" s="135"/>
      <c r="H137" s="133" t="s">
        <v>66</v>
      </c>
      <c r="I137" s="133"/>
      <c r="J137" s="111"/>
      <c r="K137" s="135"/>
      <c r="L137" s="153">
        <f t="shared" si="4"/>
        <v>-1149.68</v>
      </c>
      <c r="M137" s="111" t="s">
        <v>288</v>
      </c>
    </row>
    <row r="138" spans="1:13" customFormat="1" x14ac:dyDescent="0.35">
      <c r="A138" s="109">
        <v>45336</v>
      </c>
      <c r="B138" s="111" t="s">
        <v>65</v>
      </c>
      <c r="C138" s="111" t="s">
        <v>286</v>
      </c>
      <c r="D138" s="111"/>
      <c r="E138" s="111" t="s">
        <v>289</v>
      </c>
      <c r="F138" s="131">
        <v>-110.7</v>
      </c>
      <c r="G138" s="135"/>
      <c r="H138" s="133" t="s">
        <v>66</v>
      </c>
      <c r="I138" s="133"/>
      <c r="J138" s="111"/>
      <c r="K138" s="135"/>
      <c r="L138" s="153">
        <f t="shared" si="4"/>
        <v>-110.7</v>
      </c>
      <c r="M138" s="111" t="s">
        <v>290</v>
      </c>
    </row>
    <row r="139" spans="1:13" customFormat="1" x14ac:dyDescent="0.35">
      <c r="A139" s="109">
        <v>45106</v>
      </c>
      <c r="B139" s="111" t="s">
        <v>65</v>
      </c>
      <c r="C139" s="111" t="s">
        <v>291</v>
      </c>
      <c r="D139" s="111"/>
      <c r="E139" s="111">
        <v>21453</v>
      </c>
      <c r="F139" s="131">
        <v>-12.899999999999991</v>
      </c>
      <c r="G139" s="135"/>
      <c r="H139" s="133" t="s">
        <v>66</v>
      </c>
      <c r="I139" s="133"/>
      <c r="J139" s="111"/>
      <c r="K139" s="135"/>
      <c r="L139" s="153">
        <f t="shared" si="4"/>
        <v>-12.899999999999991</v>
      </c>
      <c r="M139" s="111" t="s">
        <v>292</v>
      </c>
    </row>
    <row r="140" spans="1:13" customFormat="1" x14ac:dyDescent="0.35">
      <c r="A140" s="109">
        <v>45237</v>
      </c>
      <c r="B140" s="111" t="s">
        <v>65</v>
      </c>
      <c r="C140" s="111" t="s">
        <v>291</v>
      </c>
      <c r="D140" s="111"/>
      <c r="E140" s="111" t="s">
        <v>293</v>
      </c>
      <c r="F140" s="131">
        <v>-51.94</v>
      </c>
      <c r="G140" s="135"/>
      <c r="H140" s="133" t="s">
        <v>66</v>
      </c>
      <c r="I140" s="133"/>
      <c r="J140" s="111"/>
      <c r="K140" s="135"/>
      <c r="L140" s="153">
        <f t="shared" si="4"/>
        <v>-51.94</v>
      </c>
      <c r="M140" s="111" t="s">
        <v>294</v>
      </c>
    </row>
    <row r="141" spans="1:13" customFormat="1" x14ac:dyDescent="0.35">
      <c r="A141" s="109">
        <v>45246</v>
      </c>
      <c r="B141" s="111" t="s">
        <v>65</v>
      </c>
      <c r="C141" s="111" t="s">
        <v>291</v>
      </c>
      <c r="D141" s="111"/>
      <c r="E141" s="111" t="s">
        <v>295</v>
      </c>
      <c r="F141" s="131">
        <v>-85.86</v>
      </c>
      <c r="G141" s="135"/>
      <c r="H141" s="133" t="s">
        <v>66</v>
      </c>
      <c r="I141" s="133"/>
      <c r="J141" s="111"/>
      <c r="K141" s="135"/>
      <c r="L141" s="153">
        <f t="shared" si="4"/>
        <v>-85.86</v>
      </c>
      <c r="M141" s="111" t="s">
        <v>294</v>
      </c>
    </row>
    <row r="142" spans="1:13" customFormat="1" x14ac:dyDescent="0.35">
      <c r="A142" s="109">
        <v>45253</v>
      </c>
      <c r="B142" s="111" t="s">
        <v>65</v>
      </c>
      <c r="C142" s="111" t="s">
        <v>291</v>
      </c>
      <c r="D142" s="111"/>
      <c r="E142" s="111" t="s">
        <v>296</v>
      </c>
      <c r="F142" s="131">
        <v>-82.64</v>
      </c>
      <c r="G142" s="135"/>
      <c r="H142" s="133" t="s">
        <v>66</v>
      </c>
      <c r="I142" s="133"/>
      <c r="J142" s="111"/>
      <c r="K142" s="135"/>
      <c r="L142" s="153">
        <f t="shared" si="4"/>
        <v>-82.64</v>
      </c>
      <c r="M142" s="111" t="s">
        <v>294</v>
      </c>
    </row>
    <row r="143" spans="1:13" customFormat="1" x14ac:dyDescent="0.35">
      <c r="A143" s="109">
        <v>45260</v>
      </c>
      <c r="B143" s="111" t="s">
        <v>65</v>
      </c>
      <c r="C143" s="111" t="s">
        <v>297</v>
      </c>
      <c r="D143" s="111"/>
      <c r="E143" s="111" t="s">
        <v>298</v>
      </c>
      <c r="F143" s="131">
        <v>-80.5</v>
      </c>
      <c r="G143" s="135"/>
      <c r="H143" s="133" t="s">
        <v>66</v>
      </c>
      <c r="I143" s="133"/>
      <c r="J143" s="111"/>
      <c r="K143" s="135"/>
      <c r="L143" s="153">
        <f t="shared" si="4"/>
        <v>-80.5</v>
      </c>
      <c r="M143" s="111" t="s">
        <v>294</v>
      </c>
    </row>
    <row r="144" spans="1:13" customFormat="1" x14ac:dyDescent="0.35">
      <c r="A144" s="109">
        <v>45265</v>
      </c>
      <c r="B144" s="111" t="s">
        <v>65</v>
      </c>
      <c r="C144" s="111" t="s">
        <v>297</v>
      </c>
      <c r="D144" s="111"/>
      <c r="E144" s="111" t="s">
        <v>299</v>
      </c>
      <c r="F144" s="131">
        <v>-48.29</v>
      </c>
      <c r="G144" s="135"/>
      <c r="H144" s="133" t="s">
        <v>66</v>
      </c>
      <c r="I144" s="133"/>
      <c r="J144" s="111"/>
      <c r="K144" s="135"/>
      <c r="L144" s="153">
        <f t="shared" si="4"/>
        <v>-48.29</v>
      </c>
      <c r="M144" s="111" t="s">
        <v>294</v>
      </c>
    </row>
    <row r="145" spans="1:15" customFormat="1" x14ac:dyDescent="0.35">
      <c r="A145" s="109">
        <v>45272</v>
      </c>
      <c r="B145" s="111" t="s">
        <v>65</v>
      </c>
      <c r="C145" s="111" t="s">
        <v>297</v>
      </c>
      <c r="D145" s="111"/>
      <c r="E145" s="111" t="s">
        <v>300</v>
      </c>
      <c r="F145" s="131">
        <v>-60.16</v>
      </c>
      <c r="G145" s="135"/>
      <c r="H145" s="133" t="s">
        <v>66</v>
      </c>
      <c r="I145" s="133"/>
      <c r="J145" s="111"/>
      <c r="K145" s="135"/>
      <c r="L145" s="153">
        <f t="shared" si="4"/>
        <v>-60.16</v>
      </c>
      <c r="M145" s="111" t="s">
        <v>294</v>
      </c>
    </row>
    <row r="146" spans="1:15" customFormat="1" x14ac:dyDescent="0.35">
      <c r="A146" s="109">
        <v>45279</v>
      </c>
      <c r="B146" s="111" t="s">
        <v>65</v>
      </c>
      <c r="C146" s="111" t="s">
        <v>297</v>
      </c>
      <c r="D146" s="111"/>
      <c r="E146" s="111" t="s">
        <v>301</v>
      </c>
      <c r="F146" s="131">
        <v>-63.93</v>
      </c>
      <c r="G146" s="135"/>
      <c r="H146" s="133" t="s">
        <v>66</v>
      </c>
      <c r="I146" s="133"/>
      <c r="J146" s="111"/>
      <c r="K146" s="135"/>
      <c r="L146" s="153">
        <f t="shared" si="4"/>
        <v>-63.93</v>
      </c>
      <c r="M146" s="111" t="s">
        <v>294</v>
      </c>
    </row>
    <row r="147" spans="1:15" customFormat="1" x14ac:dyDescent="0.35">
      <c r="A147" s="109">
        <v>45288</v>
      </c>
      <c r="B147" s="111" t="s">
        <v>65</v>
      </c>
      <c r="C147" s="111" t="s">
        <v>291</v>
      </c>
      <c r="D147" s="111"/>
      <c r="E147" s="111" t="s">
        <v>302</v>
      </c>
      <c r="F147" s="131">
        <v>-56.36</v>
      </c>
      <c r="G147" s="135"/>
      <c r="H147" s="133" t="s">
        <v>66</v>
      </c>
      <c r="I147" s="133"/>
      <c r="J147" s="111"/>
      <c r="K147" s="135"/>
      <c r="L147" s="153">
        <f t="shared" si="4"/>
        <v>-56.36</v>
      </c>
      <c r="M147" s="111" t="s">
        <v>294</v>
      </c>
      <c r="O147">
        <f>MONTH(K147)</f>
        <v>1</v>
      </c>
    </row>
    <row r="148" spans="1:15" customFormat="1" x14ac:dyDescent="0.35">
      <c r="A148" s="109">
        <v>45300</v>
      </c>
      <c r="B148" s="111" t="s">
        <v>65</v>
      </c>
      <c r="C148" s="111" t="s">
        <v>291</v>
      </c>
      <c r="D148" s="111"/>
      <c r="E148" s="111" t="s">
        <v>303</v>
      </c>
      <c r="F148" s="131">
        <v>-53.3</v>
      </c>
      <c r="G148" s="135"/>
      <c r="H148" s="133" t="s">
        <v>66</v>
      </c>
      <c r="I148" s="133"/>
      <c r="J148" s="111"/>
      <c r="K148" s="135"/>
      <c r="L148" s="153">
        <f t="shared" si="4"/>
        <v>-53.3</v>
      </c>
      <c r="M148" s="111" t="s">
        <v>304</v>
      </c>
    </row>
    <row r="149" spans="1:15" customFormat="1" x14ac:dyDescent="0.35">
      <c r="A149" s="109">
        <v>45315</v>
      </c>
      <c r="B149" s="111" t="s">
        <v>65</v>
      </c>
      <c r="C149" s="111" t="s">
        <v>291</v>
      </c>
      <c r="D149" s="111"/>
      <c r="E149" s="111" t="s">
        <v>305</v>
      </c>
      <c r="F149" s="131">
        <v>-55.89</v>
      </c>
      <c r="G149" s="135"/>
      <c r="H149" s="133" t="s">
        <v>66</v>
      </c>
      <c r="I149" s="133"/>
      <c r="J149" s="111"/>
      <c r="K149" s="135"/>
      <c r="L149" s="153">
        <f t="shared" si="4"/>
        <v>-55.89</v>
      </c>
      <c r="M149" s="111" t="s">
        <v>304</v>
      </c>
    </row>
    <row r="150" spans="1:15" customFormat="1" x14ac:dyDescent="0.35">
      <c r="A150" s="109">
        <v>45322</v>
      </c>
      <c r="B150" s="111" t="s">
        <v>65</v>
      </c>
      <c r="C150" s="111" t="s">
        <v>291</v>
      </c>
      <c r="D150" s="111"/>
      <c r="E150" s="111" t="s">
        <v>306</v>
      </c>
      <c r="F150" s="131">
        <v>-33.94</v>
      </c>
      <c r="G150" s="135"/>
      <c r="H150" s="133" t="s">
        <v>66</v>
      </c>
      <c r="I150" s="133"/>
      <c r="J150" s="111"/>
      <c r="K150" s="135"/>
      <c r="L150" s="153">
        <f t="shared" si="4"/>
        <v>-33.94</v>
      </c>
      <c r="M150" s="111" t="s">
        <v>294</v>
      </c>
    </row>
    <row r="151" spans="1:15" customFormat="1" x14ac:dyDescent="0.35">
      <c r="A151" s="109">
        <v>45329</v>
      </c>
      <c r="B151" s="111" t="s">
        <v>65</v>
      </c>
      <c r="C151" s="111" t="s">
        <v>291</v>
      </c>
      <c r="D151" s="111"/>
      <c r="E151" s="111" t="s">
        <v>307</v>
      </c>
      <c r="F151" s="131">
        <v>-31.96</v>
      </c>
      <c r="G151" s="135"/>
      <c r="H151" s="133" t="s">
        <v>66</v>
      </c>
      <c r="I151" s="133"/>
      <c r="J151" s="111"/>
      <c r="K151" s="135"/>
      <c r="L151" s="153">
        <f t="shared" si="4"/>
        <v>-31.96</v>
      </c>
      <c r="M151" s="111" t="s">
        <v>294</v>
      </c>
    </row>
    <row r="152" spans="1:15" customFormat="1" x14ac:dyDescent="0.35">
      <c r="A152" s="109">
        <v>45332</v>
      </c>
      <c r="B152" s="111" t="s">
        <v>65</v>
      </c>
      <c r="C152" s="111" t="s">
        <v>291</v>
      </c>
      <c r="D152" s="111"/>
      <c r="E152" s="111" t="s">
        <v>308</v>
      </c>
      <c r="F152" s="131">
        <v>-14.1</v>
      </c>
      <c r="G152" s="135"/>
      <c r="H152" s="133" t="s">
        <v>66</v>
      </c>
      <c r="I152" s="133"/>
      <c r="J152" s="111"/>
      <c r="K152" s="135"/>
      <c r="L152" s="153">
        <f t="shared" si="4"/>
        <v>-14.1</v>
      </c>
      <c r="M152" s="111" t="s">
        <v>309</v>
      </c>
    </row>
    <row r="153" spans="1:15" customFormat="1" x14ac:dyDescent="0.35">
      <c r="A153" s="109">
        <v>45336</v>
      </c>
      <c r="B153" s="111" t="s">
        <v>65</v>
      </c>
      <c r="C153" s="111" t="s">
        <v>297</v>
      </c>
      <c r="D153" s="111"/>
      <c r="E153" s="111" t="s">
        <v>310</v>
      </c>
      <c r="F153" s="131">
        <v>-25.57</v>
      </c>
      <c r="G153" s="135"/>
      <c r="H153" s="133" t="s">
        <v>66</v>
      </c>
      <c r="I153" s="133"/>
      <c r="J153" s="111"/>
      <c r="K153" s="135"/>
      <c r="L153" s="153">
        <f t="shared" si="4"/>
        <v>-25.57</v>
      </c>
      <c r="M153" s="111" t="s">
        <v>311</v>
      </c>
    </row>
    <row r="154" spans="1:15" customFormat="1" x14ac:dyDescent="0.35">
      <c r="A154" s="109">
        <v>45343</v>
      </c>
      <c r="B154" s="111" t="s">
        <v>65</v>
      </c>
      <c r="C154" s="111" t="s">
        <v>291</v>
      </c>
      <c r="D154" s="111"/>
      <c r="E154" s="111" t="s">
        <v>312</v>
      </c>
      <c r="F154" s="131">
        <v>-32.46</v>
      </c>
      <c r="G154" s="135"/>
      <c r="H154" s="133" t="s">
        <v>66</v>
      </c>
      <c r="I154" s="133"/>
      <c r="J154" s="111"/>
      <c r="K154" s="135"/>
      <c r="L154" s="153">
        <f t="shared" si="4"/>
        <v>-32.46</v>
      </c>
      <c r="M154" s="111" t="s">
        <v>294</v>
      </c>
    </row>
    <row r="155" spans="1:15" customFormat="1" x14ac:dyDescent="0.35">
      <c r="A155" s="109">
        <v>45358</v>
      </c>
      <c r="B155" s="111" t="s">
        <v>65</v>
      </c>
      <c r="C155" s="111" t="s">
        <v>291</v>
      </c>
      <c r="D155" s="111"/>
      <c r="E155" s="111" t="s">
        <v>313</v>
      </c>
      <c r="F155" s="131">
        <v>-31.94</v>
      </c>
      <c r="G155" s="135"/>
      <c r="H155" s="133" t="s">
        <v>66</v>
      </c>
      <c r="I155" s="133"/>
      <c r="J155" s="111"/>
      <c r="K155" s="135"/>
      <c r="L155" s="153">
        <f t="shared" si="4"/>
        <v>-31.94</v>
      </c>
      <c r="M155" s="111" t="s">
        <v>304</v>
      </c>
    </row>
    <row r="156" spans="1:15" customFormat="1" x14ac:dyDescent="0.35">
      <c r="A156" s="109">
        <v>45379</v>
      </c>
      <c r="B156" s="111" t="s">
        <v>65</v>
      </c>
      <c r="C156" s="111" t="s">
        <v>291</v>
      </c>
      <c r="D156" s="111"/>
      <c r="E156" s="111" t="s">
        <v>314</v>
      </c>
      <c r="F156" s="131">
        <v>-46.11</v>
      </c>
      <c r="G156" s="135"/>
      <c r="H156" s="133" t="s">
        <v>66</v>
      </c>
      <c r="I156" s="133"/>
      <c r="J156" s="111"/>
      <c r="K156" s="135"/>
      <c r="L156" s="153">
        <f t="shared" si="4"/>
        <v>-46.11</v>
      </c>
      <c r="M156" s="111" t="s">
        <v>315</v>
      </c>
    </row>
    <row r="157" spans="1:15" customFormat="1" x14ac:dyDescent="0.35">
      <c r="A157" s="109">
        <v>45386</v>
      </c>
      <c r="B157" s="111" t="s">
        <v>65</v>
      </c>
      <c r="C157" s="111" t="s">
        <v>291</v>
      </c>
      <c r="D157" s="111"/>
      <c r="E157" s="111" t="s">
        <v>316</v>
      </c>
      <c r="F157" s="131">
        <v>-19.96</v>
      </c>
      <c r="G157" s="135"/>
      <c r="H157" s="133" t="s">
        <v>66</v>
      </c>
      <c r="I157" s="133"/>
      <c r="J157" s="111"/>
      <c r="K157" s="135"/>
      <c r="L157" s="153">
        <f t="shared" si="4"/>
        <v>-19.96</v>
      </c>
      <c r="M157" s="111" t="s">
        <v>294</v>
      </c>
    </row>
    <row r="158" spans="1:15" customFormat="1" x14ac:dyDescent="0.35">
      <c r="A158" s="109">
        <v>45392</v>
      </c>
      <c r="B158" s="111" t="s">
        <v>65</v>
      </c>
      <c r="C158" s="111" t="s">
        <v>291</v>
      </c>
      <c r="D158" s="111"/>
      <c r="E158" s="111" t="s">
        <v>317</v>
      </c>
      <c r="F158" s="131">
        <v>-48.33</v>
      </c>
      <c r="G158" s="135"/>
      <c r="H158" s="133" t="s">
        <v>66</v>
      </c>
      <c r="I158" s="133"/>
      <c r="J158" s="111"/>
      <c r="K158" s="135"/>
      <c r="L158" s="153">
        <f t="shared" si="4"/>
        <v>-48.33</v>
      </c>
      <c r="M158" s="111" t="s">
        <v>294</v>
      </c>
    </row>
    <row r="159" spans="1:15" customFormat="1" x14ac:dyDescent="0.35">
      <c r="A159" s="109">
        <v>45398</v>
      </c>
      <c r="B159" s="111" t="s">
        <v>65</v>
      </c>
      <c r="C159" s="111" t="s">
        <v>291</v>
      </c>
      <c r="D159" s="111"/>
      <c r="E159" s="111" t="s">
        <v>318</v>
      </c>
      <c r="F159" s="131">
        <v>-23.25</v>
      </c>
      <c r="G159" s="135"/>
      <c r="H159" s="133" t="s">
        <v>66</v>
      </c>
      <c r="I159" s="133"/>
      <c r="J159" s="111"/>
      <c r="K159" s="135"/>
      <c r="L159" s="153">
        <f t="shared" si="4"/>
        <v>-23.25</v>
      </c>
      <c r="M159" s="111" t="s">
        <v>294</v>
      </c>
    </row>
    <row r="160" spans="1:15" customFormat="1" x14ac:dyDescent="0.35">
      <c r="A160" s="109">
        <v>45400</v>
      </c>
      <c r="B160" s="111" t="s">
        <v>65</v>
      </c>
      <c r="C160" s="111" t="s">
        <v>291</v>
      </c>
      <c r="D160" s="111"/>
      <c r="E160" s="111" t="s">
        <v>319</v>
      </c>
      <c r="F160" s="131">
        <v>-50.4</v>
      </c>
      <c r="G160" s="135"/>
      <c r="H160" s="133" t="s">
        <v>66</v>
      </c>
      <c r="I160" s="133"/>
      <c r="J160" s="111"/>
      <c r="K160" s="135"/>
      <c r="L160" s="153">
        <f t="shared" si="4"/>
        <v>-50.4</v>
      </c>
      <c r="M160" s="111" t="s">
        <v>294</v>
      </c>
    </row>
    <row r="161" spans="1:13" customFormat="1" x14ac:dyDescent="0.35">
      <c r="A161" s="109">
        <v>45405</v>
      </c>
      <c r="B161" s="111" t="s">
        <v>65</v>
      </c>
      <c r="C161" s="111" t="s">
        <v>291</v>
      </c>
      <c r="D161" s="111"/>
      <c r="E161" s="111" t="s">
        <v>320</v>
      </c>
      <c r="F161" s="131">
        <v>-38.049999999999997</v>
      </c>
      <c r="G161" s="135"/>
      <c r="H161" s="133" t="s">
        <v>66</v>
      </c>
      <c r="I161" s="133"/>
      <c r="J161" s="111"/>
      <c r="K161" s="135"/>
      <c r="L161" s="153">
        <f t="shared" si="4"/>
        <v>-38.049999999999997</v>
      </c>
      <c r="M161" s="111" t="s">
        <v>294</v>
      </c>
    </row>
    <row r="162" spans="1:13" customFormat="1" x14ac:dyDescent="0.35">
      <c r="A162" s="109">
        <v>45412</v>
      </c>
      <c r="B162" s="111" t="s">
        <v>65</v>
      </c>
      <c r="C162" s="111" t="s">
        <v>291</v>
      </c>
      <c r="D162" s="111"/>
      <c r="E162" s="111" t="s">
        <v>321</v>
      </c>
      <c r="F162" s="131">
        <v>-22.75</v>
      </c>
      <c r="G162" s="135"/>
      <c r="H162" s="133" t="s">
        <v>66</v>
      </c>
      <c r="I162" s="133"/>
      <c r="J162" s="111"/>
      <c r="K162" s="135"/>
      <c r="L162" s="153">
        <f t="shared" si="4"/>
        <v>-22.75</v>
      </c>
      <c r="M162" s="111" t="s">
        <v>294</v>
      </c>
    </row>
    <row r="163" spans="1:13" customFormat="1" x14ac:dyDescent="0.35">
      <c r="A163" s="109">
        <v>45419</v>
      </c>
      <c r="B163" s="111" t="s">
        <v>65</v>
      </c>
      <c r="C163" s="111" t="s">
        <v>291</v>
      </c>
      <c r="D163" s="111"/>
      <c r="E163" s="111" t="s">
        <v>322</v>
      </c>
      <c r="F163" s="131">
        <v>-25.93</v>
      </c>
      <c r="G163" s="135"/>
      <c r="H163" s="133" t="s">
        <v>66</v>
      </c>
      <c r="I163" s="133"/>
      <c r="J163" s="111">
        <v>45450</v>
      </c>
      <c r="K163" s="135"/>
      <c r="L163" s="153">
        <f t="shared" si="4"/>
        <v>-25.93</v>
      </c>
      <c r="M163" s="111" t="s">
        <v>294</v>
      </c>
    </row>
    <row r="164" spans="1:13" customFormat="1" x14ac:dyDescent="0.35">
      <c r="A164" s="109">
        <v>45421</v>
      </c>
      <c r="B164" s="111" t="s">
        <v>65</v>
      </c>
      <c r="C164" s="111" t="s">
        <v>291</v>
      </c>
      <c r="D164" s="111"/>
      <c r="E164" s="111" t="s">
        <v>323</v>
      </c>
      <c r="F164" s="131">
        <v>-25.93</v>
      </c>
      <c r="G164" s="135"/>
      <c r="H164" s="133" t="s">
        <v>66</v>
      </c>
      <c r="I164" s="133"/>
      <c r="J164" s="111">
        <v>45450</v>
      </c>
      <c r="K164" s="135"/>
      <c r="L164" s="153">
        <f t="shared" si="4"/>
        <v>-25.93</v>
      </c>
      <c r="M164" s="111" t="s">
        <v>294</v>
      </c>
    </row>
    <row r="165" spans="1:13" customFormat="1" x14ac:dyDescent="0.35">
      <c r="A165" s="109">
        <v>45422</v>
      </c>
      <c r="B165" s="111" t="s">
        <v>65</v>
      </c>
      <c r="C165" s="111" t="s">
        <v>297</v>
      </c>
      <c r="D165" s="111"/>
      <c r="E165" s="111" t="s">
        <v>324</v>
      </c>
      <c r="F165" s="131">
        <v>-28.56</v>
      </c>
      <c r="G165" s="135"/>
      <c r="H165" s="133" t="s">
        <v>66</v>
      </c>
      <c r="I165" s="133"/>
      <c r="J165" s="111">
        <v>45450</v>
      </c>
      <c r="K165" s="135"/>
      <c r="L165" s="153">
        <f t="shared" si="4"/>
        <v>-28.56</v>
      </c>
      <c r="M165" s="111" t="s">
        <v>325</v>
      </c>
    </row>
    <row r="166" spans="1:13" customFormat="1" x14ac:dyDescent="0.35">
      <c r="A166" s="109">
        <v>45427</v>
      </c>
      <c r="B166" s="111" t="s">
        <v>65</v>
      </c>
      <c r="C166" s="111" t="s">
        <v>291</v>
      </c>
      <c r="D166" s="111"/>
      <c r="E166" s="111" t="s">
        <v>326</v>
      </c>
      <c r="F166" s="131">
        <v>-30.03</v>
      </c>
      <c r="G166" s="135"/>
      <c r="H166" s="133" t="s">
        <v>66</v>
      </c>
      <c r="I166" s="133"/>
      <c r="J166" s="111">
        <v>45450</v>
      </c>
      <c r="K166" s="135"/>
      <c r="L166" s="153">
        <f t="shared" si="4"/>
        <v>-30.03</v>
      </c>
      <c r="M166" s="111" t="s">
        <v>325</v>
      </c>
    </row>
    <row r="167" spans="1:13" customFormat="1" x14ac:dyDescent="0.35">
      <c r="A167" s="109">
        <v>45434</v>
      </c>
      <c r="B167" s="111" t="s">
        <v>65</v>
      </c>
      <c r="C167" s="111" t="s">
        <v>291</v>
      </c>
      <c r="D167" s="111"/>
      <c r="E167" s="111" t="s">
        <v>327</v>
      </c>
      <c r="F167" s="131">
        <v>-26.1</v>
      </c>
      <c r="G167" s="135"/>
      <c r="H167" s="133" t="s">
        <v>66</v>
      </c>
      <c r="I167" s="133"/>
      <c r="J167" s="111">
        <v>45450</v>
      </c>
      <c r="K167" s="135"/>
      <c r="L167" s="153">
        <f t="shared" si="4"/>
        <v>-26.1</v>
      </c>
      <c r="M167" s="111" t="s">
        <v>328</v>
      </c>
    </row>
    <row r="168" spans="1:13" customFormat="1" x14ac:dyDescent="0.35">
      <c r="A168" s="109">
        <v>45436</v>
      </c>
      <c r="B168" s="111" t="s">
        <v>65</v>
      </c>
      <c r="C168" s="111" t="s">
        <v>291</v>
      </c>
      <c r="D168" s="111"/>
      <c r="E168" s="111" t="s">
        <v>329</v>
      </c>
      <c r="F168" s="131">
        <v>-19.899999999999999</v>
      </c>
      <c r="G168" s="135"/>
      <c r="H168" s="133" t="s">
        <v>66</v>
      </c>
      <c r="I168" s="133"/>
      <c r="J168" s="111">
        <v>45450</v>
      </c>
      <c r="K168" s="135"/>
      <c r="L168" s="153">
        <f t="shared" si="4"/>
        <v>-19.899999999999999</v>
      </c>
      <c r="M168" s="111" t="s">
        <v>294</v>
      </c>
    </row>
    <row r="169" spans="1:13" customFormat="1" x14ac:dyDescent="0.35">
      <c r="A169" s="109">
        <v>45440</v>
      </c>
      <c r="B169" s="111" t="s">
        <v>65</v>
      </c>
      <c r="C169" s="111" t="s">
        <v>291</v>
      </c>
      <c r="D169" s="111"/>
      <c r="E169" s="111" t="s">
        <v>330</v>
      </c>
      <c r="F169" s="131">
        <v>-19.93</v>
      </c>
      <c r="G169" s="135"/>
      <c r="H169" s="133" t="s">
        <v>66</v>
      </c>
      <c r="I169" s="133"/>
      <c r="J169" s="111">
        <v>45450</v>
      </c>
      <c r="K169" s="135"/>
      <c r="L169" s="153">
        <f t="shared" si="4"/>
        <v>-19.93</v>
      </c>
      <c r="M169" s="111" t="s">
        <v>294</v>
      </c>
    </row>
    <row r="170" spans="1:13" customFormat="1" x14ac:dyDescent="0.35">
      <c r="A170" s="109">
        <v>45443</v>
      </c>
      <c r="B170" s="111" t="s">
        <v>65</v>
      </c>
      <c r="C170" s="111" t="s">
        <v>291</v>
      </c>
      <c r="D170" s="111"/>
      <c r="E170" s="111" t="s">
        <v>331</v>
      </c>
      <c r="F170" s="131">
        <v>-20</v>
      </c>
      <c r="G170" s="135"/>
      <c r="H170" s="133" t="s">
        <v>66</v>
      </c>
      <c r="I170" s="133"/>
      <c r="J170" s="111">
        <v>45450</v>
      </c>
      <c r="K170" s="135"/>
      <c r="L170" s="153">
        <f t="shared" si="4"/>
        <v>-20</v>
      </c>
      <c r="M170" s="111" t="s">
        <v>294</v>
      </c>
    </row>
    <row r="171" spans="1:13" customFormat="1" x14ac:dyDescent="0.35">
      <c r="A171" s="109">
        <v>45658</v>
      </c>
      <c r="B171" s="121" t="s">
        <v>65</v>
      </c>
      <c r="C171" s="111" t="s">
        <v>19</v>
      </c>
      <c r="D171" s="111"/>
      <c r="E171" s="111"/>
      <c r="F171" s="150">
        <v>-165</v>
      </c>
      <c r="G171" s="135">
        <v>45658</v>
      </c>
      <c r="H171" s="152" t="s">
        <v>332</v>
      </c>
      <c r="I171" s="134" t="s">
        <v>119</v>
      </c>
      <c r="J171" s="111"/>
      <c r="K171" s="135">
        <v>45658</v>
      </c>
      <c r="L171" s="153">
        <v>-165</v>
      </c>
      <c r="M171" s="111"/>
    </row>
    <row r="172" spans="1:13" customFormat="1" x14ac:dyDescent="0.35">
      <c r="A172" s="109">
        <v>45689</v>
      </c>
      <c r="B172" s="121" t="s">
        <v>65</v>
      </c>
      <c r="C172" s="111" t="s">
        <v>19</v>
      </c>
      <c r="D172" s="109"/>
      <c r="E172" s="109"/>
      <c r="F172" s="139">
        <v>-165</v>
      </c>
      <c r="G172" s="135">
        <v>45689</v>
      </c>
      <c r="H172" s="166" t="s">
        <v>332</v>
      </c>
      <c r="I172" s="134" t="s">
        <v>119</v>
      </c>
      <c r="J172" s="109"/>
      <c r="K172" s="135">
        <v>45689</v>
      </c>
      <c r="L172" s="153">
        <v>-165</v>
      </c>
      <c r="M172" s="109"/>
    </row>
    <row r="173" spans="1:13" customFormat="1" x14ac:dyDescent="0.35">
      <c r="A173" s="109">
        <v>45717</v>
      </c>
      <c r="B173" s="121" t="s">
        <v>65</v>
      </c>
      <c r="C173" s="111" t="s">
        <v>19</v>
      </c>
      <c r="D173" s="109"/>
      <c r="E173" s="109"/>
      <c r="F173" s="139">
        <v>-165</v>
      </c>
      <c r="G173" s="135">
        <v>45717</v>
      </c>
      <c r="H173" s="166" t="s">
        <v>332</v>
      </c>
      <c r="I173" s="134" t="s">
        <v>119</v>
      </c>
      <c r="J173" s="109"/>
      <c r="K173" s="135">
        <v>45717</v>
      </c>
      <c r="L173" s="153">
        <v>-165</v>
      </c>
      <c r="M173" s="109"/>
    </row>
    <row r="174" spans="1:13" customFormat="1" x14ac:dyDescent="0.35">
      <c r="A174" s="109">
        <v>45748</v>
      </c>
      <c r="B174" s="121" t="s">
        <v>65</v>
      </c>
      <c r="C174" s="111" t="s">
        <v>19</v>
      </c>
      <c r="D174" s="109"/>
      <c r="E174" s="109"/>
      <c r="F174" s="139">
        <v>-165</v>
      </c>
      <c r="G174" s="135">
        <v>45748</v>
      </c>
      <c r="H174" s="166" t="s">
        <v>332</v>
      </c>
      <c r="I174" s="134" t="s">
        <v>119</v>
      </c>
      <c r="J174" s="109"/>
      <c r="K174" s="135">
        <v>45748</v>
      </c>
      <c r="L174" s="153">
        <v>-165</v>
      </c>
      <c r="M174" s="109"/>
    </row>
    <row r="175" spans="1:13" customFormat="1" x14ac:dyDescent="0.35">
      <c r="A175" s="109">
        <v>45778</v>
      </c>
      <c r="B175" s="121" t="s">
        <v>65</v>
      </c>
      <c r="C175" s="111" t="s">
        <v>19</v>
      </c>
      <c r="D175" s="109"/>
      <c r="E175" s="109"/>
      <c r="F175" s="139">
        <v>-165</v>
      </c>
      <c r="G175" s="135">
        <v>45778</v>
      </c>
      <c r="H175" s="166" t="s">
        <v>332</v>
      </c>
      <c r="I175" s="134" t="s">
        <v>119</v>
      </c>
      <c r="J175" s="109"/>
      <c r="K175" s="135">
        <v>45778</v>
      </c>
      <c r="L175" s="153">
        <v>-165</v>
      </c>
      <c r="M175" s="109"/>
    </row>
    <row r="176" spans="1:13" customFormat="1" x14ac:dyDescent="0.35">
      <c r="A176" s="109">
        <v>45809</v>
      </c>
      <c r="B176" s="121" t="s">
        <v>65</v>
      </c>
      <c r="C176" s="111" t="s">
        <v>19</v>
      </c>
      <c r="D176" s="109"/>
      <c r="E176" s="109"/>
      <c r="F176" s="139">
        <v>-165</v>
      </c>
      <c r="G176" s="135">
        <v>45809</v>
      </c>
      <c r="H176" s="166" t="s">
        <v>332</v>
      </c>
      <c r="I176" s="134" t="s">
        <v>119</v>
      </c>
      <c r="J176" s="109"/>
      <c r="K176" s="135">
        <v>45809</v>
      </c>
      <c r="L176" s="153">
        <v>-165</v>
      </c>
      <c r="M176" s="109"/>
    </row>
    <row r="177" spans="1:13" customFormat="1" x14ac:dyDescent="0.35">
      <c r="A177" s="109">
        <v>45839</v>
      </c>
      <c r="B177" s="121" t="s">
        <v>65</v>
      </c>
      <c r="C177" s="111" t="s">
        <v>19</v>
      </c>
      <c r="D177" s="109"/>
      <c r="E177" s="109"/>
      <c r="F177" s="139">
        <v>-165</v>
      </c>
      <c r="G177" s="135">
        <v>45839</v>
      </c>
      <c r="H177" s="166" t="s">
        <v>332</v>
      </c>
      <c r="I177" s="134" t="s">
        <v>119</v>
      </c>
      <c r="J177" s="109"/>
      <c r="K177" s="135">
        <v>45839</v>
      </c>
      <c r="L177" s="153">
        <v>-165</v>
      </c>
      <c r="M177" s="109"/>
    </row>
    <row r="178" spans="1:13" customFormat="1" x14ac:dyDescent="0.35">
      <c r="A178" s="109">
        <v>45870</v>
      </c>
      <c r="B178" s="121" t="s">
        <v>65</v>
      </c>
      <c r="C178" s="111" t="s">
        <v>19</v>
      </c>
      <c r="D178" s="109"/>
      <c r="E178" s="109"/>
      <c r="F178" s="139">
        <v>-165</v>
      </c>
      <c r="G178" s="135">
        <v>45870</v>
      </c>
      <c r="H178" s="166" t="s">
        <v>332</v>
      </c>
      <c r="I178" s="134" t="s">
        <v>119</v>
      </c>
      <c r="J178" s="109"/>
      <c r="K178" s="135">
        <v>45870</v>
      </c>
      <c r="L178" s="153">
        <v>-165</v>
      </c>
      <c r="M178" s="109"/>
    </row>
    <row r="179" spans="1:13" customFormat="1" x14ac:dyDescent="0.35">
      <c r="A179" s="109">
        <v>45901</v>
      </c>
      <c r="B179" s="121" t="s">
        <v>65</v>
      </c>
      <c r="C179" s="111" t="s">
        <v>19</v>
      </c>
      <c r="D179" s="109"/>
      <c r="E179" s="109"/>
      <c r="F179" s="139">
        <v>-165</v>
      </c>
      <c r="G179" s="135">
        <v>45901</v>
      </c>
      <c r="H179" s="166" t="s">
        <v>332</v>
      </c>
      <c r="I179" s="134" t="s">
        <v>119</v>
      </c>
      <c r="J179" s="109"/>
      <c r="K179" s="135">
        <v>45901</v>
      </c>
      <c r="L179" s="153">
        <v>-165</v>
      </c>
      <c r="M179" s="109"/>
    </row>
    <row r="180" spans="1:13" customFormat="1" x14ac:dyDescent="0.35">
      <c r="A180" s="109">
        <v>45931</v>
      </c>
      <c r="B180" s="121" t="s">
        <v>65</v>
      </c>
      <c r="C180" s="111" t="s">
        <v>19</v>
      </c>
      <c r="D180" s="111"/>
      <c r="E180" s="111"/>
      <c r="F180" s="139">
        <v>-165</v>
      </c>
      <c r="G180" s="135">
        <v>45931</v>
      </c>
      <c r="H180" s="166" t="s">
        <v>332</v>
      </c>
      <c r="I180" s="134" t="s">
        <v>119</v>
      </c>
      <c r="J180" s="111"/>
      <c r="K180" s="135">
        <v>45931</v>
      </c>
      <c r="L180" s="153">
        <v>-165</v>
      </c>
      <c r="M180" s="111"/>
    </row>
    <row r="181" spans="1:13" customFormat="1" x14ac:dyDescent="0.35">
      <c r="A181" s="109">
        <v>45962</v>
      </c>
      <c r="B181" s="121" t="s">
        <v>65</v>
      </c>
      <c r="C181" s="111" t="s">
        <v>19</v>
      </c>
      <c r="D181" s="111"/>
      <c r="E181" s="111"/>
      <c r="F181" s="139">
        <v>-165</v>
      </c>
      <c r="G181" s="135">
        <v>45962</v>
      </c>
      <c r="H181" s="166" t="s">
        <v>332</v>
      </c>
      <c r="I181" s="134" t="s">
        <v>119</v>
      </c>
      <c r="J181" s="111"/>
      <c r="K181" s="135">
        <v>45962</v>
      </c>
      <c r="L181" s="153">
        <v>-165</v>
      </c>
      <c r="M181" s="111"/>
    </row>
    <row r="182" spans="1:13" customFormat="1" x14ac:dyDescent="0.35">
      <c r="A182" s="109">
        <v>45992</v>
      </c>
      <c r="B182" s="121" t="s">
        <v>65</v>
      </c>
      <c r="C182" s="111" t="s">
        <v>19</v>
      </c>
      <c r="D182" s="111"/>
      <c r="E182" s="111"/>
      <c r="F182" s="139">
        <v>-165</v>
      </c>
      <c r="G182" s="135">
        <v>45992</v>
      </c>
      <c r="H182" s="166" t="s">
        <v>332</v>
      </c>
      <c r="I182" s="134" t="s">
        <v>119</v>
      </c>
      <c r="J182" s="111"/>
      <c r="K182" s="135">
        <v>45992</v>
      </c>
      <c r="L182" s="153">
        <v>-165</v>
      </c>
      <c r="M182" s="111"/>
    </row>
    <row r="183" spans="1:13" customFormat="1" x14ac:dyDescent="0.35">
      <c r="A183" s="109">
        <v>45448</v>
      </c>
      <c r="B183" s="111" t="s">
        <v>65</v>
      </c>
      <c r="C183" s="111" t="s">
        <v>291</v>
      </c>
      <c r="D183" s="111"/>
      <c r="E183" s="111" t="s">
        <v>333</v>
      </c>
      <c r="F183" s="131">
        <v>-22.03</v>
      </c>
      <c r="G183" s="135"/>
      <c r="H183" s="133" t="s">
        <v>66</v>
      </c>
      <c r="I183" s="133"/>
      <c r="J183" s="111"/>
      <c r="K183" s="135"/>
      <c r="L183" s="153">
        <f t="shared" ref="L183:L196" si="5">F183</f>
        <v>-22.03</v>
      </c>
      <c r="M183" s="111" t="s">
        <v>325</v>
      </c>
    </row>
    <row r="184" spans="1:13" customFormat="1" x14ac:dyDescent="0.35">
      <c r="A184" s="109">
        <v>45229</v>
      </c>
      <c r="B184" s="111" t="s">
        <v>65</v>
      </c>
      <c r="C184" s="155" t="s">
        <v>71</v>
      </c>
      <c r="D184" s="111"/>
      <c r="E184" s="155" t="s">
        <v>334</v>
      </c>
      <c r="F184" s="189">
        <v>-195</v>
      </c>
      <c r="G184" s="135"/>
      <c r="H184" s="133" t="s">
        <v>144</v>
      </c>
      <c r="I184" s="133"/>
      <c r="J184" s="111"/>
      <c r="K184" s="135"/>
      <c r="L184" s="153">
        <f t="shared" si="5"/>
        <v>-195</v>
      </c>
      <c r="M184" s="111" t="s">
        <v>335</v>
      </c>
    </row>
    <row r="185" spans="1:13" customFormat="1" x14ac:dyDescent="0.35">
      <c r="A185" s="109">
        <v>45412</v>
      </c>
      <c r="B185" s="111" t="s">
        <v>65</v>
      </c>
      <c r="C185" s="155" t="s">
        <v>71</v>
      </c>
      <c r="D185" s="111"/>
      <c r="E185" s="171" t="s">
        <v>336</v>
      </c>
      <c r="F185" s="189">
        <v>-2029.5</v>
      </c>
      <c r="G185" s="135"/>
      <c r="H185" s="133" t="s">
        <v>144</v>
      </c>
      <c r="I185" s="133" t="s">
        <v>119</v>
      </c>
      <c r="J185" s="111"/>
      <c r="K185" s="135"/>
      <c r="L185" s="153">
        <f t="shared" si="5"/>
        <v>-2029.5</v>
      </c>
      <c r="M185" s="111" t="s">
        <v>337</v>
      </c>
    </row>
    <row r="186" spans="1:13" customFormat="1" x14ac:dyDescent="0.35">
      <c r="A186" s="109">
        <v>45450</v>
      </c>
      <c r="B186" s="111" t="s">
        <v>65</v>
      </c>
      <c r="C186" s="111" t="s">
        <v>291</v>
      </c>
      <c r="D186" s="111"/>
      <c r="E186" s="111" t="s">
        <v>338</v>
      </c>
      <c r="F186" s="131">
        <v>-55.78</v>
      </c>
      <c r="G186" s="135"/>
      <c r="H186" s="133" t="s">
        <v>66</v>
      </c>
      <c r="I186" s="133"/>
      <c r="J186" s="111"/>
      <c r="K186" s="135"/>
      <c r="L186" s="153">
        <f t="shared" si="5"/>
        <v>-55.78</v>
      </c>
      <c r="M186" s="111" t="s">
        <v>325</v>
      </c>
    </row>
    <row r="187" spans="1:13" customFormat="1" x14ac:dyDescent="0.35">
      <c r="A187" s="109">
        <v>45412</v>
      </c>
      <c r="B187" s="111" t="s">
        <v>65</v>
      </c>
      <c r="C187" s="155" t="s">
        <v>71</v>
      </c>
      <c r="D187" s="111"/>
      <c r="E187" s="171" t="s">
        <v>339</v>
      </c>
      <c r="F187" s="189">
        <v>-10445</v>
      </c>
      <c r="G187" s="135"/>
      <c r="H187" s="133" t="s">
        <v>144</v>
      </c>
      <c r="I187" s="133" t="s">
        <v>170</v>
      </c>
      <c r="J187" s="111"/>
      <c r="K187" s="135"/>
      <c r="L187" s="153">
        <f t="shared" si="5"/>
        <v>-10445</v>
      </c>
      <c r="M187" s="111" t="s">
        <v>340</v>
      </c>
    </row>
    <row r="188" spans="1:13" customFormat="1" x14ac:dyDescent="0.35">
      <c r="A188" s="109">
        <v>45443</v>
      </c>
      <c r="B188" s="111" t="s">
        <v>65</v>
      </c>
      <c r="C188" s="155" t="s">
        <v>71</v>
      </c>
      <c r="D188" s="111"/>
      <c r="E188" s="171" t="s">
        <v>341</v>
      </c>
      <c r="F188" s="189">
        <v>-3500</v>
      </c>
      <c r="G188" s="135"/>
      <c r="H188" s="133" t="s">
        <v>144</v>
      </c>
      <c r="I188" s="133" t="s">
        <v>170</v>
      </c>
      <c r="J188" s="111"/>
      <c r="K188" s="135"/>
      <c r="L188" s="153">
        <f t="shared" si="5"/>
        <v>-3500</v>
      </c>
      <c r="M188" s="111" t="s">
        <v>342</v>
      </c>
    </row>
    <row r="189" spans="1:13" customFormat="1" x14ac:dyDescent="0.35">
      <c r="A189" s="109"/>
      <c r="B189" s="111"/>
      <c r="C189" s="155" t="s">
        <v>71</v>
      </c>
      <c r="D189" s="111"/>
      <c r="E189" s="173" t="s">
        <v>343</v>
      </c>
      <c r="F189" s="158">
        <v>12300</v>
      </c>
      <c r="G189" s="135"/>
      <c r="H189" s="133"/>
      <c r="I189" s="133"/>
      <c r="J189" s="111"/>
      <c r="K189" s="135"/>
      <c r="L189" s="153">
        <f t="shared" si="5"/>
        <v>12300</v>
      </c>
      <c r="M189" s="111"/>
    </row>
    <row r="190" spans="1:13" customFormat="1" x14ac:dyDescent="0.35">
      <c r="A190" s="109">
        <v>45443</v>
      </c>
      <c r="B190" s="111" t="s">
        <v>65</v>
      </c>
      <c r="C190" s="155" t="s">
        <v>71</v>
      </c>
      <c r="D190" s="111"/>
      <c r="E190" s="171" t="s">
        <v>344</v>
      </c>
      <c r="F190" s="189">
        <v>-9840</v>
      </c>
      <c r="G190" s="135"/>
      <c r="H190" s="133" t="s">
        <v>144</v>
      </c>
      <c r="I190" s="133" t="s">
        <v>170</v>
      </c>
      <c r="J190" s="111"/>
      <c r="K190" s="135"/>
      <c r="L190" s="153">
        <f t="shared" si="5"/>
        <v>-9840</v>
      </c>
      <c r="M190" s="111" t="s">
        <v>342</v>
      </c>
    </row>
    <row r="191" spans="1:13" customFormat="1" x14ac:dyDescent="0.35">
      <c r="A191" s="109">
        <v>45065</v>
      </c>
      <c r="B191" s="121" t="s">
        <v>57</v>
      </c>
      <c r="C191" s="111" t="s">
        <v>345</v>
      </c>
      <c r="D191" s="111" t="s">
        <v>346</v>
      </c>
      <c r="E191" s="111" t="s">
        <v>347</v>
      </c>
      <c r="F191" s="149">
        <v>236</v>
      </c>
      <c r="G191" s="135">
        <f>A191+30</f>
        <v>45095</v>
      </c>
      <c r="H191" s="133" t="s">
        <v>66</v>
      </c>
      <c r="I191" s="133"/>
      <c r="J191" s="111"/>
      <c r="K191" s="135"/>
      <c r="L191" s="153">
        <f t="shared" si="5"/>
        <v>236</v>
      </c>
      <c r="M191" s="111">
        <v>505187299</v>
      </c>
    </row>
    <row r="192" spans="1:13" customFormat="1" x14ac:dyDescent="0.35">
      <c r="A192" s="109">
        <v>45191</v>
      </c>
      <c r="B192" s="121" t="s">
        <v>57</v>
      </c>
      <c r="C192" s="111" t="s">
        <v>345</v>
      </c>
      <c r="D192" s="111" t="s">
        <v>346</v>
      </c>
      <c r="E192" s="111" t="s">
        <v>348</v>
      </c>
      <c r="F192" s="149">
        <v>177.66</v>
      </c>
      <c r="G192" s="135">
        <f>A192+30</f>
        <v>45221</v>
      </c>
      <c r="H192" s="133" t="s">
        <v>66</v>
      </c>
      <c r="I192" s="133"/>
      <c r="J192" s="111"/>
      <c r="K192" s="135"/>
      <c r="L192" s="153">
        <f t="shared" si="5"/>
        <v>177.66</v>
      </c>
      <c r="M192" s="111">
        <v>505187299</v>
      </c>
    </row>
    <row r="193" spans="1:14" customFormat="1" x14ac:dyDescent="0.35">
      <c r="A193" s="109">
        <v>45485</v>
      </c>
      <c r="B193" s="121" t="s">
        <v>57</v>
      </c>
      <c r="C193" s="111" t="s">
        <v>345</v>
      </c>
      <c r="D193" s="111" t="s">
        <v>346</v>
      </c>
      <c r="E193" s="111" t="s">
        <v>349</v>
      </c>
      <c r="F193" s="149">
        <v>214.02</v>
      </c>
      <c r="G193" s="135">
        <f>A193+30</f>
        <v>45515</v>
      </c>
      <c r="H193" s="133" t="s">
        <v>66</v>
      </c>
      <c r="I193" s="133"/>
      <c r="J193" s="111"/>
      <c r="K193" s="135"/>
      <c r="L193" s="153">
        <f t="shared" si="5"/>
        <v>214.02</v>
      </c>
      <c r="M193" s="111">
        <v>505187299</v>
      </c>
    </row>
    <row r="194" spans="1:14" customFormat="1" x14ac:dyDescent="0.35">
      <c r="A194" s="109">
        <v>45812</v>
      </c>
      <c r="B194" s="111" t="s">
        <v>57</v>
      </c>
      <c r="C194" s="111" t="s">
        <v>350</v>
      </c>
      <c r="D194" s="111" t="s">
        <v>350</v>
      </c>
      <c r="E194" s="111" t="s">
        <v>351</v>
      </c>
      <c r="F194" s="153">
        <v>356</v>
      </c>
      <c r="G194" s="133"/>
      <c r="H194" s="133" t="s">
        <v>66</v>
      </c>
      <c r="I194" s="133" t="s">
        <v>135</v>
      </c>
      <c r="J194" s="111"/>
      <c r="K194" s="135">
        <v>45819</v>
      </c>
      <c r="L194" s="111">
        <f t="shared" si="5"/>
        <v>356</v>
      </c>
      <c r="M194" s="111"/>
    </row>
    <row r="195" spans="1:14" customFormat="1" x14ac:dyDescent="0.35">
      <c r="A195" s="109">
        <v>45477</v>
      </c>
      <c r="B195" s="121" t="s">
        <v>57</v>
      </c>
      <c r="C195" s="111" t="s">
        <v>352</v>
      </c>
      <c r="D195" s="111" t="s">
        <v>353</v>
      </c>
      <c r="E195" s="111" t="s">
        <v>354</v>
      </c>
      <c r="F195" s="149">
        <v>328</v>
      </c>
      <c r="G195" s="135">
        <f>A195+30</f>
        <v>45507</v>
      </c>
      <c r="H195" s="133" t="s">
        <v>66</v>
      </c>
      <c r="I195" s="133" t="s">
        <v>232</v>
      </c>
      <c r="J195" s="111"/>
      <c r="K195" s="135"/>
      <c r="L195" s="153">
        <f t="shared" si="5"/>
        <v>328</v>
      </c>
      <c r="M195" s="111">
        <v>513406832</v>
      </c>
      <c r="N195" s="76"/>
    </row>
    <row r="196" spans="1:14" customFormat="1" x14ac:dyDescent="0.35">
      <c r="A196" s="109">
        <v>45471</v>
      </c>
      <c r="B196" s="111" t="s">
        <v>65</v>
      </c>
      <c r="C196" s="155" t="s">
        <v>71</v>
      </c>
      <c r="D196" s="111"/>
      <c r="E196" s="171" t="s">
        <v>355</v>
      </c>
      <c r="F196" s="189">
        <v>-7067.23</v>
      </c>
      <c r="G196" s="135"/>
      <c r="H196" s="133" t="s">
        <v>144</v>
      </c>
      <c r="I196" s="133"/>
      <c r="J196" s="111"/>
      <c r="K196" s="135"/>
      <c r="L196" s="169">
        <f t="shared" si="5"/>
        <v>-7067.23</v>
      </c>
      <c r="M196" s="145" t="s">
        <v>342</v>
      </c>
    </row>
    <row r="197" spans="1:14" customFormat="1" x14ac:dyDescent="0.35">
      <c r="A197" s="109">
        <v>45875</v>
      </c>
      <c r="B197" s="111" t="s">
        <v>57</v>
      </c>
      <c r="C197" s="111" t="s">
        <v>356</v>
      </c>
      <c r="D197" s="111" t="s">
        <v>356</v>
      </c>
      <c r="E197" s="121" t="s">
        <v>357</v>
      </c>
      <c r="F197" s="153">
        <v>59.78</v>
      </c>
      <c r="G197" s="135">
        <f>A197+30</f>
        <v>45905</v>
      </c>
      <c r="H197" s="134" t="s">
        <v>66</v>
      </c>
      <c r="I197" s="133" t="s">
        <v>135</v>
      </c>
      <c r="J197" s="111"/>
      <c r="K197" s="135">
        <v>45967</v>
      </c>
      <c r="L197" s="111"/>
      <c r="M197" s="196">
        <v>515689599</v>
      </c>
    </row>
    <row r="198" spans="1:14" customFormat="1" x14ac:dyDescent="0.35">
      <c r="A198" s="109">
        <v>46046</v>
      </c>
      <c r="B198" s="111" t="s">
        <v>57</v>
      </c>
      <c r="C198" s="111" t="s">
        <v>60</v>
      </c>
      <c r="D198" s="111"/>
      <c r="E198" s="218" t="s">
        <v>358</v>
      </c>
      <c r="F198" s="153">
        <v>18.82</v>
      </c>
      <c r="G198" s="133"/>
      <c r="H198" s="133" t="s">
        <v>59</v>
      </c>
      <c r="I198" s="133" t="s">
        <v>135</v>
      </c>
      <c r="J198" s="111"/>
      <c r="K198" s="160"/>
      <c r="L198" s="111"/>
      <c r="M198" s="196"/>
    </row>
    <row r="199" spans="1:14" customFormat="1" x14ac:dyDescent="0.35">
      <c r="A199" s="109">
        <v>45471</v>
      </c>
      <c r="B199" s="111" t="s">
        <v>65</v>
      </c>
      <c r="C199" s="155" t="s">
        <v>71</v>
      </c>
      <c r="D199" s="111"/>
      <c r="E199" s="120" t="s">
        <v>359</v>
      </c>
      <c r="F199" s="191">
        <v>-12300</v>
      </c>
      <c r="G199" s="135"/>
      <c r="H199" s="133" t="s">
        <v>144</v>
      </c>
      <c r="I199" s="133"/>
      <c r="J199" s="111"/>
      <c r="K199" s="135"/>
      <c r="L199" s="153">
        <f>F199</f>
        <v>-12300</v>
      </c>
      <c r="M199" s="111" t="s">
        <v>342</v>
      </c>
    </row>
    <row r="200" spans="1:14" customFormat="1" x14ac:dyDescent="0.35">
      <c r="A200" s="109">
        <v>45455</v>
      </c>
      <c r="B200" s="111" t="s">
        <v>65</v>
      </c>
      <c r="C200" s="111" t="s">
        <v>291</v>
      </c>
      <c r="D200" s="111"/>
      <c r="E200" s="111" t="s">
        <v>360</v>
      </c>
      <c r="F200" s="131">
        <v>-21.53</v>
      </c>
      <c r="G200" s="135"/>
      <c r="H200" s="133" t="s">
        <v>66</v>
      </c>
      <c r="I200" s="133"/>
      <c r="J200" s="111"/>
      <c r="K200" s="135"/>
      <c r="L200" s="153">
        <f>F200</f>
        <v>-21.53</v>
      </c>
      <c r="M200" s="111" t="s">
        <v>325</v>
      </c>
    </row>
    <row r="201" spans="1:14" customFormat="1" x14ac:dyDescent="0.35">
      <c r="A201" s="109">
        <v>44938</v>
      </c>
      <c r="B201" s="121" t="s">
        <v>57</v>
      </c>
      <c r="C201" s="111" t="s">
        <v>361</v>
      </c>
      <c r="D201" s="111" t="s">
        <v>362</v>
      </c>
      <c r="E201" s="111" t="s">
        <v>363</v>
      </c>
      <c r="F201" s="149">
        <v>71.36</v>
      </c>
      <c r="G201" s="135">
        <f>A201+30</f>
        <v>44968</v>
      </c>
      <c r="H201" s="133" t="s">
        <v>66</v>
      </c>
      <c r="I201" s="133"/>
      <c r="J201" s="111"/>
      <c r="K201" s="135"/>
      <c r="L201" s="153"/>
      <c r="M201" s="111">
        <v>516911732</v>
      </c>
    </row>
    <row r="202" spans="1:14" customFormat="1" x14ac:dyDescent="0.35">
      <c r="A202" s="109">
        <v>45516</v>
      </c>
      <c r="B202" s="111" t="s">
        <v>65</v>
      </c>
      <c r="C202" s="155" t="s">
        <v>71</v>
      </c>
      <c r="D202" s="111"/>
      <c r="E202" s="172" t="s">
        <v>364</v>
      </c>
      <c r="F202" s="189">
        <v>-6662.01</v>
      </c>
      <c r="G202" s="135"/>
      <c r="H202" s="133" t="s">
        <v>144</v>
      </c>
      <c r="I202" s="133" t="s">
        <v>170</v>
      </c>
      <c r="J202" s="111"/>
      <c r="K202" s="135"/>
      <c r="L202" s="153">
        <f t="shared" ref="L202:L211" si="6">F202</f>
        <v>-6662.01</v>
      </c>
      <c r="M202" s="111" t="s">
        <v>365</v>
      </c>
    </row>
    <row r="203" spans="1:14" customFormat="1" x14ac:dyDescent="0.35">
      <c r="A203" s="109">
        <v>45565</v>
      </c>
      <c r="B203" s="111" t="s">
        <v>65</v>
      </c>
      <c r="C203" s="155" t="s">
        <v>366</v>
      </c>
      <c r="D203" s="111"/>
      <c r="E203" s="172" t="s">
        <v>367</v>
      </c>
      <c r="F203" s="189">
        <v>-1174.6500000000001</v>
      </c>
      <c r="G203" s="135"/>
      <c r="H203" s="133" t="s">
        <v>144</v>
      </c>
      <c r="I203" s="133" t="s">
        <v>170</v>
      </c>
      <c r="J203" s="111"/>
      <c r="K203" s="135"/>
      <c r="L203" s="153">
        <f t="shared" si="6"/>
        <v>-1174.6500000000001</v>
      </c>
      <c r="M203" s="111" t="s">
        <v>368</v>
      </c>
    </row>
    <row r="204" spans="1:14" customFormat="1" x14ac:dyDescent="0.35">
      <c r="A204" s="109">
        <v>45458</v>
      </c>
      <c r="B204" s="111" t="s">
        <v>65</v>
      </c>
      <c r="C204" s="111" t="s">
        <v>291</v>
      </c>
      <c r="D204" s="111"/>
      <c r="E204" s="111" t="s">
        <v>369</v>
      </c>
      <c r="F204" s="131">
        <v>-19.190000000000001</v>
      </c>
      <c r="G204" s="135"/>
      <c r="H204" s="133" t="s">
        <v>66</v>
      </c>
      <c r="I204" s="133"/>
      <c r="J204" s="111"/>
      <c r="K204" s="135"/>
      <c r="L204" s="153">
        <f t="shared" si="6"/>
        <v>-19.190000000000001</v>
      </c>
      <c r="M204" s="111" t="s">
        <v>325</v>
      </c>
    </row>
    <row r="205" spans="1:14" customFormat="1" x14ac:dyDescent="0.35">
      <c r="A205" s="109">
        <v>45504</v>
      </c>
      <c r="B205" s="111" t="s">
        <v>65</v>
      </c>
      <c r="C205" s="155" t="s">
        <v>366</v>
      </c>
      <c r="D205" s="111"/>
      <c r="E205" s="190" t="s">
        <v>370</v>
      </c>
      <c r="F205" s="193">
        <v>-11816.66</v>
      </c>
      <c r="G205" s="135"/>
      <c r="H205" s="133" t="s">
        <v>144</v>
      </c>
      <c r="I205" s="133"/>
      <c r="J205" s="111"/>
      <c r="K205" s="135"/>
      <c r="L205" s="153">
        <f t="shared" si="6"/>
        <v>-11816.66</v>
      </c>
      <c r="M205" s="111"/>
    </row>
    <row r="206" spans="1:14" customFormat="1" x14ac:dyDescent="0.35">
      <c r="A206" s="109">
        <v>45462</v>
      </c>
      <c r="B206" s="111" t="s">
        <v>65</v>
      </c>
      <c r="C206" s="111" t="s">
        <v>291</v>
      </c>
      <c r="D206" s="111"/>
      <c r="E206" s="111" t="s">
        <v>371</v>
      </c>
      <c r="F206" s="131">
        <v>-22.66</v>
      </c>
      <c r="G206" s="135"/>
      <c r="H206" s="133" t="s">
        <v>66</v>
      </c>
      <c r="I206" s="133"/>
      <c r="J206" s="111"/>
      <c r="K206" s="135"/>
      <c r="L206" s="153">
        <f t="shared" si="6"/>
        <v>-22.66</v>
      </c>
      <c r="M206" s="111" t="s">
        <v>325</v>
      </c>
    </row>
    <row r="207" spans="1:14" customFormat="1" x14ac:dyDescent="0.35">
      <c r="A207" s="109">
        <v>45463</v>
      </c>
      <c r="B207" s="111" t="s">
        <v>65</v>
      </c>
      <c r="C207" s="111" t="s">
        <v>291</v>
      </c>
      <c r="D207" s="111"/>
      <c r="E207" s="111" t="s">
        <v>372</v>
      </c>
      <c r="F207" s="131">
        <v>-44.77</v>
      </c>
      <c r="G207" s="135"/>
      <c r="H207" s="133" t="s">
        <v>66</v>
      </c>
      <c r="I207" s="133"/>
      <c r="J207" s="111"/>
      <c r="K207" s="135"/>
      <c r="L207" s="153">
        <f t="shared" si="6"/>
        <v>-44.77</v>
      </c>
      <c r="M207" s="111" t="s">
        <v>325</v>
      </c>
    </row>
    <row r="208" spans="1:14" customFormat="1" x14ac:dyDescent="0.35">
      <c r="A208" s="109">
        <v>45472</v>
      </c>
      <c r="B208" s="111" t="s">
        <v>65</v>
      </c>
      <c r="C208" s="111" t="s">
        <v>291</v>
      </c>
      <c r="D208" s="111"/>
      <c r="E208" s="111" t="s">
        <v>373</v>
      </c>
      <c r="F208" s="131">
        <v>-19.96</v>
      </c>
      <c r="G208" s="135"/>
      <c r="H208" s="133" t="s">
        <v>66</v>
      </c>
      <c r="I208" s="133"/>
      <c r="J208" s="111"/>
      <c r="K208" s="135"/>
      <c r="L208" s="153">
        <f t="shared" si="6"/>
        <v>-19.96</v>
      </c>
      <c r="M208" s="111" t="s">
        <v>325</v>
      </c>
    </row>
    <row r="209" spans="1:13" customFormat="1" x14ac:dyDescent="0.35">
      <c r="A209" s="109">
        <v>45476</v>
      </c>
      <c r="B209" s="111" t="s">
        <v>65</v>
      </c>
      <c r="C209" s="111" t="s">
        <v>291</v>
      </c>
      <c r="D209" s="111"/>
      <c r="E209" s="111" t="s">
        <v>374</v>
      </c>
      <c r="F209" s="131">
        <v>-10.379999999999999</v>
      </c>
      <c r="G209" s="135"/>
      <c r="H209" s="133" t="s">
        <v>66</v>
      </c>
      <c r="I209" s="133"/>
      <c r="J209" s="111"/>
      <c r="K209" s="135">
        <v>45299</v>
      </c>
      <c r="L209" s="153">
        <f t="shared" si="6"/>
        <v>-10.379999999999999</v>
      </c>
      <c r="M209" s="111" t="s">
        <v>375</v>
      </c>
    </row>
    <row r="210" spans="1:13" customFormat="1" x14ac:dyDescent="0.35">
      <c r="A210" s="109">
        <v>45483</v>
      </c>
      <c r="B210" s="111" t="s">
        <v>65</v>
      </c>
      <c r="C210" s="111" t="s">
        <v>291</v>
      </c>
      <c r="D210" s="111"/>
      <c r="E210" s="111" t="s">
        <v>376</v>
      </c>
      <c r="F210" s="131">
        <v>-3.7999999999999972</v>
      </c>
      <c r="G210" s="135"/>
      <c r="H210" s="133" t="s">
        <v>66</v>
      </c>
      <c r="I210" s="133"/>
      <c r="J210" s="111"/>
      <c r="K210" s="135">
        <v>45299</v>
      </c>
      <c r="L210" s="153">
        <f t="shared" si="6"/>
        <v>-3.7999999999999972</v>
      </c>
      <c r="M210" s="111" t="s">
        <v>377</v>
      </c>
    </row>
    <row r="211" spans="1:13" customFormat="1" x14ac:dyDescent="0.35">
      <c r="A211" s="109">
        <v>45484</v>
      </c>
      <c r="B211" s="111" t="s">
        <v>65</v>
      </c>
      <c r="C211" s="111" t="s">
        <v>291</v>
      </c>
      <c r="D211" s="111"/>
      <c r="E211" s="111" t="s">
        <v>378</v>
      </c>
      <c r="F211" s="131">
        <v>-83.84</v>
      </c>
      <c r="G211" s="135"/>
      <c r="H211" s="133" t="s">
        <v>66</v>
      </c>
      <c r="I211" s="133"/>
      <c r="J211" s="111"/>
      <c r="K211" s="135">
        <v>45299</v>
      </c>
      <c r="L211" s="153">
        <f t="shared" si="6"/>
        <v>-83.84</v>
      </c>
      <c r="M211" s="111" t="s">
        <v>379</v>
      </c>
    </row>
    <row r="212" spans="1:13" customFormat="1" x14ac:dyDescent="0.35">
      <c r="A212" s="109">
        <v>45994</v>
      </c>
      <c r="B212" s="121" t="s">
        <v>65</v>
      </c>
      <c r="C212" s="111" t="s">
        <v>24</v>
      </c>
      <c r="D212" s="111"/>
      <c r="E212" s="111"/>
      <c r="F212" s="150">
        <v>-1807.54</v>
      </c>
      <c r="G212" s="135">
        <f>A212+30</f>
        <v>46024</v>
      </c>
      <c r="H212" s="133"/>
      <c r="I212" s="134" t="s">
        <v>119</v>
      </c>
      <c r="J212" s="111"/>
      <c r="K212" s="135">
        <v>45994</v>
      </c>
      <c r="L212" s="153">
        <v>-1808</v>
      </c>
      <c r="M212" s="111" t="s">
        <v>380</v>
      </c>
    </row>
    <row r="213" spans="1:13" customFormat="1" x14ac:dyDescent="0.35">
      <c r="A213" s="109">
        <v>45147</v>
      </c>
      <c r="B213" s="111" t="s">
        <v>65</v>
      </c>
      <c r="C213" s="111" t="s">
        <v>71</v>
      </c>
      <c r="D213" s="111"/>
      <c r="E213" s="111" t="s">
        <v>381</v>
      </c>
      <c r="F213" s="151">
        <v>-369</v>
      </c>
      <c r="G213" s="135"/>
      <c r="H213" s="134" t="s">
        <v>66</v>
      </c>
      <c r="I213" s="133"/>
      <c r="J213" s="111"/>
      <c r="K213" s="135">
        <v>45797</v>
      </c>
      <c r="L213" s="153">
        <f>F213</f>
        <v>-369</v>
      </c>
      <c r="M213" s="111" t="s">
        <v>382</v>
      </c>
    </row>
    <row r="214" spans="1:13" customFormat="1" x14ac:dyDescent="0.35">
      <c r="A214" s="109">
        <v>45443</v>
      </c>
      <c r="B214" s="111" t="s">
        <v>65</v>
      </c>
      <c r="C214" s="155" t="s">
        <v>71</v>
      </c>
      <c r="D214" s="111"/>
      <c r="E214" s="171" t="s">
        <v>383</v>
      </c>
      <c r="F214" s="189">
        <v>-147.6</v>
      </c>
      <c r="G214" s="135"/>
      <c r="H214" s="133" t="s">
        <v>66</v>
      </c>
      <c r="I214" s="133"/>
      <c r="J214" s="111"/>
      <c r="K214" s="135">
        <v>45797</v>
      </c>
      <c r="L214" s="153">
        <f>F214</f>
        <v>-147.6</v>
      </c>
      <c r="M214" s="111" t="s">
        <v>384</v>
      </c>
    </row>
    <row r="215" spans="1:13" customFormat="1" x14ac:dyDescent="0.35">
      <c r="A215" s="109">
        <v>45569</v>
      </c>
      <c r="B215" s="111" t="s">
        <v>65</v>
      </c>
      <c r="C215" s="155" t="s">
        <v>71</v>
      </c>
      <c r="D215" s="111"/>
      <c r="E215" s="172" t="s">
        <v>385</v>
      </c>
      <c r="F215" s="189">
        <v>-297.66000000000003</v>
      </c>
      <c r="G215" s="135"/>
      <c r="H215" s="133" t="s">
        <v>66</v>
      </c>
      <c r="I215" s="133" t="s">
        <v>170</v>
      </c>
      <c r="J215" s="111"/>
      <c r="K215" s="135">
        <v>45797</v>
      </c>
      <c r="L215" s="153">
        <f>F215</f>
        <v>-297.66000000000003</v>
      </c>
      <c r="M215" s="111" t="s">
        <v>386</v>
      </c>
    </row>
    <row r="216" spans="1:13" customFormat="1" x14ac:dyDescent="0.35">
      <c r="A216" s="109">
        <v>45861</v>
      </c>
      <c r="B216" s="111" t="s">
        <v>65</v>
      </c>
      <c r="C216" s="111" t="s">
        <v>387</v>
      </c>
      <c r="D216" s="111"/>
      <c r="E216" s="111" t="s">
        <v>388</v>
      </c>
      <c r="F216" s="153">
        <v>-635</v>
      </c>
      <c r="G216" s="133"/>
      <c r="H216" s="134" t="s">
        <v>66</v>
      </c>
      <c r="I216" s="133" t="s">
        <v>168</v>
      </c>
      <c r="J216" s="111"/>
      <c r="K216" s="135">
        <v>45873</v>
      </c>
      <c r="L216" s="111"/>
      <c r="M216" s="196"/>
    </row>
    <row r="217" spans="1:13" customFormat="1" x14ac:dyDescent="0.35">
      <c r="A217" s="109">
        <v>45861</v>
      </c>
      <c r="B217" s="111" t="s">
        <v>65</v>
      </c>
      <c r="C217" s="111" t="s">
        <v>387</v>
      </c>
      <c r="D217" s="111"/>
      <c r="E217" s="111" t="s">
        <v>389</v>
      </c>
      <c r="F217" s="153">
        <v>-3750</v>
      </c>
      <c r="G217" s="133"/>
      <c r="H217" s="134" t="s">
        <v>66</v>
      </c>
      <c r="I217" s="133" t="s">
        <v>119</v>
      </c>
      <c r="J217" s="111"/>
      <c r="K217" s="135">
        <v>45873</v>
      </c>
      <c r="L217" s="111"/>
      <c r="M217" s="196"/>
    </row>
    <row r="218" spans="1:13" customFormat="1" x14ac:dyDescent="0.35">
      <c r="A218" s="109">
        <v>45900</v>
      </c>
      <c r="B218" s="111" t="s">
        <v>65</v>
      </c>
      <c r="C218" s="111" t="s">
        <v>71</v>
      </c>
      <c r="D218" s="111"/>
      <c r="E218" s="111" t="s">
        <v>390</v>
      </c>
      <c r="F218" s="153">
        <v>-98.5</v>
      </c>
      <c r="G218" s="133"/>
      <c r="H218" s="134" t="s">
        <v>66</v>
      </c>
      <c r="I218" s="133" t="s">
        <v>119</v>
      </c>
      <c r="J218" s="111"/>
      <c r="K218" s="135">
        <v>45908</v>
      </c>
      <c r="L218" s="111"/>
      <c r="M218" s="196"/>
    </row>
    <row r="219" spans="1:13" customFormat="1" x14ac:dyDescent="0.35">
      <c r="A219" s="176">
        <v>45905</v>
      </c>
      <c r="B219" s="140" t="s">
        <v>65</v>
      </c>
      <c r="C219" s="140" t="s">
        <v>71</v>
      </c>
      <c r="D219" s="140"/>
      <c r="E219" s="143" t="s">
        <v>391</v>
      </c>
      <c r="F219" s="174">
        <v>-510.45</v>
      </c>
      <c r="G219" s="142"/>
      <c r="H219" s="175" t="s">
        <v>66</v>
      </c>
      <c r="I219" s="142" t="s">
        <v>170</v>
      </c>
      <c r="J219" s="111"/>
      <c r="K219" s="135">
        <v>45908</v>
      </c>
      <c r="L219" s="111"/>
      <c r="M219" s="196"/>
    </row>
    <row r="220" spans="1:13" customFormat="1" x14ac:dyDescent="0.35">
      <c r="A220" s="111"/>
      <c r="B220" s="111" t="s">
        <v>65</v>
      </c>
      <c r="C220" s="111" t="s">
        <v>140</v>
      </c>
      <c r="D220" s="111"/>
      <c r="E220" s="111"/>
      <c r="F220" s="153">
        <v>-400</v>
      </c>
      <c r="G220" s="135">
        <v>46143</v>
      </c>
      <c r="H220" s="133" t="s">
        <v>59</v>
      </c>
      <c r="I220" s="133" t="s">
        <v>119</v>
      </c>
      <c r="J220" s="111"/>
      <c r="K220" s="160"/>
      <c r="L220" s="111"/>
      <c r="M220" s="196" t="s">
        <v>392</v>
      </c>
    </row>
    <row r="221" spans="1:13" customFormat="1" x14ac:dyDescent="0.35">
      <c r="A221" s="109">
        <v>45594</v>
      </c>
      <c r="B221" s="111" t="s">
        <v>65</v>
      </c>
      <c r="C221" s="155" t="s">
        <v>366</v>
      </c>
      <c r="D221" s="111"/>
      <c r="E221" s="190" t="s">
        <v>393</v>
      </c>
      <c r="F221" s="150">
        <v>-2693.7</v>
      </c>
      <c r="G221" s="135"/>
      <c r="H221" s="133" t="s">
        <v>66</v>
      </c>
      <c r="I221" s="134"/>
      <c r="J221" s="111"/>
      <c r="K221" s="135"/>
      <c r="L221" s="153"/>
      <c r="M221" s="111" t="s">
        <v>394</v>
      </c>
    </row>
    <row r="222" spans="1:13" customFormat="1" x14ac:dyDescent="0.35">
      <c r="A222" s="109">
        <v>45903</v>
      </c>
      <c r="B222" s="121" t="s">
        <v>65</v>
      </c>
      <c r="C222" s="111" t="s">
        <v>24</v>
      </c>
      <c r="D222" s="111"/>
      <c r="E222" s="121" t="s">
        <v>395</v>
      </c>
      <c r="F222" s="150">
        <v>-1846.56</v>
      </c>
      <c r="G222" s="135">
        <f>A222+30</f>
        <v>45933</v>
      </c>
      <c r="H222" s="134" t="s">
        <v>66</v>
      </c>
      <c r="I222" s="134" t="s">
        <v>119</v>
      </c>
      <c r="J222" s="111"/>
      <c r="K222" s="135">
        <v>45918</v>
      </c>
      <c r="L222" s="153">
        <v>-1808</v>
      </c>
      <c r="M222" s="121" t="s">
        <v>396</v>
      </c>
    </row>
    <row r="223" spans="1:13" customFormat="1" x14ac:dyDescent="0.35">
      <c r="A223" s="109">
        <v>45811</v>
      </c>
      <c r="B223" s="121" t="s">
        <v>65</v>
      </c>
      <c r="C223" s="111" t="s">
        <v>24</v>
      </c>
      <c r="D223" s="111"/>
      <c r="E223" s="111" t="s">
        <v>397</v>
      </c>
      <c r="F223" s="150">
        <v>-1807.54</v>
      </c>
      <c r="G223" s="135">
        <f>A223+30</f>
        <v>45841</v>
      </c>
      <c r="H223" s="133" t="s">
        <v>66</v>
      </c>
      <c r="I223" s="134" t="s">
        <v>119</v>
      </c>
      <c r="J223" s="111"/>
      <c r="K223" s="135">
        <v>45828</v>
      </c>
      <c r="L223" s="153">
        <v>-1808</v>
      </c>
      <c r="M223" s="111" t="s">
        <v>398</v>
      </c>
    </row>
    <row r="224" spans="1:13" customFormat="1" x14ac:dyDescent="0.35">
      <c r="A224" s="109">
        <v>45841</v>
      </c>
      <c r="B224" s="121" t="s">
        <v>65</v>
      </c>
      <c r="C224" s="111" t="s">
        <v>24</v>
      </c>
      <c r="D224" s="111"/>
      <c r="E224" s="111" t="s">
        <v>399</v>
      </c>
      <c r="F224" s="150">
        <v>-1807.54</v>
      </c>
      <c r="G224" s="135">
        <f>A224+30</f>
        <v>45871</v>
      </c>
      <c r="H224" s="133" t="s">
        <v>66</v>
      </c>
      <c r="I224" s="134" t="s">
        <v>119</v>
      </c>
      <c r="J224" s="111"/>
      <c r="K224" s="135">
        <v>45856</v>
      </c>
      <c r="L224" s="153">
        <v>-1808</v>
      </c>
      <c r="M224" s="111"/>
    </row>
    <row r="225" spans="1:13" customFormat="1" x14ac:dyDescent="0.35">
      <c r="A225" s="109">
        <v>45295</v>
      </c>
      <c r="B225" s="111" t="s">
        <v>65</v>
      </c>
      <c r="C225" s="111" t="s">
        <v>24</v>
      </c>
      <c r="D225" s="121"/>
      <c r="E225" s="111" t="s">
        <v>400</v>
      </c>
      <c r="F225" s="149">
        <v>-1690.24</v>
      </c>
      <c r="G225" s="135"/>
      <c r="H225" s="133" t="s">
        <v>66</v>
      </c>
      <c r="I225" s="133" t="s">
        <v>119</v>
      </c>
      <c r="J225" s="111"/>
      <c r="K225" s="135"/>
      <c r="L225" s="153">
        <f t="shared" ref="L225:L237" si="7">F225</f>
        <v>-1690.24</v>
      </c>
      <c r="M225" s="111" t="s">
        <v>401</v>
      </c>
    </row>
    <row r="226" spans="1:13" customFormat="1" x14ac:dyDescent="0.35">
      <c r="A226" s="109">
        <v>45142</v>
      </c>
      <c r="B226" s="111" t="s">
        <v>65</v>
      </c>
      <c r="C226" s="111" t="s">
        <v>24</v>
      </c>
      <c r="D226" s="111"/>
      <c r="E226" s="111" t="s">
        <v>402</v>
      </c>
      <c r="F226" s="149">
        <v>-1657.09</v>
      </c>
      <c r="G226" s="135"/>
      <c r="H226" s="133" t="s">
        <v>66</v>
      </c>
      <c r="I226" s="133"/>
      <c r="J226" s="111"/>
      <c r="K226" s="135"/>
      <c r="L226" s="153">
        <f t="shared" si="7"/>
        <v>-1657.09</v>
      </c>
      <c r="M226" s="111" t="s">
        <v>403</v>
      </c>
    </row>
    <row r="227" spans="1:13" customFormat="1" x14ac:dyDescent="0.35">
      <c r="A227" s="109">
        <v>45179</v>
      </c>
      <c r="B227" s="111" t="s">
        <v>65</v>
      </c>
      <c r="C227" s="111" t="s">
        <v>24</v>
      </c>
      <c r="D227" s="111"/>
      <c r="E227" s="111" t="s">
        <v>404</v>
      </c>
      <c r="F227" s="149">
        <v>-1690.24</v>
      </c>
      <c r="G227" s="135"/>
      <c r="H227" s="133" t="s">
        <v>66</v>
      </c>
      <c r="I227" s="133"/>
      <c r="J227" s="111"/>
      <c r="K227" s="135"/>
      <c r="L227" s="153">
        <f t="shared" si="7"/>
        <v>-1690.24</v>
      </c>
      <c r="M227" s="111" t="s">
        <v>405</v>
      </c>
    </row>
    <row r="228" spans="1:13" customFormat="1" x14ac:dyDescent="0.35">
      <c r="A228" s="109">
        <v>45202</v>
      </c>
      <c r="B228" s="111" t="s">
        <v>65</v>
      </c>
      <c r="C228" s="111" t="s">
        <v>24</v>
      </c>
      <c r="D228" s="111"/>
      <c r="E228" s="111" t="s">
        <v>406</v>
      </c>
      <c r="F228" s="149">
        <v>-1690.24</v>
      </c>
      <c r="G228" s="135"/>
      <c r="H228" s="133" t="s">
        <v>66</v>
      </c>
      <c r="I228" s="133" t="s">
        <v>119</v>
      </c>
      <c r="J228" s="111"/>
      <c r="K228" s="135"/>
      <c r="L228" s="153">
        <f t="shared" si="7"/>
        <v>-1690.24</v>
      </c>
      <c r="M228" s="111" t="s">
        <v>407</v>
      </c>
    </row>
    <row r="229" spans="1:13" customFormat="1" x14ac:dyDescent="0.35">
      <c r="A229" s="109">
        <v>45232</v>
      </c>
      <c r="B229" s="111" t="s">
        <v>65</v>
      </c>
      <c r="C229" s="111" t="s">
        <v>24</v>
      </c>
      <c r="D229" s="111"/>
      <c r="E229" s="111" t="s">
        <v>408</v>
      </c>
      <c r="F229" s="149">
        <v>-1690.24</v>
      </c>
      <c r="G229" s="135"/>
      <c r="H229" s="133" t="s">
        <v>66</v>
      </c>
      <c r="I229" s="133" t="s">
        <v>119</v>
      </c>
      <c r="J229" s="111"/>
      <c r="K229" s="135"/>
      <c r="L229" s="153">
        <f t="shared" si="7"/>
        <v>-1690.24</v>
      </c>
      <c r="M229" s="111" t="s">
        <v>405</v>
      </c>
    </row>
    <row r="230" spans="1:13" customFormat="1" x14ac:dyDescent="0.35">
      <c r="A230" s="109">
        <v>45264</v>
      </c>
      <c r="B230" s="111" t="s">
        <v>65</v>
      </c>
      <c r="C230" s="111" t="s">
        <v>24</v>
      </c>
      <c r="D230" s="111"/>
      <c r="E230" s="111" t="s">
        <v>409</v>
      </c>
      <c r="F230" s="149">
        <v>-1690.24</v>
      </c>
      <c r="G230" s="135"/>
      <c r="H230" s="133" t="s">
        <v>66</v>
      </c>
      <c r="I230" s="133" t="s">
        <v>119</v>
      </c>
      <c r="J230" s="111"/>
      <c r="K230" s="135"/>
      <c r="L230" s="153">
        <f t="shared" si="7"/>
        <v>-1690.24</v>
      </c>
      <c r="M230" s="111" t="s">
        <v>405</v>
      </c>
    </row>
    <row r="231" spans="1:13" customFormat="1" x14ac:dyDescent="0.35">
      <c r="A231" s="109">
        <v>45352</v>
      </c>
      <c r="B231" s="111" t="s">
        <v>65</v>
      </c>
      <c r="C231" s="111" t="s">
        <v>24</v>
      </c>
      <c r="D231" s="111"/>
      <c r="E231" s="111" t="s">
        <v>344</v>
      </c>
      <c r="F231" s="149">
        <v>-1690.24</v>
      </c>
      <c r="G231" s="135"/>
      <c r="H231" s="133" t="s">
        <v>66</v>
      </c>
      <c r="I231" s="133"/>
      <c r="J231" s="111"/>
      <c r="K231" s="135"/>
      <c r="L231" s="153">
        <f t="shared" si="7"/>
        <v>-1690.24</v>
      </c>
      <c r="M231" s="111" t="s">
        <v>405</v>
      </c>
    </row>
    <row r="232" spans="1:13" customFormat="1" x14ac:dyDescent="0.35">
      <c r="A232" s="109">
        <v>45384</v>
      </c>
      <c r="B232" s="111" t="s">
        <v>65</v>
      </c>
      <c r="C232" s="111" t="s">
        <v>24</v>
      </c>
      <c r="D232" s="111"/>
      <c r="E232" s="111" t="s">
        <v>359</v>
      </c>
      <c r="F232" s="149">
        <v>-1690.24</v>
      </c>
      <c r="G232" s="135"/>
      <c r="H232" s="133" t="s">
        <v>66</v>
      </c>
      <c r="I232" s="133" t="s">
        <v>119</v>
      </c>
      <c r="J232" s="111"/>
      <c r="K232" s="135"/>
      <c r="L232" s="153">
        <f t="shared" si="7"/>
        <v>-1690.24</v>
      </c>
      <c r="M232" s="111" t="s">
        <v>405</v>
      </c>
    </row>
    <row r="233" spans="1:13" customFormat="1" x14ac:dyDescent="0.35">
      <c r="A233" s="109">
        <v>45414</v>
      </c>
      <c r="B233" s="111" t="s">
        <v>65</v>
      </c>
      <c r="C233" s="111" t="s">
        <v>24</v>
      </c>
      <c r="D233" s="111"/>
      <c r="E233" s="111" t="s">
        <v>410</v>
      </c>
      <c r="F233" s="149">
        <v>-1690.24</v>
      </c>
      <c r="G233" s="135"/>
      <c r="H233" s="133" t="s">
        <v>66</v>
      </c>
      <c r="I233" s="133" t="s">
        <v>119</v>
      </c>
      <c r="J233" s="111"/>
      <c r="K233" s="135">
        <v>45432</v>
      </c>
      <c r="L233" s="153">
        <f t="shared" si="7"/>
        <v>-1690.24</v>
      </c>
      <c r="M233" s="111" t="s">
        <v>405</v>
      </c>
    </row>
    <row r="234" spans="1:13" customFormat="1" x14ac:dyDescent="0.35">
      <c r="A234" s="109">
        <v>45505</v>
      </c>
      <c r="B234" s="111" t="s">
        <v>65</v>
      </c>
      <c r="C234" s="111" t="s">
        <v>24</v>
      </c>
      <c r="D234" s="111"/>
      <c r="E234" s="111" t="s">
        <v>411</v>
      </c>
      <c r="F234" s="149">
        <v>-1690.24</v>
      </c>
      <c r="G234" s="135"/>
      <c r="H234" s="133" t="s">
        <v>66</v>
      </c>
      <c r="I234" s="133" t="s">
        <v>119</v>
      </c>
      <c r="J234" s="111"/>
      <c r="K234" s="135"/>
      <c r="L234" s="153">
        <f t="shared" si="7"/>
        <v>-1690.24</v>
      </c>
      <c r="M234" s="111" t="s">
        <v>412</v>
      </c>
    </row>
    <row r="235" spans="1:13" customFormat="1" x14ac:dyDescent="0.35">
      <c r="A235" s="109">
        <v>45566</v>
      </c>
      <c r="B235" s="111" t="s">
        <v>65</v>
      </c>
      <c r="C235" s="111" t="s">
        <v>24</v>
      </c>
      <c r="D235" s="111"/>
      <c r="E235" s="111" t="s">
        <v>413</v>
      </c>
      <c r="F235" s="149">
        <v>-1807.54</v>
      </c>
      <c r="G235" s="135"/>
      <c r="H235" s="134" t="s">
        <v>66</v>
      </c>
      <c r="I235" s="133" t="s">
        <v>119</v>
      </c>
      <c r="J235" s="111"/>
      <c r="K235" s="135"/>
      <c r="L235" s="153">
        <f t="shared" si="7"/>
        <v>-1807.54</v>
      </c>
      <c r="M235" s="111" t="s">
        <v>414</v>
      </c>
    </row>
    <row r="236" spans="1:13" customFormat="1" x14ac:dyDescent="0.35">
      <c r="A236" s="109">
        <v>45600</v>
      </c>
      <c r="B236" s="111" t="s">
        <v>65</v>
      </c>
      <c r="C236" s="111" t="s">
        <v>24</v>
      </c>
      <c r="D236" s="111"/>
      <c r="E236" s="111" t="s">
        <v>415</v>
      </c>
      <c r="F236" s="149">
        <v>-1807.54</v>
      </c>
      <c r="G236" s="135"/>
      <c r="H236" s="133" t="s">
        <v>66</v>
      </c>
      <c r="I236" s="133" t="s">
        <v>119</v>
      </c>
      <c r="J236" s="111"/>
      <c r="K236" s="135">
        <v>45616</v>
      </c>
      <c r="L236" s="153">
        <f t="shared" si="7"/>
        <v>-1807.54</v>
      </c>
      <c r="M236" s="111" t="s">
        <v>416</v>
      </c>
    </row>
    <row r="237" spans="1:13" customFormat="1" x14ac:dyDescent="0.35">
      <c r="A237" s="109">
        <v>45630</v>
      </c>
      <c r="B237" s="111" t="s">
        <v>65</v>
      </c>
      <c r="C237" s="111" t="s">
        <v>24</v>
      </c>
      <c r="D237" s="111"/>
      <c r="E237" s="111" t="s">
        <v>417</v>
      </c>
      <c r="F237" s="149">
        <v>-1807.54</v>
      </c>
      <c r="G237" s="135">
        <f>IF(OR(C237="Matosinhos",C237="Bolhão"),A237,A237+30)</f>
        <v>45660</v>
      </c>
      <c r="H237" s="133" t="s">
        <v>66</v>
      </c>
      <c r="I237" s="133" t="s">
        <v>119</v>
      </c>
      <c r="J237" s="111"/>
      <c r="K237" s="135">
        <v>45656</v>
      </c>
      <c r="L237" s="153">
        <f t="shared" si="7"/>
        <v>-1807.54</v>
      </c>
      <c r="M237" s="111" t="s">
        <v>418</v>
      </c>
    </row>
    <row r="238" spans="1:13" customFormat="1" x14ac:dyDescent="0.35">
      <c r="A238" s="109">
        <v>45719</v>
      </c>
      <c r="B238" s="121" t="s">
        <v>65</v>
      </c>
      <c r="C238" s="111" t="s">
        <v>24</v>
      </c>
      <c r="D238" s="111"/>
      <c r="E238" s="121" t="s">
        <v>419</v>
      </c>
      <c r="F238" s="150">
        <v>-1807.54</v>
      </c>
      <c r="G238" s="135">
        <f>A238+30</f>
        <v>45749</v>
      </c>
      <c r="H238" s="134" t="s">
        <v>66</v>
      </c>
      <c r="I238" s="134" t="s">
        <v>119</v>
      </c>
      <c r="J238" s="111"/>
      <c r="K238" s="135">
        <v>45736</v>
      </c>
      <c r="L238" s="153">
        <v>-1808</v>
      </c>
      <c r="M238" s="111" t="s">
        <v>420</v>
      </c>
    </row>
    <row r="239" spans="1:13" customFormat="1" x14ac:dyDescent="0.35">
      <c r="A239" s="109">
        <v>45692</v>
      </c>
      <c r="B239" s="121" t="s">
        <v>65</v>
      </c>
      <c r="C239" s="111" t="s">
        <v>24</v>
      </c>
      <c r="D239" s="111"/>
      <c r="E239" s="111" t="s">
        <v>421</v>
      </c>
      <c r="F239" s="150">
        <v>-1807.54</v>
      </c>
      <c r="G239" s="135">
        <f>A239+30</f>
        <v>45722</v>
      </c>
      <c r="H239" s="133" t="s">
        <v>66</v>
      </c>
      <c r="I239" s="134" t="s">
        <v>119</v>
      </c>
      <c r="J239" s="111"/>
      <c r="K239" s="135">
        <v>45708</v>
      </c>
      <c r="L239" s="153">
        <f>F239</f>
        <v>-1807.54</v>
      </c>
      <c r="M239" s="111" t="s">
        <v>422</v>
      </c>
    </row>
    <row r="240" spans="1:13" customFormat="1" x14ac:dyDescent="0.35">
      <c r="A240" s="109">
        <v>45660</v>
      </c>
      <c r="B240" s="111" t="s">
        <v>65</v>
      </c>
      <c r="C240" s="111" t="s">
        <v>24</v>
      </c>
      <c r="D240" s="111"/>
      <c r="E240" s="111" t="s">
        <v>423</v>
      </c>
      <c r="F240" s="149">
        <v>-1807.54</v>
      </c>
      <c r="G240" s="135">
        <v>45679</v>
      </c>
      <c r="H240" s="133" t="s">
        <v>66</v>
      </c>
      <c r="I240" s="133" t="s">
        <v>119</v>
      </c>
      <c r="J240" s="111"/>
      <c r="K240" s="135">
        <v>45679</v>
      </c>
      <c r="L240" s="153">
        <f>F240</f>
        <v>-1807.54</v>
      </c>
      <c r="M240" s="111" t="s">
        <v>424</v>
      </c>
    </row>
    <row r="241" spans="1:13" customFormat="1" x14ac:dyDescent="0.35">
      <c r="A241" s="109">
        <v>45749</v>
      </c>
      <c r="B241" s="121" t="s">
        <v>65</v>
      </c>
      <c r="C241" s="111" t="s">
        <v>24</v>
      </c>
      <c r="D241" s="111"/>
      <c r="E241" s="111" t="s">
        <v>425</v>
      </c>
      <c r="F241" s="150">
        <v>-1807.54</v>
      </c>
      <c r="G241" s="135">
        <f>A241+30</f>
        <v>45779</v>
      </c>
      <c r="H241" s="133" t="s">
        <v>66</v>
      </c>
      <c r="I241" s="134" t="s">
        <v>119</v>
      </c>
      <c r="J241" s="111"/>
      <c r="K241" s="135">
        <v>45768</v>
      </c>
      <c r="L241" s="153">
        <f>F241</f>
        <v>-1807.54</v>
      </c>
      <c r="M241" s="111" t="s">
        <v>426</v>
      </c>
    </row>
    <row r="242" spans="1:13" customFormat="1" x14ac:dyDescent="0.35">
      <c r="A242" s="109">
        <v>45779</v>
      </c>
      <c r="B242" s="121" t="s">
        <v>65</v>
      </c>
      <c r="C242" s="111" t="s">
        <v>24</v>
      </c>
      <c r="D242" s="111"/>
      <c r="E242" s="121" t="s">
        <v>427</v>
      </c>
      <c r="F242" s="150">
        <v>-1807.54</v>
      </c>
      <c r="G242" s="135"/>
      <c r="H242" s="133" t="s">
        <v>66</v>
      </c>
      <c r="I242" s="134" t="s">
        <v>119</v>
      </c>
      <c r="J242" s="111"/>
      <c r="K242" s="135">
        <v>45797</v>
      </c>
      <c r="L242" s="153">
        <f>F242</f>
        <v>-1807.54</v>
      </c>
      <c r="M242" s="111"/>
    </row>
    <row r="243" spans="1:13" customFormat="1" x14ac:dyDescent="0.35">
      <c r="A243" s="109">
        <v>45873</v>
      </c>
      <c r="B243" s="121" t="s">
        <v>65</v>
      </c>
      <c r="C243" s="111" t="s">
        <v>24</v>
      </c>
      <c r="D243" s="111"/>
      <c r="E243" s="111" t="s">
        <v>428</v>
      </c>
      <c r="F243" s="150">
        <v>-1807.54</v>
      </c>
      <c r="G243" s="135">
        <f>A243+30</f>
        <v>45903</v>
      </c>
      <c r="H243" s="133" t="s">
        <v>66</v>
      </c>
      <c r="I243" s="134" t="s">
        <v>119</v>
      </c>
      <c r="J243" s="111"/>
      <c r="K243" s="135">
        <v>45887</v>
      </c>
      <c r="L243" s="153">
        <f>F243</f>
        <v>-1807.54</v>
      </c>
      <c r="M243" s="111"/>
    </row>
    <row r="244" spans="1:13" customFormat="1" x14ac:dyDescent="0.35">
      <c r="A244" s="109">
        <v>45933</v>
      </c>
      <c r="B244" s="121" t="s">
        <v>65</v>
      </c>
      <c r="C244" s="111" t="s">
        <v>24</v>
      </c>
      <c r="D244" s="111"/>
      <c r="E244" s="121" t="s">
        <v>429</v>
      </c>
      <c r="F244" s="150">
        <v>-1846.56</v>
      </c>
      <c r="G244" s="135">
        <f>A244+30</f>
        <v>45963</v>
      </c>
      <c r="H244" s="134" t="s">
        <v>66</v>
      </c>
      <c r="I244" s="134" t="s">
        <v>119</v>
      </c>
      <c r="J244" s="111"/>
      <c r="K244" s="135">
        <v>45950</v>
      </c>
      <c r="L244" s="153"/>
      <c r="M244" s="111" t="s">
        <v>430</v>
      </c>
    </row>
    <row r="245" spans="1:13" customFormat="1" x14ac:dyDescent="0.35">
      <c r="A245" s="109">
        <v>45964</v>
      </c>
      <c r="B245" s="121" t="s">
        <v>65</v>
      </c>
      <c r="C245" s="111" t="s">
        <v>24</v>
      </c>
      <c r="D245" s="111"/>
      <c r="E245" s="111" t="s">
        <v>431</v>
      </c>
      <c r="F245" s="150">
        <v>-1846.58</v>
      </c>
      <c r="G245" s="135">
        <f>A245+30</f>
        <v>45994</v>
      </c>
      <c r="H245" s="133" t="s">
        <v>66</v>
      </c>
      <c r="I245" s="134" t="s">
        <v>119</v>
      </c>
      <c r="J245" s="111"/>
      <c r="K245" s="135">
        <v>45979</v>
      </c>
      <c r="L245" s="153">
        <v>-1808</v>
      </c>
      <c r="M245" s="111" t="s">
        <v>432</v>
      </c>
    </row>
    <row r="246" spans="1:13" customFormat="1" x14ac:dyDescent="0.35">
      <c r="A246" s="109">
        <v>45994</v>
      </c>
      <c r="B246" s="121" t="s">
        <v>65</v>
      </c>
      <c r="C246" s="111" t="s">
        <v>24</v>
      </c>
      <c r="D246" s="111"/>
      <c r="E246" s="111" t="s">
        <v>433</v>
      </c>
      <c r="F246" s="150">
        <v>-1846.58</v>
      </c>
      <c r="G246" s="133"/>
      <c r="H246" s="134" t="s">
        <v>66</v>
      </c>
      <c r="I246" s="134" t="s">
        <v>119</v>
      </c>
      <c r="J246" s="111"/>
      <c r="K246" s="160">
        <v>46006</v>
      </c>
      <c r="L246" s="111"/>
      <c r="M246" s="196"/>
    </row>
    <row r="247" spans="1:13" customFormat="1" x14ac:dyDescent="0.35">
      <c r="A247" s="176">
        <v>46027</v>
      </c>
      <c r="B247" s="140" t="s">
        <v>65</v>
      </c>
      <c r="C247" s="140" t="s">
        <v>24</v>
      </c>
      <c r="D247" s="140"/>
      <c r="E247" s="140" t="s">
        <v>434</v>
      </c>
      <c r="F247" s="164">
        <v>-1846.58</v>
      </c>
      <c r="G247" s="177">
        <v>46027</v>
      </c>
      <c r="H247" s="142" t="s">
        <v>66</v>
      </c>
      <c r="I247" s="142" t="s">
        <v>119</v>
      </c>
      <c r="J247" s="111"/>
      <c r="K247" s="160">
        <v>46041</v>
      </c>
      <c r="L247" s="111"/>
      <c r="M247" s="196"/>
    </row>
    <row r="248" spans="1:13" customFormat="1" x14ac:dyDescent="0.35">
      <c r="A248" s="109">
        <v>46058</v>
      </c>
      <c r="B248" s="111" t="s">
        <v>65</v>
      </c>
      <c r="C248" s="111" t="s">
        <v>24</v>
      </c>
      <c r="D248" s="111"/>
      <c r="E248" s="234" t="s">
        <v>435</v>
      </c>
      <c r="F248" s="149">
        <v>-1846.58</v>
      </c>
      <c r="G248" s="209"/>
      <c r="H248" s="134" t="s">
        <v>66</v>
      </c>
      <c r="I248" s="133" t="s">
        <v>119</v>
      </c>
      <c r="J248" s="111"/>
      <c r="K248" s="160">
        <v>46079</v>
      </c>
      <c r="L248" s="111"/>
      <c r="M248" s="196" t="s">
        <v>436</v>
      </c>
    </row>
    <row r="249" spans="1:13" customFormat="1" x14ac:dyDescent="0.35">
      <c r="A249" s="109">
        <v>45756</v>
      </c>
      <c r="B249" s="111" t="s">
        <v>65</v>
      </c>
      <c r="C249" s="111" t="s">
        <v>72</v>
      </c>
      <c r="D249" s="111"/>
      <c r="E249" s="111"/>
      <c r="F249" s="153">
        <v>-34.799999999999997</v>
      </c>
      <c r="G249" s="135"/>
      <c r="H249" s="133" t="s">
        <v>66</v>
      </c>
      <c r="I249" s="133" t="s">
        <v>119</v>
      </c>
      <c r="J249" s="111"/>
      <c r="K249" s="135">
        <v>45786</v>
      </c>
      <c r="L249" s="153">
        <f>F249</f>
        <v>-34.799999999999997</v>
      </c>
      <c r="M249" s="111" t="s">
        <v>437</v>
      </c>
    </row>
    <row r="250" spans="1:13" customFormat="1" x14ac:dyDescent="0.35">
      <c r="A250" s="109">
        <v>45530</v>
      </c>
      <c r="B250" s="111" t="s">
        <v>65</v>
      </c>
      <c r="C250" s="111" t="s">
        <v>438</v>
      </c>
      <c r="D250" s="111"/>
      <c r="E250" s="111" t="s">
        <v>439</v>
      </c>
      <c r="F250" s="131">
        <v>-6027</v>
      </c>
      <c r="G250" s="135"/>
      <c r="H250" s="133" t="s">
        <v>66</v>
      </c>
      <c r="I250" s="133" t="s">
        <v>232</v>
      </c>
      <c r="J250" s="111"/>
      <c r="K250" s="135"/>
      <c r="L250" s="153">
        <f>F250</f>
        <v>-6027</v>
      </c>
      <c r="M250" s="111" t="s">
        <v>440</v>
      </c>
    </row>
    <row r="251" spans="1:13" customFormat="1" x14ac:dyDescent="0.35">
      <c r="A251" s="109">
        <v>45973</v>
      </c>
      <c r="B251" s="121" t="s">
        <v>65</v>
      </c>
      <c r="C251" s="111" t="s">
        <v>73</v>
      </c>
      <c r="D251" s="111"/>
      <c r="E251" s="121" t="s">
        <v>441</v>
      </c>
      <c r="F251" s="153">
        <v>-80</v>
      </c>
      <c r="G251" s="133"/>
      <c r="H251" s="133" t="s">
        <v>66</v>
      </c>
      <c r="I251" s="133" t="s">
        <v>119</v>
      </c>
      <c r="J251" s="111"/>
      <c r="K251" s="135">
        <v>45975</v>
      </c>
      <c r="L251" s="111"/>
      <c r="M251" s="196" t="s">
        <v>442</v>
      </c>
    </row>
    <row r="252" spans="1:13" customFormat="1" x14ac:dyDescent="0.35">
      <c r="A252" s="109">
        <v>45056</v>
      </c>
      <c r="B252" s="121" t="s">
        <v>57</v>
      </c>
      <c r="C252" s="111" t="s">
        <v>361</v>
      </c>
      <c r="D252" s="111" t="s">
        <v>362</v>
      </c>
      <c r="E252" s="111" t="s">
        <v>443</v>
      </c>
      <c r="F252" s="149">
        <v>55.62</v>
      </c>
      <c r="G252" s="135">
        <f>A252+30</f>
        <v>45086</v>
      </c>
      <c r="H252" s="133" t="s">
        <v>66</v>
      </c>
      <c r="I252" s="133"/>
      <c r="J252" s="111"/>
      <c r="K252" s="135"/>
      <c r="L252" s="153">
        <f>F252</f>
        <v>55.62</v>
      </c>
      <c r="M252" s="111">
        <v>516911732</v>
      </c>
    </row>
    <row r="253" spans="1:13" customFormat="1" x14ac:dyDescent="0.35">
      <c r="A253" s="109">
        <v>45820</v>
      </c>
      <c r="B253" s="111" t="s">
        <v>65</v>
      </c>
      <c r="C253" s="111" t="s">
        <v>74</v>
      </c>
      <c r="D253" s="111"/>
      <c r="E253" s="111" t="s">
        <v>444</v>
      </c>
      <c r="F253" s="153">
        <v>-276.69</v>
      </c>
      <c r="G253" s="133"/>
      <c r="H253" s="133" t="s">
        <v>66</v>
      </c>
      <c r="I253" s="133" t="s">
        <v>119</v>
      </c>
      <c r="J253" s="111"/>
      <c r="K253" s="135">
        <v>45833</v>
      </c>
      <c r="L253" s="111"/>
      <c r="M253" s="111"/>
    </row>
    <row r="254" spans="1:13" customFormat="1" x14ac:dyDescent="0.35">
      <c r="A254" s="109">
        <v>45841</v>
      </c>
      <c r="B254" s="111" t="s">
        <v>65</v>
      </c>
      <c r="C254" s="111" t="s">
        <v>74</v>
      </c>
      <c r="D254" s="111"/>
      <c r="E254" s="111" t="s">
        <v>445</v>
      </c>
      <c r="F254" s="153">
        <v>-481.13</v>
      </c>
      <c r="G254" s="135">
        <v>45856</v>
      </c>
      <c r="H254" s="133" t="s">
        <v>66</v>
      </c>
      <c r="I254" s="133" t="s">
        <v>119</v>
      </c>
      <c r="J254" s="111"/>
      <c r="K254" s="135">
        <v>45856</v>
      </c>
      <c r="L254" s="111"/>
      <c r="M254" s="111"/>
    </row>
    <row r="255" spans="1:13" x14ac:dyDescent="0.35">
      <c r="A255" s="109">
        <v>45716</v>
      </c>
      <c r="B255" s="121" t="s">
        <v>57</v>
      </c>
      <c r="C255" s="156" t="s">
        <v>78</v>
      </c>
      <c r="E255" s="120" t="s">
        <v>446</v>
      </c>
      <c r="F255" s="151">
        <v>2385.36</v>
      </c>
      <c r="G255" s="135"/>
      <c r="H255" s="134" t="s">
        <v>447</v>
      </c>
      <c r="I255" s="133" t="s">
        <v>119</v>
      </c>
      <c r="K255" s="135"/>
      <c r="L255" s="153">
        <f>F255</f>
        <v>2385.36</v>
      </c>
      <c r="M255" s="111" t="s">
        <v>448</v>
      </c>
    </row>
    <row r="256" spans="1:13" s="76" customFormat="1" x14ac:dyDescent="0.35">
      <c r="A256" s="109">
        <v>45847</v>
      </c>
      <c r="B256" s="145" t="s">
        <v>65</v>
      </c>
      <c r="C256" s="145" t="s">
        <v>74</v>
      </c>
      <c r="D256" s="145"/>
      <c r="E256" s="145" t="s">
        <v>449</v>
      </c>
      <c r="F256" s="169">
        <v>-342.06</v>
      </c>
      <c r="G256" s="147"/>
      <c r="H256" s="148" t="s">
        <v>66</v>
      </c>
      <c r="I256" s="147" t="s">
        <v>119</v>
      </c>
      <c r="J256" s="111"/>
      <c r="K256" s="135">
        <v>45862</v>
      </c>
      <c r="L256" s="111"/>
      <c r="M256" s="198"/>
    </row>
    <row r="257" spans="1:13" customFormat="1" x14ac:dyDescent="0.35">
      <c r="A257" s="109">
        <v>45874</v>
      </c>
      <c r="B257" s="111" t="s">
        <v>65</v>
      </c>
      <c r="C257" s="121" t="s">
        <v>74</v>
      </c>
      <c r="D257" s="111"/>
      <c r="E257" s="121" t="s">
        <v>450</v>
      </c>
      <c r="F257" s="153">
        <v>-195.57</v>
      </c>
      <c r="G257" s="135">
        <v>45889</v>
      </c>
      <c r="H257" s="133" t="s">
        <v>66</v>
      </c>
      <c r="I257" s="133" t="s">
        <v>119</v>
      </c>
      <c r="J257" s="111"/>
      <c r="K257" s="135">
        <v>45889</v>
      </c>
      <c r="L257" s="111"/>
      <c r="M257" s="196"/>
    </row>
    <row r="258" spans="1:13" customFormat="1" x14ac:dyDescent="0.35">
      <c r="A258" s="109">
        <v>45862</v>
      </c>
      <c r="B258" s="111" t="s">
        <v>65</v>
      </c>
      <c r="C258" s="111" t="s">
        <v>74</v>
      </c>
      <c r="D258" s="111"/>
      <c r="E258" s="111" t="s">
        <v>451</v>
      </c>
      <c r="F258" s="153">
        <v>-382.41</v>
      </c>
      <c r="G258" s="135">
        <v>45877</v>
      </c>
      <c r="H258" s="134" t="s">
        <v>66</v>
      </c>
      <c r="I258" s="133" t="s">
        <v>119</v>
      </c>
      <c r="J258" s="111"/>
      <c r="K258" s="135">
        <v>45877</v>
      </c>
      <c r="L258" s="111"/>
      <c r="M258" s="196"/>
    </row>
    <row r="259" spans="1:13" customFormat="1" x14ac:dyDescent="0.35">
      <c r="A259" s="109">
        <v>45882</v>
      </c>
      <c r="B259" s="111" t="s">
        <v>65</v>
      </c>
      <c r="C259" s="121" t="s">
        <v>74</v>
      </c>
      <c r="D259" s="111"/>
      <c r="E259" s="121" t="s">
        <v>452</v>
      </c>
      <c r="F259" s="153">
        <v>-172.2</v>
      </c>
      <c r="G259" s="135">
        <v>45897</v>
      </c>
      <c r="H259" s="134" t="s">
        <v>66</v>
      </c>
      <c r="I259" s="133" t="s">
        <v>119</v>
      </c>
      <c r="J259" s="111"/>
      <c r="K259" s="135">
        <v>45897</v>
      </c>
      <c r="L259" s="111"/>
      <c r="M259" s="196"/>
    </row>
    <row r="260" spans="1:13" customFormat="1" x14ac:dyDescent="0.35">
      <c r="A260" s="109">
        <v>45897</v>
      </c>
      <c r="B260" s="111" t="s">
        <v>65</v>
      </c>
      <c r="C260" s="111" t="s">
        <v>74</v>
      </c>
      <c r="D260" s="111"/>
      <c r="E260" s="111" t="s">
        <v>453</v>
      </c>
      <c r="F260" s="153">
        <v>-88.56</v>
      </c>
      <c r="G260" s="135">
        <v>45912</v>
      </c>
      <c r="H260" s="134" t="s">
        <v>66</v>
      </c>
      <c r="I260" s="133" t="s">
        <v>119</v>
      </c>
      <c r="J260" s="111"/>
      <c r="K260" s="135">
        <v>45908</v>
      </c>
      <c r="L260" s="111"/>
      <c r="M260" s="196"/>
    </row>
    <row r="261" spans="1:13" customFormat="1" x14ac:dyDescent="0.35">
      <c r="A261" s="109">
        <v>44993</v>
      </c>
      <c r="B261" s="121" t="s">
        <v>57</v>
      </c>
      <c r="C261" s="111" t="s">
        <v>361</v>
      </c>
      <c r="D261" s="111" t="s">
        <v>362</v>
      </c>
      <c r="E261" s="111" t="s">
        <v>454</v>
      </c>
      <c r="F261" s="149">
        <v>132.75</v>
      </c>
      <c r="G261" s="135">
        <f t="shared" ref="G261:G268" si="8">A261+30</f>
        <v>45023</v>
      </c>
      <c r="H261" s="133" t="s">
        <v>66</v>
      </c>
      <c r="I261" s="133"/>
      <c r="J261" s="111"/>
      <c r="K261" s="135"/>
      <c r="L261" s="153">
        <f>F261</f>
        <v>132.75</v>
      </c>
      <c r="M261" s="111">
        <v>516911732</v>
      </c>
    </row>
    <row r="262" spans="1:13" customFormat="1" x14ac:dyDescent="0.35">
      <c r="A262" s="109">
        <v>44952</v>
      </c>
      <c r="B262" s="121" t="s">
        <v>57</v>
      </c>
      <c r="C262" s="111" t="s">
        <v>361</v>
      </c>
      <c r="D262" s="111" t="s">
        <v>362</v>
      </c>
      <c r="E262" s="111" t="s">
        <v>455</v>
      </c>
      <c r="F262" s="149">
        <v>107.04</v>
      </c>
      <c r="G262" s="135">
        <f t="shared" si="8"/>
        <v>44982</v>
      </c>
      <c r="H262" s="133" t="s">
        <v>66</v>
      </c>
      <c r="I262" s="133"/>
      <c r="J262" s="111"/>
      <c r="K262" s="135"/>
      <c r="L262" s="153"/>
      <c r="M262" s="111">
        <v>516911732</v>
      </c>
    </row>
    <row r="263" spans="1:13" customFormat="1" x14ac:dyDescent="0.35">
      <c r="A263" s="109">
        <v>44966</v>
      </c>
      <c r="B263" s="121" t="s">
        <v>57</v>
      </c>
      <c r="C263" s="111" t="s">
        <v>361</v>
      </c>
      <c r="D263" s="111" t="s">
        <v>362</v>
      </c>
      <c r="E263" s="111" t="s">
        <v>456</v>
      </c>
      <c r="F263" s="149">
        <v>112.42</v>
      </c>
      <c r="G263" s="135">
        <f t="shared" si="8"/>
        <v>44996</v>
      </c>
      <c r="H263" s="133" t="s">
        <v>66</v>
      </c>
      <c r="I263" s="133"/>
      <c r="J263" s="111"/>
      <c r="K263" s="135"/>
      <c r="L263" s="153"/>
      <c r="M263" s="111">
        <v>516911732</v>
      </c>
    </row>
    <row r="264" spans="1:13" customFormat="1" x14ac:dyDescent="0.35">
      <c r="A264" s="109">
        <v>45532</v>
      </c>
      <c r="B264" s="121" t="s">
        <v>57</v>
      </c>
      <c r="C264" s="111" t="s">
        <v>457</v>
      </c>
      <c r="D264" s="111" t="s">
        <v>457</v>
      </c>
      <c r="E264" s="111" t="s">
        <v>458</v>
      </c>
      <c r="F264" s="149">
        <v>965</v>
      </c>
      <c r="G264" s="135">
        <f t="shared" si="8"/>
        <v>45562</v>
      </c>
      <c r="H264" s="133" t="s">
        <v>66</v>
      </c>
      <c r="I264" s="133" t="s">
        <v>232</v>
      </c>
      <c r="J264" s="111"/>
      <c r="K264" s="135"/>
      <c r="L264" s="153">
        <f>F264</f>
        <v>965</v>
      </c>
      <c r="M264" s="111">
        <v>514973528</v>
      </c>
    </row>
    <row r="265" spans="1:13" customFormat="1" x14ac:dyDescent="0.35">
      <c r="A265" s="109">
        <v>44980</v>
      </c>
      <c r="B265" s="121" t="s">
        <v>57</v>
      </c>
      <c r="C265" s="111" t="s">
        <v>459</v>
      </c>
      <c r="D265" s="111" t="s">
        <v>460</v>
      </c>
      <c r="E265" s="111" t="s">
        <v>461</v>
      </c>
      <c r="F265" s="149">
        <v>585</v>
      </c>
      <c r="G265" s="135">
        <f t="shared" si="8"/>
        <v>45010</v>
      </c>
      <c r="H265" s="133" t="s">
        <v>66</v>
      </c>
      <c r="I265" s="133"/>
      <c r="J265" s="111"/>
      <c r="K265" s="135"/>
      <c r="L265" s="153">
        <f>F265</f>
        <v>585</v>
      </c>
      <c r="M265" s="111">
        <v>514973528</v>
      </c>
    </row>
    <row r="266" spans="1:13" customFormat="1" x14ac:dyDescent="0.35">
      <c r="A266" s="109">
        <v>45940</v>
      </c>
      <c r="B266" s="121" t="s">
        <v>57</v>
      </c>
      <c r="C266" s="121" t="s">
        <v>462</v>
      </c>
      <c r="D266" s="111"/>
      <c r="E266" s="121" t="s">
        <v>463</v>
      </c>
      <c r="F266" s="153">
        <v>300</v>
      </c>
      <c r="G266" s="135">
        <f t="shared" si="8"/>
        <v>45970</v>
      </c>
      <c r="H266" s="133" t="s">
        <v>66</v>
      </c>
      <c r="I266" s="134" t="s">
        <v>232</v>
      </c>
      <c r="J266" s="111"/>
      <c r="K266" s="135">
        <v>45954</v>
      </c>
      <c r="L266" s="111"/>
      <c r="M266" s="196"/>
    </row>
    <row r="267" spans="1:13" customFormat="1" x14ac:dyDescent="0.35">
      <c r="A267" s="109">
        <v>45437</v>
      </c>
      <c r="B267" s="121" t="s">
        <v>57</v>
      </c>
      <c r="C267" s="111" t="s">
        <v>464</v>
      </c>
      <c r="D267" s="111" t="s">
        <v>465</v>
      </c>
      <c r="E267" s="111" t="s">
        <v>466</v>
      </c>
      <c r="F267" s="149">
        <v>369</v>
      </c>
      <c r="G267" s="135">
        <f t="shared" si="8"/>
        <v>45467</v>
      </c>
      <c r="H267" s="133" t="s">
        <v>66</v>
      </c>
      <c r="I267" s="133"/>
      <c r="J267" s="160"/>
      <c r="K267" s="135"/>
      <c r="L267" s="153">
        <f>F267</f>
        <v>369</v>
      </c>
      <c r="M267" s="111">
        <v>517931206</v>
      </c>
    </row>
    <row r="268" spans="1:13" customFormat="1" x14ac:dyDescent="0.35">
      <c r="A268" s="109">
        <v>45625</v>
      </c>
      <c r="B268" s="121" t="s">
        <v>57</v>
      </c>
      <c r="C268" s="111" t="s">
        <v>467</v>
      </c>
      <c r="D268" s="111" t="s">
        <v>467</v>
      </c>
      <c r="E268" s="111" t="s">
        <v>468</v>
      </c>
      <c r="F268" s="149">
        <v>26.93</v>
      </c>
      <c r="G268" s="135">
        <f t="shared" si="8"/>
        <v>45655</v>
      </c>
      <c r="H268" s="133" t="s">
        <v>66</v>
      </c>
      <c r="I268" s="133" t="s">
        <v>135</v>
      </c>
      <c r="J268" s="160"/>
      <c r="K268" s="135"/>
      <c r="L268" s="153">
        <f>F268</f>
        <v>26.93</v>
      </c>
      <c r="M268" s="111">
        <v>516761501</v>
      </c>
    </row>
    <row r="269" spans="1:13" customFormat="1" x14ac:dyDescent="0.35">
      <c r="A269" s="109">
        <v>45646</v>
      </c>
      <c r="B269" s="121" t="s">
        <v>57</v>
      </c>
      <c r="C269" s="111" t="s">
        <v>467</v>
      </c>
      <c r="D269" s="111" t="s">
        <v>467</v>
      </c>
      <c r="E269" s="111" t="s">
        <v>469</v>
      </c>
      <c r="F269" s="149">
        <v>25.86</v>
      </c>
      <c r="G269" s="135">
        <f>IF(OR(C269="Matosinhos",C269="Bolhão"),A269,A269+30)</f>
        <v>45676</v>
      </c>
      <c r="H269" s="133" t="s">
        <v>66</v>
      </c>
      <c r="I269" s="133" t="s">
        <v>135</v>
      </c>
      <c r="J269" s="111"/>
      <c r="K269" s="135">
        <v>45756</v>
      </c>
      <c r="L269" s="153">
        <f>F269</f>
        <v>25.86</v>
      </c>
      <c r="M269" s="111">
        <v>516761501</v>
      </c>
    </row>
    <row r="270" spans="1:13" customFormat="1" x14ac:dyDescent="0.35">
      <c r="A270" s="109">
        <v>45975</v>
      </c>
      <c r="B270" s="111" t="s">
        <v>57</v>
      </c>
      <c r="C270" s="111" t="s">
        <v>470</v>
      </c>
      <c r="D270" s="111"/>
      <c r="E270" s="111"/>
      <c r="F270" s="153">
        <v>15600</v>
      </c>
      <c r="G270" s="133"/>
      <c r="H270" s="133" t="s">
        <v>66</v>
      </c>
      <c r="I270" s="133"/>
      <c r="J270" s="111"/>
      <c r="K270" s="135">
        <v>45975</v>
      </c>
      <c r="L270" s="111"/>
      <c r="M270" s="196" t="s">
        <v>471</v>
      </c>
    </row>
    <row r="271" spans="1:13" customFormat="1" x14ac:dyDescent="0.35">
      <c r="A271" s="109">
        <v>45975</v>
      </c>
      <c r="B271" s="111" t="s">
        <v>57</v>
      </c>
      <c r="C271" s="111" t="s">
        <v>470</v>
      </c>
      <c r="D271" s="111"/>
      <c r="E271" s="111"/>
      <c r="F271" s="153">
        <v>1950</v>
      </c>
      <c r="G271" s="133"/>
      <c r="H271" s="133" t="s">
        <v>66</v>
      </c>
      <c r="I271" s="133"/>
      <c r="J271" s="111"/>
      <c r="K271" s="135">
        <v>45975</v>
      </c>
      <c r="L271" s="111"/>
      <c r="M271" s="196" t="s">
        <v>472</v>
      </c>
    </row>
    <row r="272" spans="1:13" customFormat="1" x14ac:dyDescent="0.35">
      <c r="A272" s="109">
        <v>45638</v>
      </c>
      <c r="B272" s="121" t="s">
        <v>57</v>
      </c>
      <c r="C272" s="111" t="s">
        <v>33</v>
      </c>
      <c r="D272" s="111" t="s">
        <v>473</v>
      </c>
      <c r="E272" s="111" t="s">
        <v>474</v>
      </c>
      <c r="F272" s="149">
        <v>13.77</v>
      </c>
      <c r="G272" s="135">
        <f>IF(OR(C272="Matosinhos",C272="Bolhão"),A272,A272+30)</f>
        <v>45668</v>
      </c>
      <c r="H272" s="134" t="s">
        <v>66</v>
      </c>
      <c r="I272" s="133" t="s">
        <v>135</v>
      </c>
      <c r="J272" s="111"/>
      <c r="K272" s="135">
        <v>45799</v>
      </c>
      <c r="L272" s="153">
        <f t="shared" ref="L272:L284" si="9">F272</f>
        <v>13.77</v>
      </c>
      <c r="M272" s="111">
        <v>516402307</v>
      </c>
    </row>
    <row r="273" spans="1:13" customFormat="1" x14ac:dyDescent="0.35">
      <c r="A273" s="109">
        <v>45646</v>
      </c>
      <c r="B273" s="121" t="s">
        <v>57</v>
      </c>
      <c r="C273" s="111" t="s">
        <v>33</v>
      </c>
      <c r="D273" s="111" t="s">
        <v>473</v>
      </c>
      <c r="E273" s="111" t="s">
        <v>475</v>
      </c>
      <c r="F273" s="149">
        <v>17.920000000000002</v>
      </c>
      <c r="G273" s="135">
        <f>IF(OR(C273="Matosinhos",C273="Bolhão"),A273,A273+30)</f>
        <v>45676</v>
      </c>
      <c r="H273" s="134" t="s">
        <v>66</v>
      </c>
      <c r="I273" s="133" t="s">
        <v>135</v>
      </c>
      <c r="J273" s="111"/>
      <c r="K273" s="135">
        <v>45799</v>
      </c>
      <c r="L273" s="153">
        <f t="shared" si="9"/>
        <v>17.920000000000002</v>
      </c>
      <c r="M273" s="111">
        <v>516402307</v>
      </c>
    </row>
    <row r="274" spans="1:13" customFormat="1" x14ac:dyDescent="0.35">
      <c r="A274" s="109">
        <v>45615</v>
      </c>
      <c r="B274" s="121" t="s">
        <v>57</v>
      </c>
      <c r="C274" s="111" t="s">
        <v>33</v>
      </c>
      <c r="D274" s="111" t="s">
        <v>473</v>
      </c>
      <c r="E274" s="111" t="s">
        <v>476</v>
      </c>
      <c r="F274" s="149">
        <v>120.91</v>
      </c>
      <c r="G274" s="135">
        <f>A274+30</f>
        <v>45645</v>
      </c>
      <c r="H274" s="133" t="s">
        <v>66</v>
      </c>
      <c r="I274" s="133" t="s">
        <v>135</v>
      </c>
      <c r="J274" s="160"/>
      <c r="K274" s="135"/>
      <c r="L274" s="153">
        <f t="shared" si="9"/>
        <v>120.91</v>
      </c>
      <c r="M274" s="111">
        <v>516402307</v>
      </c>
    </row>
    <row r="275" spans="1:13" customFormat="1" x14ac:dyDescent="0.35">
      <c r="A275" s="109">
        <v>45616</v>
      </c>
      <c r="B275" s="121" t="s">
        <v>57</v>
      </c>
      <c r="C275" s="111" t="s">
        <v>33</v>
      </c>
      <c r="D275" s="111" t="s">
        <v>473</v>
      </c>
      <c r="E275" s="111" t="s">
        <v>477</v>
      </c>
      <c r="F275" s="149">
        <v>21.14</v>
      </c>
      <c r="G275" s="135">
        <f>A275+30</f>
        <v>45646</v>
      </c>
      <c r="H275" s="133" t="s">
        <v>66</v>
      </c>
      <c r="I275" s="133" t="s">
        <v>135</v>
      </c>
      <c r="J275" s="160"/>
      <c r="K275" s="135"/>
      <c r="L275" s="153">
        <f t="shared" si="9"/>
        <v>21.14</v>
      </c>
      <c r="M275" s="111">
        <v>516402307</v>
      </c>
    </row>
    <row r="276" spans="1:13" customFormat="1" x14ac:dyDescent="0.35">
      <c r="A276" s="109">
        <v>45527</v>
      </c>
      <c r="B276" s="121" t="s">
        <v>57</v>
      </c>
      <c r="C276" s="111" t="s">
        <v>33</v>
      </c>
      <c r="D276" s="111" t="s">
        <v>473</v>
      </c>
      <c r="E276" s="111" t="s">
        <v>478</v>
      </c>
      <c r="F276" s="149">
        <v>69.260000000000005</v>
      </c>
      <c r="G276" s="135">
        <f>A276+30</f>
        <v>45557</v>
      </c>
      <c r="H276" s="133" t="s">
        <v>66</v>
      </c>
      <c r="I276" s="133" t="s">
        <v>135</v>
      </c>
      <c r="J276" s="160"/>
      <c r="K276" s="135"/>
      <c r="L276" s="153">
        <f t="shared" si="9"/>
        <v>69.260000000000005</v>
      </c>
      <c r="M276" s="111">
        <v>516402307</v>
      </c>
    </row>
    <row r="277" spans="1:13" customFormat="1" x14ac:dyDescent="0.35">
      <c r="A277" s="109">
        <v>45699</v>
      </c>
      <c r="B277" s="111" t="s">
        <v>57</v>
      </c>
      <c r="C277" s="111" t="s">
        <v>33</v>
      </c>
      <c r="D277" s="111" t="s">
        <v>473</v>
      </c>
      <c r="E277" s="111" t="s">
        <v>479</v>
      </c>
      <c r="F277" s="153">
        <v>7.38</v>
      </c>
      <c r="G277" s="135">
        <v>45727</v>
      </c>
      <c r="H277" s="134" t="s">
        <v>66</v>
      </c>
      <c r="I277" s="133" t="s">
        <v>135</v>
      </c>
      <c r="J277" s="111"/>
      <c r="K277" s="135">
        <v>45799</v>
      </c>
      <c r="L277" s="153">
        <f t="shared" si="9"/>
        <v>7.38</v>
      </c>
      <c r="M277" s="111">
        <v>516402307</v>
      </c>
    </row>
    <row r="278" spans="1:13" customFormat="1" x14ac:dyDescent="0.35">
      <c r="A278" s="109">
        <v>45579</v>
      </c>
      <c r="B278" s="121" t="s">
        <v>57</v>
      </c>
      <c r="C278" s="111" t="s">
        <v>33</v>
      </c>
      <c r="D278" s="111" t="s">
        <v>473</v>
      </c>
      <c r="E278" s="111" t="s">
        <v>480</v>
      </c>
      <c r="F278" s="149">
        <v>24.41</v>
      </c>
      <c r="G278" s="135">
        <f>A278+30</f>
        <v>45609</v>
      </c>
      <c r="H278" s="133" t="s">
        <v>66</v>
      </c>
      <c r="I278" s="133" t="s">
        <v>135</v>
      </c>
      <c r="J278" s="160"/>
      <c r="K278" s="135"/>
      <c r="L278" s="153">
        <f t="shared" si="9"/>
        <v>24.41</v>
      </c>
      <c r="M278" s="111">
        <v>516402307</v>
      </c>
    </row>
    <row r="279" spans="1:13" customFormat="1" x14ac:dyDescent="0.35">
      <c r="A279" s="109">
        <v>45703</v>
      </c>
      <c r="B279" s="111" t="s">
        <v>57</v>
      </c>
      <c r="C279" s="111" t="s">
        <v>33</v>
      </c>
      <c r="D279" s="111" t="s">
        <v>473</v>
      </c>
      <c r="E279" s="111" t="s">
        <v>481</v>
      </c>
      <c r="F279" s="153">
        <v>6.04</v>
      </c>
      <c r="G279" s="135">
        <v>45727</v>
      </c>
      <c r="H279" s="134" t="s">
        <v>66</v>
      </c>
      <c r="I279" s="133" t="s">
        <v>135</v>
      </c>
      <c r="J279" s="160"/>
      <c r="K279" s="135">
        <v>45799</v>
      </c>
      <c r="L279" s="153">
        <f t="shared" si="9"/>
        <v>6.04</v>
      </c>
      <c r="M279" s="111">
        <v>516402307</v>
      </c>
    </row>
    <row r="280" spans="1:13" customFormat="1" x14ac:dyDescent="0.35">
      <c r="A280" s="109">
        <v>45714</v>
      </c>
      <c r="B280" s="111" t="s">
        <v>57</v>
      </c>
      <c r="C280" s="111" t="s">
        <v>33</v>
      </c>
      <c r="D280" s="111" t="s">
        <v>473</v>
      </c>
      <c r="E280" s="111" t="s">
        <v>482</v>
      </c>
      <c r="F280" s="153">
        <v>7.38</v>
      </c>
      <c r="G280" s="135">
        <v>45742</v>
      </c>
      <c r="H280" s="134" t="s">
        <v>66</v>
      </c>
      <c r="I280" s="133" t="s">
        <v>135</v>
      </c>
      <c r="J280" s="111"/>
      <c r="K280" s="135">
        <v>45799</v>
      </c>
      <c r="L280" s="153">
        <f t="shared" si="9"/>
        <v>7.38</v>
      </c>
      <c r="M280" s="111">
        <v>516402307</v>
      </c>
    </row>
    <row r="281" spans="1:13" customFormat="1" x14ac:dyDescent="0.35">
      <c r="A281" s="109">
        <v>45728</v>
      </c>
      <c r="B281" s="111" t="s">
        <v>57</v>
      </c>
      <c r="C281" s="111" t="s">
        <v>33</v>
      </c>
      <c r="D281" s="111" t="s">
        <v>473</v>
      </c>
      <c r="E281" s="111" t="s">
        <v>483</v>
      </c>
      <c r="F281" s="153">
        <v>85.72</v>
      </c>
      <c r="G281" s="135">
        <f>A281+30</f>
        <v>45758</v>
      </c>
      <c r="H281" s="134" t="s">
        <v>66</v>
      </c>
      <c r="I281" s="133" t="s">
        <v>135</v>
      </c>
      <c r="J281" s="111"/>
      <c r="K281" s="135">
        <v>45799</v>
      </c>
      <c r="L281" s="153">
        <f t="shared" si="9"/>
        <v>85.72</v>
      </c>
      <c r="M281" s="111">
        <v>516402307</v>
      </c>
    </row>
    <row r="282" spans="1:13" customFormat="1" x14ac:dyDescent="0.35">
      <c r="A282" s="109">
        <v>45603</v>
      </c>
      <c r="B282" s="121" t="s">
        <v>57</v>
      </c>
      <c r="C282" s="111" t="s">
        <v>33</v>
      </c>
      <c r="D282" s="111" t="s">
        <v>473</v>
      </c>
      <c r="E282" s="111" t="s">
        <v>484</v>
      </c>
      <c r="F282" s="149">
        <v>25.11</v>
      </c>
      <c r="G282" s="135">
        <f>A282+30</f>
        <v>45633</v>
      </c>
      <c r="H282" s="133" t="s">
        <v>66</v>
      </c>
      <c r="I282" s="133" t="s">
        <v>135</v>
      </c>
      <c r="J282" s="160"/>
      <c r="K282" s="135"/>
      <c r="L282" s="153">
        <f t="shared" si="9"/>
        <v>25.11</v>
      </c>
      <c r="M282" s="111">
        <v>516402307</v>
      </c>
    </row>
    <row r="283" spans="1:13" customFormat="1" x14ac:dyDescent="0.35">
      <c r="A283" s="109">
        <v>45730</v>
      </c>
      <c r="B283" s="111" t="s">
        <v>57</v>
      </c>
      <c r="C283" s="111" t="s">
        <v>33</v>
      </c>
      <c r="D283" s="111" t="s">
        <v>473</v>
      </c>
      <c r="E283" s="111" t="s">
        <v>485</v>
      </c>
      <c r="F283" s="153">
        <v>67.040000000000006</v>
      </c>
      <c r="G283" s="135">
        <f>A283+30</f>
        <v>45760</v>
      </c>
      <c r="H283" s="134" t="s">
        <v>66</v>
      </c>
      <c r="I283" s="133" t="s">
        <v>135</v>
      </c>
      <c r="J283" s="111"/>
      <c r="K283" s="135">
        <v>45799</v>
      </c>
      <c r="L283" s="153">
        <f t="shared" si="9"/>
        <v>67.040000000000006</v>
      </c>
      <c r="M283" s="111">
        <v>516402307</v>
      </c>
    </row>
    <row r="284" spans="1:13" customFormat="1" x14ac:dyDescent="0.35">
      <c r="A284" s="109">
        <v>45736</v>
      </c>
      <c r="B284" s="111" t="s">
        <v>57</v>
      </c>
      <c r="C284" s="111" t="s">
        <v>33</v>
      </c>
      <c r="D284" s="111" t="s">
        <v>473</v>
      </c>
      <c r="E284" s="121" t="s">
        <v>486</v>
      </c>
      <c r="F284" s="153">
        <v>68.73</v>
      </c>
      <c r="G284" s="135">
        <v>45766</v>
      </c>
      <c r="H284" s="134" t="s">
        <v>66</v>
      </c>
      <c r="I284" s="133" t="s">
        <v>135</v>
      </c>
      <c r="J284" s="111"/>
      <c r="K284" s="135">
        <v>45862</v>
      </c>
      <c r="L284" s="153">
        <f t="shared" si="9"/>
        <v>68.73</v>
      </c>
      <c r="M284" s="196">
        <v>516402307</v>
      </c>
    </row>
    <row r="285" spans="1:13" x14ac:dyDescent="0.35">
      <c r="A285" s="109">
        <v>45742</v>
      </c>
      <c r="B285" s="111" t="s">
        <v>57</v>
      </c>
      <c r="C285" s="111" t="s">
        <v>33</v>
      </c>
      <c r="D285" s="111" t="s">
        <v>473</v>
      </c>
      <c r="E285" s="121" t="s">
        <v>487</v>
      </c>
      <c r="F285" s="153">
        <v>57.33</v>
      </c>
      <c r="G285" s="135">
        <v>45407</v>
      </c>
      <c r="H285" s="134" t="s">
        <v>66</v>
      </c>
      <c r="I285" s="133" t="s">
        <v>135</v>
      </c>
      <c r="J285" s="160"/>
      <c r="K285" s="135">
        <v>45862</v>
      </c>
      <c r="L285" s="153"/>
      <c r="M285" s="196">
        <v>516402307</v>
      </c>
    </row>
    <row r="286" spans="1:13" x14ac:dyDescent="0.35">
      <c r="A286" s="109">
        <v>45958</v>
      </c>
      <c r="B286" s="111" t="s">
        <v>57</v>
      </c>
      <c r="C286" s="111" t="s">
        <v>33</v>
      </c>
      <c r="D286" s="111" t="s">
        <v>473</v>
      </c>
      <c r="E286" s="111" t="s">
        <v>488</v>
      </c>
      <c r="F286" s="217">
        <v>7.95</v>
      </c>
      <c r="G286" s="135">
        <v>45947</v>
      </c>
      <c r="H286" s="134" t="s">
        <v>66</v>
      </c>
      <c r="I286" s="133" t="s">
        <v>135</v>
      </c>
      <c r="K286" s="135">
        <v>46000</v>
      </c>
      <c r="M286" s="186"/>
    </row>
    <row r="287" spans="1:13" s="76" customFormat="1" x14ac:dyDescent="0.35">
      <c r="A287" s="109">
        <v>45890</v>
      </c>
      <c r="B287" s="145" t="s">
        <v>65</v>
      </c>
      <c r="C287" s="145" t="s">
        <v>74</v>
      </c>
      <c r="D287" s="145"/>
      <c r="E287" s="145" t="s">
        <v>489</v>
      </c>
      <c r="F287" s="169">
        <v>-227.92</v>
      </c>
      <c r="G287" s="138">
        <v>45905</v>
      </c>
      <c r="H287" s="148" t="s">
        <v>66</v>
      </c>
      <c r="I287" s="147" t="s">
        <v>119</v>
      </c>
      <c r="J287" s="111"/>
      <c r="K287" s="135">
        <v>45908</v>
      </c>
      <c r="L287" s="111"/>
      <c r="M287" s="198"/>
    </row>
    <row r="288" spans="1:13" customFormat="1" x14ac:dyDescent="0.35">
      <c r="A288" s="109">
        <v>45911</v>
      </c>
      <c r="B288" s="121" t="s">
        <v>65</v>
      </c>
      <c r="C288" s="121" t="s">
        <v>74</v>
      </c>
      <c r="D288" s="111"/>
      <c r="E288" s="121" t="s">
        <v>490</v>
      </c>
      <c r="F288" s="153">
        <v>-260.27</v>
      </c>
      <c r="G288" s="135">
        <f>A288+15</f>
        <v>45926</v>
      </c>
      <c r="H288" s="134" t="s">
        <v>66</v>
      </c>
      <c r="I288" s="133" t="s">
        <v>119</v>
      </c>
      <c r="J288" s="111"/>
      <c r="K288" s="135">
        <v>45926</v>
      </c>
      <c r="L288" s="111"/>
      <c r="M288" s="196"/>
    </row>
    <row r="289" spans="1:13" customFormat="1" x14ac:dyDescent="0.35">
      <c r="A289" s="109">
        <v>45904</v>
      </c>
      <c r="B289" s="121" t="s">
        <v>65</v>
      </c>
      <c r="C289" s="121" t="s">
        <v>74</v>
      </c>
      <c r="D289" s="111"/>
      <c r="E289" s="121" t="s">
        <v>491</v>
      </c>
      <c r="F289" s="153">
        <v>-65.19</v>
      </c>
      <c r="G289" s="135">
        <f>A289+15</f>
        <v>45919</v>
      </c>
      <c r="H289" s="134" t="s">
        <v>66</v>
      </c>
      <c r="I289" s="133" t="s">
        <v>119</v>
      </c>
      <c r="J289" s="111"/>
      <c r="K289" s="135">
        <v>45915</v>
      </c>
      <c r="L289" s="111"/>
      <c r="M289" s="196"/>
    </row>
    <row r="290" spans="1:13" customFormat="1" x14ac:dyDescent="0.35">
      <c r="A290" s="109">
        <v>45918</v>
      </c>
      <c r="B290" s="111" t="s">
        <v>65</v>
      </c>
      <c r="C290" s="111" t="s">
        <v>74</v>
      </c>
      <c r="D290" s="111"/>
      <c r="E290" s="111" t="s">
        <v>492</v>
      </c>
      <c r="F290" s="153">
        <v>-65.19</v>
      </c>
      <c r="G290" s="135">
        <v>45933</v>
      </c>
      <c r="H290" s="134" t="s">
        <v>66</v>
      </c>
      <c r="I290" s="133" t="s">
        <v>119</v>
      </c>
      <c r="J290" s="111"/>
      <c r="K290" s="135">
        <v>45933</v>
      </c>
      <c r="L290" s="111"/>
      <c r="M290" s="196"/>
    </row>
    <row r="291" spans="1:13" customFormat="1" x14ac:dyDescent="0.35">
      <c r="A291" s="109">
        <v>45925</v>
      </c>
      <c r="B291" s="111" t="s">
        <v>65</v>
      </c>
      <c r="C291" s="111" t="s">
        <v>74</v>
      </c>
      <c r="D291" s="111"/>
      <c r="E291" s="111" t="s">
        <v>493</v>
      </c>
      <c r="F291" s="153">
        <v>-23.37</v>
      </c>
      <c r="G291" s="135">
        <v>45940</v>
      </c>
      <c r="H291" s="134" t="s">
        <v>66</v>
      </c>
      <c r="I291" s="133" t="s">
        <v>119</v>
      </c>
      <c r="J291" s="111"/>
      <c r="K291" s="135">
        <v>45940</v>
      </c>
      <c r="L291" s="111"/>
      <c r="M291" s="196"/>
    </row>
    <row r="292" spans="1:13" customFormat="1" x14ac:dyDescent="0.35">
      <c r="A292" s="109">
        <v>45932</v>
      </c>
      <c r="B292" s="121" t="s">
        <v>65</v>
      </c>
      <c r="C292" s="121" t="s">
        <v>74</v>
      </c>
      <c r="D292" s="111"/>
      <c r="E292" s="121" t="s">
        <v>494</v>
      </c>
      <c r="F292" s="153">
        <v>-130.38</v>
      </c>
      <c r="G292" s="135">
        <v>45947</v>
      </c>
      <c r="H292" s="134" t="s">
        <v>66</v>
      </c>
      <c r="I292" s="134" t="s">
        <v>145</v>
      </c>
      <c r="J292" s="111"/>
      <c r="K292" s="135">
        <v>45947</v>
      </c>
      <c r="L292" s="111"/>
      <c r="M292" s="196"/>
    </row>
    <row r="293" spans="1:13" customFormat="1" x14ac:dyDescent="0.35">
      <c r="A293" s="109">
        <v>45953</v>
      </c>
      <c r="B293" s="111" t="s">
        <v>65</v>
      </c>
      <c r="C293" s="111" t="s">
        <v>74</v>
      </c>
      <c r="D293" s="111"/>
      <c r="E293" s="121" t="s">
        <v>495</v>
      </c>
      <c r="F293" s="153">
        <v>-67.45</v>
      </c>
      <c r="G293" s="135">
        <f>A293+15</f>
        <v>45968</v>
      </c>
      <c r="H293" s="133" t="s">
        <v>66</v>
      </c>
      <c r="I293" s="133" t="s">
        <v>145</v>
      </c>
      <c r="J293" s="111"/>
      <c r="K293" s="135">
        <v>45968</v>
      </c>
      <c r="L293" s="111"/>
      <c r="M293" s="196"/>
    </row>
    <row r="294" spans="1:13" customFormat="1" x14ac:dyDescent="0.35">
      <c r="A294" s="109">
        <v>46002</v>
      </c>
      <c r="B294" s="111" t="s">
        <v>65</v>
      </c>
      <c r="C294" s="111" t="s">
        <v>496</v>
      </c>
      <c r="D294" s="111"/>
      <c r="E294" s="111"/>
      <c r="F294" s="153">
        <v>-369.85</v>
      </c>
      <c r="G294" s="135">
        <v>46017</v>
      </c>
      <c r="H294" s="134" t="s">
        <v>66</v>
      </c>
      <c r="I294" s="133" t="s">
        <v>145</v>
      </c>
      <c r="J294" s="111"/>
      <c r="K294" s="160">
        <v>46017</v>
      </c>
      <c r="L294" s="111"/>
      <c r="M294" s="196"/>
    </row>
    <row r="295" spans="1:13" customFormat="1" x14ac:dyDescent="0.35">
      <c r="A295" s="109">
        <v>45946</v>
      </c>
      <c r="B295" s="111" t="s">
        <v>65</v>
      </c>
      <c r="C295" s="111" t="s">
        <v>74</v>
      </c>
      <c r="D295" s="111"/>
      <c r="E295" s="218" t="s">
        <v>497</v>
      </c>
      <c r="F295" s="153">
        <v>-130.38</v>
      </c>
      <c r="G295" s="135">
        <v>45961</v>
      </c>
      <c r="H295" s="133" t="s">
        <v>66</v>
      </c>
      <c r="I295" s="133" t="s">
        <v>145</v>
      </c>
      <c r="J295" s="111"/>
      <c r="K295" s="135">
        <v>45961</v>
      </c>
      <c r="L295" s="111"/>
      <c r="M295" s="196"/>
    </row>
    <row r="296" spans="1:13" customFormat="1" x14ac:dyDescent="0.35">
      <c r="A296" s="109">
        <v>45953</v>
      </c>
      <c r="B296" s="111" t="s">
        <v>65</v>
      </c>
      <c r="C296" s="111" t="s">
        <v>74</v>
      </c>
      <c r="D296" s="111"/>
      <c r="E296" s="121" t="s">
        <v>498</v>
      </c>
      <c r="F296" s="153">
        <v>-84.5</v>
      </c>
      <c r="G296" s="135">
        <f>A296+15</f>
        <v>45968</v>
      </c>
      <c r="H296" s="133" t="s">
        <v>66</v>
      </c>
      <c r="I296" s="133" t="s">
        <v>145</v>
      </c>
      <c r="J296" s="111"/>
      <c r="K296" s="135">
        <v>45968</v>
      </c>
      <c r="L296" s="111"/>
      <c r="M296" s="196"/>
    </row>
    <row r="297" spans="1:13" customFormat="1" x14ac:dyDescent="0.35">
      <c r="A297" s="109">
        <v>45974</v>
      </c>
      <c r="B297" s="111" t="s">
        <v>65</v>
      </c>
      <c r="C297" s="111" t="s">
        <v>74</v>
      </c>
      <c r="D297" s="111"/>
      <c r="E297" s="218" t="s">
        <v>499</v>
      </c>
      <c r="F297" s="153">
        <v>-230.87</v>
      </c>
      <c r="G297" s="135">
        <v>45989</v>
      </c>
      <c r="H297" s="133" t="s">
        <v>66</v>
      </c>
      <c r="I297" s="133" t="s">
        <v>145</v>
      </c>
      <c r="J297" s="111"/>
      <c r="K297" s="135">
        <v>45989</v>
      </c>
      <c r="L297" s="111"/>
      <c r="M297" s="196"/>
    </row>
    <row r="298" spans="1:13" customFormat="1" x14ac:dyDescent="0.35">
      <c r="A298" s="109">
        <v>45981</v>
      </c>
      <c r="B298" s="111" t="s">
        <v>65</v>
      </c>
      <c r="C298" s="111" t="s">
        <v>74</v>
      </c>
      <c r="D298" s="111"/>
      <c r="E298" s="218" t="s">
        <v>500</v>
      </c>
      <c r="F298" s="153">
        <v>-159.41</v>
      </c>
      <c r="G298" s="135">
        <v>45996</v>
      </c>
      <c r="H298" s="134" t="s">
        <v>66</v>
      </c>
      <c r="I298" s="133" t="s">
        <v>145</v>
      </c>
      <c r="J298" s="111"/>
      <c r="K298" s="135">
        <v>45996</v>
      </c>
      <c r="L298" s="111"/>
      <c r="M298" s="196"/>
    </row>
    <row r="299" spans="1:13" customFormat="1" x14ac:dyDescent="0.35">
      <c r="A299" s="109">
        <v>45982</v>
      </c>
      <c r="B299" s="111" t="s">
        <v>65</v>
      </c>
      <c r="C299" s="111" t="s">
        <v>74</v>
      </c>
      <c r="D299" s="111"/>
      <c r="E299" s="218" t="s">
        <v>501</v>
      </c>
      <c r="F299" s="153">
        <v>-168.18</v>
      </c>
      <c r="G299" s="135">
        <v>45997</v>
      </c>
      <c r="H299" s="134" t="s">
        <v>66</v>
      </c>
      <c r="I299" s="133" t="s">
        <v>145</v>
      </c>
      <c r="J299" s="111"/>
      <c r="K299" s="135">
        <v>45996</v>
      </c>
      <c r="L299" s="111"/>
      <c r="M299" s="196"/>
    </row>
    <row r="300" spans="1:13" customFormat="1" x14ac:dyDescent="0.35">
      <c r="A300" s="109">
        <v>45988</v>
      </c>
      <c r="B300" s="111" t="s">
        <v>65</v>
      </c>
      <c r="C300" s="111" t="s">
        <v>74</v>
      </c>
      <c r="D300" s="111"/>
      <c r="E300" s="218" t="s">
        <v>502</v>
      </c>
      <c r="F300" s="153">
        <v>-591.94000000000005</v>
      </c>
      <c r="G300" s="135">
        <v>46003</v>
      </c>
      <c r="H300" s="134" t="s">
        <v>66</v>
      </c>
      <c r="I300" s="133" t="s">
        <v>145</v>
      </c>
      <c r="J300" s="111"/>
      <c r="K300" s="160">
        <v>46003</v>
      </c>
      <c r="L300" s="111"/>
      <c r="M300" s="196"/>
    </row>
    <row r="301" spans="1:13" customFormat="1" x14ac:dyDescent="0.35">
      <c r="A301" s="109">
        <v>46021</v>
      </c>
      <c r="B301" s="111" t="s">
        <v>65</v>
      </c>
      <c r="C301" s="111" t="s">
        <v>496</v>
      </c>
      <c r="D301" s="111"/>
      <c r="E301" s="111" t="s">
        <v>503</v>
      </c>
      <c r="F301" s="153">
        <v>-128.81</v>
      </c>
      <c r="G301" s="135">
        <v>46036</v>
      </c>
      <c r="H301" s="133" t="s">
        <v>66</v>
      </c>
      <c r="I301" s="133" t="s">
        <v>145</v>
      </c>
      <c r="J301" s="111"/>
      <c r="K301" s="160">
        <v>46038</v>
      </c>
      <c r="L301" s="111"/>
      <c r="M301" s="75"/>
    </row>
    <row r="302" spans="1:13" customFormat="1" x14ac:dyDescent="0.35">
      <c r="A302" s="109">
        <v>46030</v>
      </c>
      <c r="B302" s="111" t="s">
        <v>65</v>
      </c>
      <c r="C302" s="111" t="s">
        <v>496</v>
      </c>
      <c r="D302" s="111"/>
      <c r="E302" s="111" t="s">
        <v>504</v>
      </c>
      <c r="F302" s="153">
        <v>-549.33000000000004</v>
      </c>
      <c r="G302" s="238">
        <v>46045</v>
      </c>
      <c r="H302" s="134" t="s">
        <v>66</v>
      </c>
      <c r="I302" s="133" t="s">
        <v>145</v>
      </c>
      <c r="J302" s="111"/>
      <c r="K302" s="160">
        <v>46062</v>
      </c>
      <c r="L302" s="111"/>
      <c r="M302" s="196"/>
    </row>
    <row r="303" spans="1:13" customFormat="1" x14ac:dyDescent="0.35">
      <c r="A303" s="176">
        <v>46035</v>
      </c>
      <c r="B303" s="140" t="s">
        <v>65</v>
      </c>
      <c r="C303" s="140" t="s">
        <v>496</v>
      </c>
      <c r="D303" s="140"/>
      <c r="E303" s="140" t="s">
        <v>505</v>
      </c>
      <c r="F303" s="174">
        <v>-23.04</v>
      </c>
      <c r="G303" s="246">
        <v>46050</v>
      </c>
      <c r="H303" s="175" t="s">
        <v>66</v>
      </c>
      <c r="I303" s="142" t="s">
        <v>145</v>
      </c>
      <c r="J303" s="111"/>
      <c r="K303" s="160">
        <v>46062</v>
      </c>
      <c r="L303" s="111"/>
      <c r="M303" s="196"/>
    </row>
    <row r="304" spans="1:13" customFormat="1" x14ac:dyDescent="0.35">
      <c r="A304" s="111"/>
      <c r="B304" s="111" t="s">
        <v>65</v>
      </c>
      <c r="C304" s="111" t="s">
        <v>140</v>
      </c>
      <c r="D304" s="111"/>
      <c r="E304" s="111"/>
      <c r="F304" s="153">
        <v>-400</v>
      </c>
      <c r="G304" s="135">
        <v>46143</v>
      </c>
      <c r="H304" s="133" t="s">
        <v>59</v>
      </c>
      <c r="I304" s="133" t="s">
        <v>119</v>
      </c>
      <c r="J304" s="111"/>
      <c r="K304" s="160"/>
      <c r="L304" s="196" t="s">
        <v>392</v>
      </c>
      <c r="M304" s="196" t="s">
        <v>506</v>
      </c>
    </row>
    <row r="305" spans="1:13" customFormat="1" x14ac:dyDescent="0.35">
      <c r="A305" s="109">
        <v>46009</v>
      </c>
      <c r="B305" s="111" t="s">
        <v>65</v>
      </c>
      <c r="C305" s="111" t="s">
        <v>496</v>
      </c>
      <c r="D305" s="111"/>
      <c r="E305" s="218" t="s">
        <v>507</v>
      </c>
      <c r="F305" s="153">
        <v>-342.26</v>
      </c>
      <c r="G305" s="135">
        <v>46024</v>
      </c>
      <c r="H305" s="133" t="s">
        <v>66</v>
      </c>
      <c r="I305" s="133" t="s">
        <v>145</v>
      </c>
      <c r="J305" s="111"/>
      <c r="K305" s="160">
        <v>46027</v>
      </c>
      <c r="L305" s="111"/>
      <c r="M305" s="196"/>
    </row>
    <row r="306" spans="1:13" customFormat="1" x14ac:dyDescent="0.35">
      <c r="A306" s="109">
        <v>46035</v>
      </c>
      <c r="B306" s="111" t="s">
        <v>65</v>
      </c>
      <c r="C306" s="111" t="s">
        <v>508</v>
      </c>
      <c r="D306" s="111"/>
      <c r="E306" s="111" t="s">
        <v>509</v>
      </c>
      <c r="F306" s="153">
        <v>-81</v>
      </c>
      <c r="G306" s="133"/>
      <c r="H306" s="133" t="s">
        <v>66</v>
      </c>
      <c r="I306" s="133" t="s">
        <v>119</v>
      </c>
      <c r="J306" s="111"/>
      <c r="K306" s="160">
        <v>46038</v>
      </c>
      <c r="L306" s="111"/>
      <c r="M306" s="196" t="s">
        <v>510</v>
      </c>
    </row>
    <row r="307" spans="1:13" customFormat="1" x14ac:dyDescent="0.35">
      <c r="A307" s="109">
        <v>45960</v>
      </c>
      <c r="B307" s="111" t="s">
        <v>65</v>
      </c>
      <c r="C307" s="111" t="s">
        <v>75</v>
      </c>
      <c r="D307" s="111"/>
      <c r="E307" s="111" t="s">
        <v>511</v>
      </c>
      <c r="F307" s="153">
        <v>-307.5</v>
      </c>
      <c r="G307" s="135">
        <f>A307+30</f>
        <v>45990</v>
      </c>
      <c r="H307" s="134" t="s">
        <v>66</v>
      </c>
      <c r="I307" s="133" t="s">
        <v>232</v>
      </c>
      <c r="J307" s="111"/>
      <c r="K307" s="135">
        <v>45973</v>
      </c>
      <c r="L307" s="111"/>
      <c r="M307" s="196"/>
    </row>
    <row r="308" spans="1:13" customFormat="1" x14ac:dyDescent="0.35">
      <c r="A308" s="109">
        <v>45251</v>
      </c>
      <c r="B308" s="111" t="s">
        <v>65</v>
      </c>
      <c r="C308" s="111" t="s">
        <v>512</v>
      </c>
      <c r="D308" s="111"/>
      <c r="E308" s="111" t="s">
        <v>513</v>
      </c>
      <c r="F308" s="131">
        <v>-307.5</v>
      </c>
      <c r="G308" s="135"/>
      <c r="H308" s="133" t="s">
        <v>66</v>
      </c>
      <c r="I308" s="133"/>
      <c r="J308" s="111"/>
      <c r="K308" s="135"/>
      <c r="L308" s="153">
        <f>F308</f>
        <v>-307.5</v>
      </c>
      <c r="M308" s="111" t="s">
        <v>514</v>
      </c>
    </row>
    <row r="309" spans="1:13" customFormat="1" x14ac:dyDescent="0.35">
      <c r="A309" s="109">
        <v>45657</v>
      </c>
      <c r="B309" s="111" t="s">
        <v>65</v>
      </c>
      <c r="C309" s="111" t="s">
        <v>78</v>
      </c>
      <c r="D309" s="111"/>
      <c r="E309" s="111" t="s">
        <v>515</v>
      </c>
      <c r="F309" s="151">
        <v>-2069.2800000000002</v>
      </c>
      <c r="G309" s="135">
        <v>45688</v>
      </c>
      <c r="H309" s="152" t="s">
        <v>447</v>
      </c>
      <c r="I309" s="133" t="s">
        <v>119</v>
      </c>
      <c r="J309" s="109">
        <v>45803</v>
      </c>
      <c r="K309" s="135">
        <v>45803</v>
      </c>
      <c r="L309" s="153">
        <f>F309</f>
        <v>-2069.2800000000002</v>
      </c>
      <c r="M309" s="111"/>
    </row>
    <row r="310" spans="1:13" customFormat="1" x14ac:dyDescent="0.35">
      <c r="A310" s="109">
        <v>45840</v>
      </c>
      <c r="B310" s="111" t="s">
        <v>57</v>
      </c>
      <c r="C310" s="111" t="s">
        <v>33</v>
      </c>
      <c r="D310" s="111" t="s">
        <v>473</v>
      </c>
      <c r="E310" s="121" t="s">
        <v>516</v>
      </c>
      <c r="F310" s="153">
        <v>79.16</v>
      </c>
      <c r="G310" s="135">
        <f t="shared" ref="G310:G340" si="10">A310+30</f>
        <v>45870</v>
      </c>
      <c r="H310" s="133" t="s">
        <v>66</v>
      </c>
      <c r="I310" s="133" t="s">
        <v>135</v>
      </c>
      <c r="J310" s="111"/>
      <c r="K310" s="135">
        <v>45975</v>
      </c>
      <c r="L310" s="111"/>
      <c r="M310" s="196"/>
    </row>
    <row r="311" spans="1:13" customFormat="1" x14ac:dyDescent="0.35">
      <c r="A311" s="109">
        <v>45850</v>
      </c>
      <c r="B311" s="111" t="s">
        <v>57</v>
      </c>
      <c r="C311" s="111" t="s">
        <v>33</v>
      </c>
      <c r="D311" s="111" t="s">
        <v>473</v>
      </c>
      <c r="E311" s="111" t="s">
        <v>517</v>
      </c>
      <c r="F311" s="153">
        <v>55.51</v>
      </c>
      <c r="G311" s="135">
        <f t="shared" si="10"/>
        <v>45880</v>
      </c>
      <c r="H311" s="133" t="s">
        <v>66</v>
      </c>
      <c r="I311" s="133" t="s">
        <v>135</v>
      </c>
      <c r="J311" s="111"/>
      <c r="K311" s="135">
        <v>45975</v>
      </c>
      <c r="L311" s="111"/>
      <c r="M311" s="196"/>
    </row>
    <row r="312" spans="1:13" customFormat="1" x14ac:dyDescent="0.35">
      <c r="A312" s="109">
        <v>45856</v>
      </c>
      <c r="B312" s="111" t="s">
        <v>57</v>
      </c>
      <c r="C312" s="121" t="s">
        <v>33</v>
      </c>
      <c r="D312" s="111" t="s">
        <v>473</v>
      </c>
      <c r="E312" s="121" t="s">
        <v>518</v>
      </c>
      <c r="F312" s="153">
        <v>57.91</v>
      </c>
      <c r="G312" s="135">
        <f t="shared" si="10"/>
        <v>45886</v>
      </c>
      <c r="H312" s="133" t="s">
        <v>66</v>
      </c>
      <c r="I312" s="133" t="s">
        <v>135</v>
      </c>
      <c r="J312" s="111"/>
      <c r="K312" s="135">
        <v>45975</v>
      </c>
      <c r="L312" s="111"/>
      <c r="M312" s="196"/>
    </row>
    <row r="313" spans="1:13" customFormat="1" x14ac:dyDescent="0.35">
      <c r="A313" s="109">
        <v>45867</v>
      </c>
      <c r="B313" s="111" t="s">
        <v>57</v>
      </c>
      <c r="C313" s="121" t="s">
        <v>33</v>
      </c>
      <c r="D313" s="111" t="s">
        <v>473</v>
      </c>
      <c r="E313" s="121" t="s">
        <v>519</v>
      </c>
      <c r="F313" s="153">
        <v>142.65</v>
      </c>
      <c r="G313" s="135">
        <f t="shared" si="10"/>
        <v>45897</v>
      </c>
      <c r="H313" s="133" t="s">
        <v>66</v>
      </c>
      <c r="I313" s="133" t="s">
        <v>135</v>
      </c>
      <c r="J313" s="111"/>
      <c r="K313" s="135">
        <v>45975</v>
      </c>
      <c r="L313" s="111"/>
      <c r="M313" s="196"/>
    </row>
    <row r="314" spans="1:13" customFormat="1" x14ac:dyDescent="0.35">
      <c r="A314" s="109">
        <v>45083</v>
      </c>
      <c r="B314" s="121" t="s">
        <v>57</v>
      </c>
      <c r="C314" s="111" t="s">
        <v>33</v>
      </c>
      <c r="D314" s="111" t="s">
        <v>473</v>
      </c>
      <c r="E314" s="111" t="s">
        <v>520</v>
      </c>
      <c r="F314" s="149">
        <v>16.96</v>
      </c>
      <c r="G314" s="135">
        <f t="shared" si="10"/>
        <v>45113</v>
      </c>
      <c r="H314" s="133" t="s">
        <v>66</v>
      </c>
      <c r="I314" s="133" t="s">
        <v>135</v>
      </c>
      <c r="J314" s="160"/>
      <c r="K314" s="135"/>
      <c r="L314" s="153">
        <f t="shared" ref="L314:L332" si="11">F314</f>
        <v>16.96</v>
      </c>
      <c r="M314" s="111">
        <v>516402307</v>
      </c>
    </row>
    <row r="315" spans="1:13" customFormat="1" x14ac:dyDescent="0.35">
      <c r="A315" s="109">
        <v>45084</v>
      </c>
      <c r="B315" s="121" t="s">
        <v>57</v>
      </c>
      <c r="C315" s="111" t="s">
        <v>33</v>
      </c>
      <c r="D315" s="111" t="s">
        <v>473</v>
      </c>
      <c r="E315" s="111" t="s">
        <v>521</v>
      </c>
      <c r="F315" s="149">
        <v>57.85</v>
      </c>
      <c r="G315" s="135">
        <f t="shared" si="10"/>
        <v>45114</v>
      </c>
      <c r="H315" s="133" t="s">
        <v>66</v>
      </c>
      <c r="I315" s="133" t="s">
        <v>135</v>
      </c>
      <c r="J315" s="160"/>
      <c r="K315" s="135"/>
      <c r="L315" s="153">
        <f t="shared" si="11"/>
        <v>57.85</v>
      </c>
      <c r="M315" s="111">
        <v>516402307</v>
      </c>
    </row>
    <row r="316" spans="1:13" customFormat="1" x14ac:dyDescent="0.35">
      <c r="A316" s="109">
        <v>45085</v>
      </c>
      <c r="B316" s="121" t="s">
        <v>57</v>
      </c>
      <c r="C316" s="111" t="s">
        <v>33</v>
      </c>
      <c r="D316" s="111" t="s">
        <v>473</v>
      </c>
      <c r="E316" s="111" t="s">
        <v>522</v>
      </c>
      <c r="F316" s="149">
        <v>60.48</v>
      </c>
      <c r="G316" s="135">
        <f t="shared" si="10"/>
        <v>45115</v>
      </c>
      <c r="H316" s="133" t="s">
        <v>66</v>
      </c>
      <c r="I316" s="133" t="s">
        <v>135</v>
      </c>
      <c r="J316" s="160"/>
      <c r="K316" s="135"/>
      <c r="L316" s="153">
        <f t="shared" si="11"/>
        <v>60.48</v>
      </c>
      <c r="M316" s="111">
        <v>516402307</v>
      </c>
    </row>
    <row r="317" spans="1:13" customFormat="1" x14ac:dyDescent="0.35">
      <c r="A317" s="109">
        <v>45086</v>
      </c>
      <c r="B317" s="121" t="s">
        <v>57</v>
      </c>
      <c r="C317" s="111" t="s">
        <v>33</v>
      </c>
      <c r="D317" s="111" t="s">
        <v>473</v>
      </c>
      <c r="E317" s="111" t="s">
        <v>523</v>
      </c>
      <c r="F317" s="149">
        <v>87.22</v>
      </c>
      <c r="G317" s="135">
        <f t="shared" si="10"/>
        <v>45116</v>
      </c>
      <c r="H317" s="133" t="s">
        <v>66</v>
      </c>
      <c r="I317" s="133" t="s">
        <v>135</v>
      </c>
      <c r="J317" s="160"/>
      <c r="K317" s="135"/>
      <c r="L317" s="153">
        <f t="shared" si="11"/>
        <v>87.22</v>
      </c>
      <c r="M317" s="111">
        <v>516402307</v>
      </c>
    </row>
    <row r="318" spans="1:13" customFormat="1" x14ac:dyDescent="0.35">
      <c r="A318" s="109">
        <v>45087</v>
      </c>
      <c r="B318" s="121" t="s">
        <v>57</v>
      </c>
      <c r="C318" s="111" t="s">
        <v>33</v>
      </c>
      <c r="D318" s="111" t="s">
        <v>473</v>
      </c>
      <c r="E318" s="111" t="s">
        <v>524</v>
      </c>
      <c r="F318" s="149">
        <v>60.19</v>
      </c>
      <c r="G318" s="135">
        <f t="shared" si="10"/>
        <v>45117</v>
      </c>
      <c r="H318" s="133" t="s">
        <v>66</v>
      </c>
      <c r="I318" s="133" t="s">
        <v>135</v>
      </c>
      <c r="J318" s="160"/>
      <c r="K318" s="135"/>
      <c r="L318" s="153">
        <f t="shared" si="11"/>
        <v>60.19</v>
      </c>
      <c r="M318" s="111">
        <v>516402307</v>
      </c>
    </row>
    <row r="319" spans="1:13" customFormat="1" x14ac:dyDescent="0.35">
      <c r="A319" s="109">
        <v>45100</v>
      </c>
      <c r="B319" s="121" t="s">
        <v>57</v>
      </c>
      <c r="C319" s="111" t="s">
        <v>33</v>
      </c>
      <c r="D319" s="111" t="s">
        <v>473</v>
      </c>
      <c r="E319" s="111" t="s">
        <v>525</v>
      </c>
      <c r="F319" s="149">
        <v>30.53</v>
      </c>
      <c r="G319" s="135">
        <f t="shared" si="10"/>
        <v>45130</v>
      </c>
      <c r="H319" s="133" t="s">
        <v>66</v>
      </c>
      <c r="I319" s="133" t="s">
        <v>135</v>
      </c>
      <c r="J319" s="160"/>
      <c r="K319" s="135"/>
      <c r="L319" s="153">
        <f t="shared" si="11"/>
        <v>30.53</v>
      </c>
      <c r="M319" s="111">
        <v>516402307</v>
      </c>
    </row>
    <row r="320" spans="1:13" customFormat="1" x14ac:dyDescent="0.35">
      <c r="A320" s="109">
        <v>45250</v>
      </c>
      <c r="B320" s="121" t="s">
        <v>57</v>
      </c>
      <c r="C320" s="111" t="s">
        <v>33</v>
      </c>
      <c r="D320" s="111" t="s">
        <v>473</v>
      </c>
      <c r="E320" s="111" t="s">
        <v>526</v>
      </c>
      <c r="F320" s="149">
        <v>7.38</v>
      </c>
      <c r="G320" s="135">
        <f t="shared" si="10"/>
        <v>45280</v>
      </c>
      <c r="H320" s="133" t="s">
        <v>66</v>
      </c>
      <c r="I320" s="133" t="s">
        <v>135</v>
      </c>
      <c r="J320" s="160"/>
      <c r="K320" s="135"/>
      <c r="L320" s="153">
        <f t="shared" si="11"/>
        <v>7.38</v>
      </c>
      <c r="M320" s="111">
        <v>516402307</v>
      </c>
    </row>
    <row r="321" spans="1:14" customFormat="1" x14ac:dyDescent="0.35">
      <c r="A321" s="109">
        <v>45252</v>
      </c>
      <c r="B321" s="121" t="s">
        <v>57</v>
      </c>
      <c r="C321" s="111" t="s">
        <v>33</v>
      </c>
      <c r="D321" s="111" t="s">
        <v>473</v>
      </c>
      <c r="E321" s="111" t="s">
        <v>527</v>
      </c>
      <c r="F321" s="149">
        <v>14</v>
      </c>
      <c r="G321" s="135">
        <f t="shared" si="10"/>
        <v>45282</v>
      </c>
      <c r="H321" s="133" t="s">
        <v>66</v>
      </c>
      <c r="I321" s="133" t="s">
        <v>135</v>
      </c>
      <c r="J321" s="160"/>
      <c r="K321" s="135"/>
      <c r="L321" s="153">
        <f t="shared" si="11"/>
        <v>14</v>
      </c>
      <c r="M321" s="111">
        <v>516402307</v>
      </c>
    </row>
    <row r="322" spans="1:14" customFormat="1" x14ac:dyDescent="0.35">
      <c r="A322" s="109">
        <v>45254</v>
      </c>
      <c r="B322" s="121" t="s">
        <v>57</v>
      </c>
      <c r="C322" s="111" t="s">
        <v>33</v>
      </c>
      <c r="D322" s="111" t="s">
        <v>473</v>
      </c>
      <c r="E322" s="111" t="s">
        <v>528</v>
      </c>
      <c r="F322" s="149">
        <v>21.09</v>
      </c>
      <c r="G322" s="135">
        <f t="shared" si="10"/>
        <v>45284</v>
      </c>
      <c r="H322" s="133" t="s">
        <v>66</v>
      </c>
      <c r="I322" s="133" t="s">
        <v>135</v>
      </c>
      <c r="J322" s="160"/>
      <c r="K322" s="135"/>
      <c r="L322" s="153">
        <f t="shared" si="11"/>
        <v>21.09</v>
      </c>
      <c r="M322" s="111">
        <v>516402307</v>
      </c>
    </row>
    <row r="323" spans="1:14" customFormat="1" x14ac:dyDescent="0.35">
      <c r="A323" s="109">
        <v>45030</v>
      </c>
      <c r="B323" s="121" t="s">
        <v>57</v>
      </c>
      <c r="C323" s="111" t="s">
        <v>33</v>
      </c>
      <c r="D323" s="111" t="s">
        <v>473</v>
      </c>
      <c r="E323" s="111" t="s">
        <v>529</v>
      </c>
      <c r="F323" s="149">
        <v>14.75</v>
      </c>
      <c r="G323" s="135">
        <f t="shared" si="10"/>
        <v>45060</v>
      </c>
      <c r="H323" s="133" t="s">
        <v>66</v>
      </c>
      <c r="I323" s="133" t="s">
        <v>135</v>
      </c>
      <c r="J323" s="160"/>
      <c r="K323" s="135"/>
      <c r="L323" s="153">
        <f t="shared" si="11"/>
        <v>14.75</v>
      </c>
      <c r="M323" s="111">
        <v>516402307</v>
      </c>
      <c r="N323" s="76"/>
    </row>
    <row r="324" spans="1:14" customFormat="1" x14ac:dyDescent="0.35">
      <c r="A324" s="109">
        <v>45044</v>
      </c>
      <c r="B324" s="121" t="s">
        <v>57</v>
      </c>
      <c r="C324" s="111" t="s">
        <v>33</v>
      </c>
      <c r="D324" s="111" t="s">
        <v>473</v>
      </c>
      <c r="E324" s="111" t="s">
        <v>530</v>
      </c>
      <c r="F324" s="149">
        <v>14.75</v>
      </c>
      <c r="G324" s="135">
        <f t="shared" si="10"/>
        <v>45074</v>
      </c>
      <c r="H324" s="133" t="s">
        <v>66</v>
      </c>
      <c r="I324" s="133" t="s">
        <v>135</v>
      </c>
      <c r="J324" s="160"/>
      <c r="K324" s="135"/>
      <c r="L324" s="153">
        <f t="shared" si="11"/>
        <v>14.75</v>
      </c>
      <c r="M324" s="111">
        <v>516402307</v>
      </c>
      <c r="N324" s="76"/>
    </row>
    <row r="325" spans="1:14" customFormat="1" x14ac:dyDescent="0.35">
      <c r="A325" s="109">
        <v>45477</v>
      </c>
      <c r="B325" s="121" t="s">
        <v>57</v>
      </c>
      <c r="C325" s="111" t="s">
        <v>33</v>
      </c>
      <c r="D325" s="111" t="s">
        <v>473</v>
      </c>
      <c r="E325" s="111" t="s">
        <v>531</v>
      </c>
      <c r="F325" s="149">
        <v>81.45</v>
      </c>
      <c r="G325" s="135">
        <f t="shared" si="10"/>
        <v>45507</v>
      </c>
      <c r="H325" s="133" t="s">
        <v>66</v>
      </c>
      <c r="I325" s="133" t="s">
        <v>135</v>
      </c>
      <c r="J325" s="160"/>
      <c r="K325" s="135"/>
      <c r="L325" s="153">
        <f t="shared" si="11"/>
        <v>81.45</v>
      </c>
      <c r="M325" s="111">
        <v>516402307</v>
      </c>
      <c r="N325" s="76"/>
    </row>
    <row r="326" spans="1:14" customFormat="1" x14ac:dyDescent="0.35">
      <c r="A326" s="109">
        <v>45404</v>
      </c>
      <c r="B326" s="121" t="s">
        <v>57</v>
      </c>
      <c r="C326" s="111" t="s">
        <v>33</v>
      </c>
      <c r="D326" s="111" t="s">
        <v>473</v>
      </c>
      <c r="E326" s="111" t="s">
        <v>532</v>
      </c>
      <c r="F326" s="149">
        <v>59.15</v>
      </c>
      <c r="G326" s="135">
        <f t="shared" si="10"/>
        <v>45434</v>
      </c>
      <c r="H326" s="133" t="s">
        <v>66</v>
      </c>
      <c r="I326" s="133" t="s">
        <v>135</v>
      </c>
      <c r="J326" s="160"/>
      <c r="K326" s="135"/>
      <c r="L326" s="153">
        <f t="shared" si="11"/>
        <v>59.15</v>
      </c>
      <c r="M326" s="111">
        <v>516402307</v>
      </c>
      <c r="N326" s="76"/>
    </row>
    <row r="327" spans="1:14" customFormat="1" x14ac:dyDescent="0.35">
      <c r="A327" s="109">
        <v>45021</v>
      </c>
      <c r="B327" s="121" t="s">
        <v>57</v>
      </c>
      <c r="C327" s="111" t="s">
        <v>33</v>
      </c>
      <c r="D327" s="111" t="s">
        <v>473</v>
      </c>
      <c r="E327" s="111" t="s">
        <v>533</v>
      </c>
      <c r="F327" s="149">
        <v>26.55</v>
      </c>
      <c r="G327" s="135">
        <f t="shared" si="10"/>
        <v>45051</v>
      </c>
      <c r="H327" s="133" t="s">
        <v>66</v>
      </c>
      <c r="I327" s="133" t="s">
        <v>135</v>
      </c>
      <c r="J327" s="160"/>
      <c r="K327" s="135"/>
      <c r="L327" s="169">
        <f t="shared" si="11"/>
        <v>26.55</v>
      </c>
      <c r="M327" s="145">
        <v>516402307</v>
      </c>
    </row>
    <row r="328" spans="1:14" customFormat="1" x14ac:dyDescent="0.35">
      <c r="A328" s="109">
        <v>45003</v>
      </c>
      <c r="B328" s="121" t="s">
        <v>57</v>
      </c>
      <c r="C328" s="111" t="s">
        <v>33</v>
      </c>
      <c r="D328" s="111" t="s">
        <v>473</v>
      </c>
      <c r="E328" s="111" t="s">
        <v>534</v>
      </c>
      <c r="F328" s="149">
        <v>206.5</v>
      </c>
      <c r="G328" s="135">
        <f t="shared" si="10"/>
        <v>45033</v>
      </c>
      <c r="H328" s="133" t="s">
        <v>66</v>
      </c>
      <c r="I328" s="133" t="s">
        <v>135</v>
      </c>
      <c r="J328" s="160"/>
      <c r="K328" s="135"/>
      <c r="L328" s="153">
        <f t="shared" si="11"/>
        <v>206.5</v>
      </c>
      <c r="M328" s="111">
        <v>516402307</v>
      </c>
    </row>
    <row r="329" spans="1:14" customFormat="1" x14ac:dyDescent="0.35">
      <c r="A329" s="109">
        <v>45181</v>
      </c>
      <c r="B329" s="121" t="s">
        <v>57</v>
      </c>
      <c r="C329" s="111" t="s">
        <v>33</v>
      </c>
      <c r="D329" s="111" t="s">
        <v>473</v>
      </c>
      <c r="E329" s="111" t="s">
        <v>535</v>
      </c>
      <c r="F329" s="149">
        <v>789</v>
      </c>
      <c r="G329" s="135">
        <f t="shared" si="10"/>
        <v>45211</v>
      </c>
      <c r="H329" s="133" t="s">
        <v>66</v>
      </c>
      <c r="I329" s="133" t="s">
        <v>135</v>
      </c>
      <c r="J329" s="160"/>
      <c r="K329" s="135"/>
      <c r="L329" s="153">
        <f t="shared" si="11"/>
        <v>789</v>
      </c>
      <c r="M329" s="111">
        <v>516402307</v>
      </c>
    </row>
    <row r="330" spans="1:14" customFormat="1" x14ac:dyDescent="0.35">
      <c r="A330" s="109">
        <v>45181</v>
      </c>
      <c r="B330" s="121" t="s">
        <v>57</v>
      </c>
      <c r="C330" s="111" t="s">
        <v>33</v>
      </c>
      <c r="D330" s="111" t="s">
        <v>473</v>
      </c>
      <c r="E330" s="111" t="s">
        <v>536</v>
      </c>
      <c r="F330" s="149">
        <v>103.25</v>
      </c>
      <c r="G330" s="135">
        <f t="shared" si="10"/>
        <v>45211</v>
      </c>
      <c r="H330" s="133" t="s">
        <v>66</v>
      </c>
      <c r="I330" s="133" t="s">
        <v>135</v>
      </c>
      <c r="J330" s="160"/>
      <c r="K330" s="135"/>
      <c r="L330" s="153">
        <f t="shared" si="11"/>
        <v>103.25</v>
      </c>
      <c r="M330" s="111">
        <v>516402307</v>
      </c>
    </row>
    <row r="331" spans="1:14" customFormat="1" x14ac:dyDescent="0.35">
      <c r="A331" s="109">
        <v>45191</v>
      </c>
      <c r="B331" s="121" t="s">
        <v>57</v>
      </c>
      <c r="C331" s="111" t="s">
        <v>33</v>
      </c>
      <c r="D331" s="111" t="s">
        <v>473</v>
      </c>
      <c r="E331" s="111" t="s">
        <v>537</v>
      </c>
      <c r="F331" s="149">
        <v>147.5</v>
      </c>
      <c r="G331" s="135">
        <f t="shared" si="10"/>
        <v>45221</v>
      </c>
      <c r="H331" s="133" t="s">
        <v>66</v>
      </c>
      <c r="I331" s="133" t="s">
        <v>135</v>
      </c>
      <c r="J331" s="160"/>
      <c r="K331" s="135"/>
      <c r="L331" s="153">
        <f t="shared" si="11"/>
        <v>147.5</v>
      </c>
      <c r="M331" s="111">
        <v>516402307</v>
      </c>
    </row>
    <row r="332" spans="1:14" customFormat="1" x14ac:dyDescent="0.35">
      <c r="A332" s="109">
        <v>45275</v>
      </c>
      <c r="B332" s="121" t="s">
        <v>57</v>
      </c>
      <c r="C332" s="111" t="s">
        <v>33</v>
      </c>
      <c r="D332" s="111" t="s">
        <v>473</v>
      </c>
      <c r="E332" s="111" t="s">
        <v>538</v>
      </c>
      <c r="F332" s="149">
        <v>209.04</v>
      </c>
      <c r="G332" s="135">
        <f t="shared" si="10"/>
        <v>45305</v>
      </c>
      <c r="H332" s="133" t="s">
        <v>66</v>
      </c>
      <c r="I332" s="133" t="s">
        <v>135</v>
      </c>
      <c r="J332" s="160"/>
      <c r="K332" s="135"/>
      <c r="L332" s="153">
        <f t="shared" si="11"/>
        <v>209.04</v>
      </c>
      <c r="M332" s="111">
        <v>516402307</v>
      </c>
    </row>
    <row r="333" spans="1:14" customFormat="1" x14ac:dyDescent="0.35">
      <c r="A333" s="109">
        <v>45868</v>
      </c>
      <c r="B333" s="111" t="s">
        <v>57</v>
      </c>
      <c r="C333" s="111" t="s">
        <v>33</v>
      </c>
      <c r="D333" s="111" t="s">
        <v>473</v>
      </c>
      <c r="E333" s="121" t="s">
        <v>539</v>
      </c>
      <c r="F333" s="153">
        <v>7.64</v>
      </c>
      <c r="G333" s="135">
        <f t="shared" si="10"/>
        <v>45898</v>
      </c>
      <c r="H333" s="133" t="s">
        <v>66</v>
      </c>
      <c r="I333" s="133" t="s">
        <v>135</v>
      </c>
      <c r="J333" s="111"/>
      <c r="K333" s="135">
        <v>45975</v>
      </c>
      <c r="L333" s="111"/>
      <c r="M333" s="196"/>
    </row>
    <row r="334" spans="1:14" customFormat="1" x14ac:dyDescent="0.35">
      <c r="A334" s="109">
        <v>45905</v>
      </c>
      <c r="B334" s="121" t="s">
        <v>57</v>
      </c>
      <c r="C334" s="111" t="s">
        <v>33</v>
      </c>
      <c r="D334" s="111" t="s">
        <v>473</v>
      </c>
      <c r="E334" s="121" t="s">
        <v>540</v>
      </c>
      <c r="F334" s="153">
        <v>80.459999999999994</v>
      </c>
      <c r="G334" s="135">
        <f t="shared" si="10"/>
        <v>45935</v>
      </c>
      <c r="H334" s="133" t="s">
        <v>66</v>
      </c>
      <c r="I334" s="133" t="s">
        <v>135</v>
      </c>
      <c r="J334" s="111"/>
      <c r="K334" s="135">
        <v>45975</v>
      </c>
      <c r="L334" s="111"/>
      <c r="M334" s="196"/>
    </row>
    <row r="335" spans="1:14" customFormat="1" x14ac:dyDescent="0.35">
      <c r="A335" s="109">
        <v>45909</v>
      </c>
      <c r="B335" s="121" t="s">
        <v>57</v>
      </c>
      <c r="C335" s="111" t="s">
        <v>33</v>
      </c>
      <c r="D335" s="111" t="s">
        <v>473</v>
      </c>
      <c r="E335" s="121" t="s">
        <v>541</v>
      </c>
      <c r="F335" s="153">
        <v>660</v>
      </c>
      <c r="G335" s="135">
        <f t="shared" si="10"/>
        <v>45939</v>
      </c>
      <c r="H335" s="133" t="s">
        <v>66</v>
      </c>
      <c r="I335" s="133" t="s">
        <v>232</v>
      </c>
      <c r="J335" s="111"/>
      <c r="K335" s="135">
        <v>45975</v>
      </c>
      <c r="L335" s="111"/>
      <c r="M335" s="196"/>
    </row>
    <row r="336" spans="1:14" customFormat="1" x14ac:dyDescent="0.35">
      <c r="A336" s="109">
        <v>45915</v>
      </c>
      <c r="B336" s="121" t="s">
        <v>57</v>
      </c>
      <c r="C336" s="111" t="s">
        <v>33</v>
      </c>
      <c r="D336" s="111" t="s">
        <v>473</v>
      </c>
      <c r="E336" s="121" t="s">
        <v>542</v>
      </c>
      <c r="F336" s="153">
        <v>146.74</v>
      </c>
      <c r="G336" s="135">
        <f t="shared" si="10"/>
        <v>45945</v>
      </c>
      <c r="H336" s="133" t="s">
        <v>66</v>
      </c>
      <c r="I336" s="133" t="s">
        <v>135</v>
      </c>
      <c r="J336" s="111"/>
      <c r="K336" s="135">
        <v>45975</v>
      </c>
      <c r="L336" s="111"/>
      <c r="M336" s="196"/>
    </row>
    <row r="337" spans="1:13" customFormat="1" x14ac:dyDescent="0.35">
      <c r="A337" s="109">
        <v>45923</v>
      </c>
      <c r="B337" s="111" t="s">
        <v>57</v>
      </c>
      <c r="C337" s="111" t="s">
        <v>33</v>
      </c>
      <c r="D337" s="111" t="s">
        <v>473</v>
      </c>
      <c r="E337" s="121" t="s">
        <v>543</v>
      </c>
      <c r="F337" s="153">
        <v>80.3</v>
      </c>
      <c r="G337" s="135">
        <f t="shared" si="10"/>
        <v>45953</v>
      </c>
      <c r="H337" s="133" t="s">
        <v>66</v>
      </c>
      <c r="I337" s="133" t="s">
        <v>135</v>
      </c>
      <c r="J337" s="111"/>
      <c r="K337" s="135">
        <v>45975</v>
      </c>
      <c r="L337" s="111"/>
      <c r="M337" s="196"/>
    </row>
    <row r="338" spans="1:13" customFormat="1" x14ac:dyDescent="0.35">
      <c r="A338" s="109">
        <v>45924</v>
      </c>
      <c r="B338" s="111" t="s">
        <v>57</v>
      </c>
      <c r="C338" s="111" t="s">
        <v>33</v>
      </c>
      <c r="D338" s="111" t="s">
        <v>473</v>
      </c>
      <c r="E338" s="121" t="s">
        <v>544</v>
      </c>
      <c r="F338" s="217">
        <v>28.36</v>
      </c>
      <c r="G338" s="135">
        <f t="shared" si="10"/>
        <v>45954</v>
      </c>
      <c r="H338" s="134" t="s">
        <v>66</v>
      </c>
      <c r="I338" s="133" t="s">
        <v>135</v>
      </c>
      <c r="J338" s="111"/>
      <c r="K338" s="135">
        <v>46000</v>
      </c>
      <c r="L338" s="111"/>
      <c r="M338" s="186"/>
    </row>
    <row r="339" spans="1:13" customFormat="1" x14ac:dyDescent="0.35">
      <c r="A339" s="109">
        <v>45945</v>
      </c>
      <c r="B339" s="111" t="s">
        <v>57</v>
      </c>
      <c r="C339" s="111" t="s">
        <v>33</v>
      </c>
      <c r="D339" s="111" t="s">
        <v>473</v>
      </c>
      <c r="E339" s="121" t="s">
        <v>545</v>
      </c>
      <c r="F339" s="217">
        <v>40.340000000000003</v>
      </c>
      <c r="G339" s="135">
        <f t="shared" si="10"/>
        <v>45975</v>
      </c>
      <c r="H339" s="134" t="s">
        <v>66</v>
      </c>
      <c r="I339" s="133" t="s">
        <v>135</v>
      </c>
      <c r="J339" s="111"/>
      <c r="K339" s="135">
        <v>46000</v>
      </c>
      <c r="L339" s="111"/>
      <c r="M339" s="186"/>
    </row>
    <row r="340" spans="1:13" customFormat="1" x14ac:dyDescent="0.35">
      <c r="A340" s="109">
        <v>45952</v>
      </c>
      <c r="B340" s="121" t="s">
        <v>57</v>
      </c>
      <c r="C340" s="111" t="s">
        <v>33</v>
      </c>
      <c r="D340" s="111" t="s">
        <v>473</v>
      </c>
      <c r="E340" s="121" t="s">
        <v>546</v>
      </c>
      <c r="F340" s="217">
        <v>27.43</v>
      </c>
      <c r="G340" s="135">
        <f t="shared" si="10"/>
        <v>45982</v>
      </c>
      <c r="H340" s="134" t="s">
        <v>66</v>
      </c>
      <c r="I340" s="133" t="s">
        <v>135</v>
      </c>
      <c r="J340" s="111"/>
      <c r="K340" s="135">
        <v>46000</v>
      </c>
      <c r="L340" s="111"/>
      <c r="M340" s="186"/>
    </row>
    <row r="341" spans="1:13" customFormat="1" x14ac:dyDescent="0.35">
      <c r="A341" s="109">
        <v>45980</v>
      </c>
      <c r="B341" s="111" t="s">
        <v>57</v>
      </c>
      <c r="C341" s="111" t="s">
        <v>33</v>
      </c>
      <c r="D341" s="111" t="s">
        <v>473</v>
      </c>
      <c r="E341" s="111" t="s">
        <v>547</v>
      </c>
      <c r="F341" s="217">
        <v>29.49</v>
      </c>
      <c r="G341" s="135">
        <v>46010</v>
      </c>
      <c r="H341" s="134" t="s">
        <v>66</v>
      </c>
      <c r="I341" s="133" t="s">
        <v>135</v>
      </c>
      <c r="J341" s="111"/>
      <c r="K341" s="135">
        <v>46000</v>
      </c>
      <c r="L341" s="111"/>
      <c r="M341" s="186"/>
    </row>
    <row r="342" spans="1:13" customFormat="1" x14ac:dyDescent="0.35">
      <c r="A342" s="109">
        <v>45814</v>
      </c>
      <c r="B342" s="111" t="s">
        <v>57</v>
      </c>
      <c r="C342" s="111" t="s">
        <v>548</v>
      </c>
      <c r="D342" s="111" t="s">
        <v>548</v>
      </c>
      <c r="E342" s="121" t="s">
        <v>549</v>
      </c>
      <c r="F342" s="153">
        <v>688.4</v>
      </c>
      <c r="G342" s="133"/>
      <c r="H342" s="133" t="s">
        <v>66</v>
      </c>
      <c r="I342" s="133" t="s">
        <v>135</v>
      </c>
      <c r="J342" s="111"/>
      <c r="K342" s="135">
        <v>45821</v>
      </c>
      <c r="L342" s="111"/>
      <c r="M342" s="111"/>
    </row>
    <row r="343" spans="1:13" customFormat="1" x14ac:dyDescent="0.35">
      <c r="A343" s="109">
        <v>45631</v>
      </c>
      <c r="B343" s="121" t="s">
        <v>57</v>
      </c>
      <c r="C343" s="111" t="s">
        <v>22</v>
      </c>
      <c r="D343" s="111" t="s">
        <v>550</v>
      </c>
      <c r="E343" s="111" t="s">
        <v>551</v>
      </c>
      <c r="F343" s="149">
        <v>27.44</v>
      </c>
      <c r="G343" s="135">
        <f>IF(OR(C343="Matosinhos",C343="Bolhão"),A343,A343+30)</f>
        <v>45661</v>
      </c>
      <c r="H343" s="133" t="s">
        <v>66</v>
      </c>
      <c r="I343" s="133" t="s">
        <v>135</v>
      </c>
      <c r="J343" s="111"/>
      <c r="K343" s="135">
        <v>45698</v>
      </c>
      <c r="L343" s="153">
        <f t="shared" ref="L343:L353" si="12">F343</f>
        <v>27.44</v>
      </c>
      <c r="M343" s="111">
        <v>517593637</v>
      </c>
    </row>
    <row r="344" spans="1:13" customFormat="1" x14ac:dyDescent="0.35">
      <c r="A344" s="109">
        <v>45643</v>
      </c>
      <c r="B344" s="121" t="s">
        <v>57</v>
      </c>
      <c r="C344" s="111" t="s">
        <v>22</v>
      </c>
      <c r="D344" s="111" t="s">
        <v>550</v>
      </c>
      <c r="E344" s="111" t="s">
        <v>552</v>
      </c>
      <c r="F344" s="149">
        <v>28.57</v>
      </c>
      <c r="G344" s="135">
        <f>IF(OR(C344="Matosinhos",C344="Bolhão"),A344,A344+30)</f>
        <v>45673</v>
      </c>
      <c r="H344" s="133" t="s">
        <v>66</v>
      </c>
      <c r="I344" s="133" t="s">
        <v>135</v>
      </c>
      <c r="J344" s="111"/>
      <c r="K344" s="135"/>
      <c r="L344" s="153">
        <f t="shared" si="12"/>
        <v>28.57</v>
      </c>
      <c r="M344" s="111">
        <v>517593637</v>
      </c>
    </row>
    <row r="345" spans="1:13" customFormat="1" x14ac:dyDescent="0.35">
      <c r="A345" s="109">
        <v>45507</v>
      </c>
      <c r="B345" s="121" t="s">
        <v>57</v>
      </c>
      <c r="C345" s="111" t="s">
        <v>22</v>
      </c>
      <c r="D345" s="111" t="s">
        <v>550</v>
      </c>
      <c r="E345" s="111" t="s">
        <v>553</v>
      </c>
      <c r="F345" s="149">
        <v>86.15</v>
      </c>
      <c r="G345" s="135">
        <f t="shared" ref="G345:G352" si="13">A345+30</f>
        <v>45537</v>
      </c>
      <c r="H345" s="133" t="s">
        <v>66</v>
      </c>
      <c r="I345" s="133" t="s">
        <v>135</v>
      </c>
      <c r="J345" s="111"/>
      <c r="K345" s="135"/>
      <c r="L345" s="153">
        <f t="shared" si="12"/>
        <v>86.15</v>
      </c>
      <c r="M345" s="111">
        <v>517593637</v>
      </c>
    </row>
    <row r="346" spans="1:13" customFormat="1" x14ac:dyDescent="0.35">
      <c r="A346" s="109">
        <v>45507</v>
      </c>
      <c r="B346" s="121" t="s">
        <v>57</v>
      </c>
      <c r="C346" s="111" t="s">
        <v>22</v>
      </c>
      <c r="D346" s="111" t="s">
        <v>550</v>
      </c>
      <c r="E346" s="111" t="s">
        <v>554</v>
      </c>
      <c r="F346" s="149">
        <v>4.4400000000000004</v>
      </c>
      <c r="G346" s="135">
        <f t="shared" si="13"/>
        <v>45537</v>
      </c>
      <c r="H346" s="133" t="s">
        <v>66</v>
      </c>
      <c r="I346" s="133" t="s">
        <v>135</v>
      </c>
      <c r="J346" s="111"/>
      <c r="K346" s="135"/>
      <c r="L346" s="153">
        <f t="shared" si="12"/>
        <v>4.4400000000000004</v>
      </c>
      <c r="M346" s="111">
        <v>517593637</v>
      </c>
    </row>
    <row r="347" spans="1:13" customFormat="1" x14ac:dyDescent="0.35">
      <c r="A347" s="109">
        <v>45511</v>
      </c>
      <c r="B347" s="121" t="s">
        <v>57</v>
      </c>
      <c r="C347" s="111" t="s">
        <v>22</v>
      </c>
      <c r="D347" s="111" t="s">
        <v>550</v>
      </c>
      <c r="E347" s="111" t="s">
        <v>555</v>
      </c>
      <c r="F347" s="149">
        <v>114.5</v>
      </c>
      <c r="G347" s="135">
        <f t="shared" si="13"/>
        <v>45541</v>
      </c>
      <c r="H347" s="133" t="s">
        <v>66</v>
      </c>
      <c r="I347" s="133" t="s">
        <v>135</v>
      </c>
      <c r="J347" s="111"/>
      <c r="K347" s="135"/>
      <c r="L347" s="153">
        <f t="shared" si="12"/>
        <v>114.5</v>
      </c>
      <c r="M347" s="111">
        <v>517593637</v>
      </c>
    </row>
    <row r="348" spans="1:13" customFormat="1" x14ac:dyDescent="0.35">
      <c r="A348" s="109">
        <v>45525</v>
      </c>
      <c r="B348" s="121" t="s">
        <v>57</v>
      </c>
      <c r="C348" s="111" t="s">
        <v>22</v>
      </c>
      <c r="D348" s="111" t="s">
        <v>550</v>
      </c>
      <c r="E348" s="111" t="s">
        <v>556</v>
      </c>
      <c r="F348" s="149">
        <v>87.83</v>
      </c>
      <c r="G348" s="135">
        <f t="shared" si="13"/>
        <v>45555</v>
      </c>
      <c r="H348" s="133" t="s">
        <v>66</v>
      </c>
      <c r="I348" s="133" t="s">
        <v>135</v>
      </c>
      <c r="J348" s="111"/>
      <c r="K348" s="135"/>
      <c r="L348" s="153">
        <f t="shared" si="12"/>
        <v>87.83</v>
      </c>
      <c r="M348" s="111">
        <v>517593637</v>
      </c>
    </row>
    <row r="349" spans="1:13" customFormat="1" x14ac:dyDescent="0.35">
      <c r="A349" s="109">
        <v>45525</v>
      </c>
      <c r="B349" s="121" t="s">
        <v>57</v>
      </c>
      <c r="C349" s="111" t="s">
        <v>22</v>
      </c>
      <c r="D349" s="111" t="s">
        <v>550</v>
      </c>
      <c r="E349" s="111" t="s">
        <v>557</v>
      </c>
      <c r="F349" s="149">
        <v>10.36</v>
      </c>
      <c r="G349" s="135">
        <f t="shared" si="13"/>
        <v>45555</v>
      </c>
      <c r="H349" s="133" t="s">
        <v>66</v>
      </c>
      <c r="I349" s="133" t="s">
        <v>135</v>
      </c>
      <c r="J349" s="111"/>
      <c r="K349" s="135"/>
      <c r="L349" s="153">
        <f t="shared" si="12"/>
        <v>10.36</v>
      </c>
      <c r="M349" s="111">
        <v>517593637</v>
      </c>
    </row>
    <row r="350" spans="1:13" customFormat="1" x14ac:dyDescent="0.35">
      <c r="A350" s="109">
        <v>45498</v>
      </c>
      <c r="B350" s="121" t="s">
        <v>57</v>
      </c>
      <c r="C350" s="111" t="s">
        <v>22</v>
      </c>
      <c r="D350" s="111" t="s">
        <v>550</v>
      </c>
      <c r="E350" s="111" t="s">
        <v>558</v>
      </c>
      <c r="F350" s="149">
        <v>96.72</v>
      </c>
      <c r="G350" s="135">
        <f t="shared" si="13"/>
        <v>45528</v>
      </c>
      <c r="H350" s="133" t="s">
        <v>66</v>
      </c>
      <c r="I350" s="133" t="s">
        <v>135</v>
      </c>
      <c r="J350" s="111"/>
      <c r="K350" s="135"/>
      <c r="L350" s="153">
        <f t="shared" si="12"/>
        <v>96.72</v>
      </c>
      <c r="M350" s="111">
        <v>517593637</v>
      </c>
    </row>
    <row r="351" spans="1:13" customFormat="1" x14ac:dyDescent="0.35">
      <c r="A351" s="109">
        <v>45533</v>
      </c>
      <c r="B351" s="121" t="s">
        <v>57</v>
      </c>
      <c r="C351" s="111" t="s">
        <v>22</v>
      </c>
      <c r="D351" s="111" t="s">
        <v>550</v>
      </c>
      <c r="E351" s="111" t="s">
        <v>559</v>
      </c>
      <c r="F351" s="149">
        <v>85.6</v>
      </c>
      <c r="G351" s="135">
        <f t="shared" si="13"/>
        <v>45563</v>
      </c>
      <c r="H351" s="133" t="s">
        <v>66</v>
      </c>
      <c r="I351" s="133" t="s">
        <v>135</v>
      </c>
      <c r="J351" s="111"/>
      <c r="K351" s="135"/>
      <c r="L351" s="153">
        <f t="shared" si="12"/>
        <v>85.6</v>
      </c>
      <c r="M351" s="111">
        <v>517593637</v>
      </c>
    </row>
    <row r="352" spans="1:13" customFormat="1" x14ac:dyDescent="0.35">
      <c r="A352" s="109">
        <v>45540</v>
      </c>
      <c r="B352" s="121" t="s">
        <v>57</v>
      </c>
      <c r="C352" s="111" t="s">
        <v>22</v>
      </c>
      <c r="D352" s="111" t="s">
        <v>550</v>
      </c>
      <c r="E352" s="111" t="s">
        <v>560</v>
      </c>
      <c r="F352" s="149">
        <v>91.81</v>
      </c>
      <c r="G352" s="135">
        <f t="shared" si="13"/>
        <v>45570</v>
      </c>
      <c r="H352" s="133" t="s">
        <v>561</v>
      </c>
      <c r="I352" s="133" t="s">
        <v>135</v>
      </c>
      <c r="J352" s="111"/>
      <c r="K352" s="135"/>
      <c r="L352" s="153">
        <f t="shared" si="12"/>
        <v>91.81</v>
      </c>
      <c r="M352" s="111">
        <v>517593637</v>
      </c>
    </row>
    <row r="353" spans="1:13" customFormat="1" x14ac:dyDescent="0.35">
      <c r="A353" s="176">
        <v>45106</v>
      </c>
      <c r="B353" s="140" t="s">
        <v>65</v>
      </c>
      <c r="C353" s="140" t="s">
        <v>562</v>
      </c>
      <c r="D353" s="140"/>
      <c r="E353" s="140">
        <v>795</v>
      </c>
      <c r="F353" s="141">
        <v>-246</v>
      </c>
      <c r="G353" s="177"/>
      <c r="H353" s="142" t="s">
        <v>66</v>
      </c>
      <c r="I353" s="142"/>
      <c r="J353" s="111"/>
      <c r="K353" s="135"/>
      <c r="L353" s="153">
        <f t="shared" si="12"/>
        <v>-246</v>
      </c>
      <c r="M353" s="111" t="s">
        <v>563</v>
      </c>
    </row>
    <row r="354" spans="1:13" customFormat="1" x14ac:dyDescent="0.35">
      <c r="A354" s="109">
        <v>46097</v>
      </c>
      <c r="B354" s="111" t="s">
        <v>65</v>
      </c>
      <c r="C354" s="111" t="s">
        <v>564</v>
      </c>
      <c r="D354" s="111"/>
      <c r="E354" s="111" t="s">
        <v>565</v>
      </c>
      <c r="F354" s="153">
        <v>-80</v>
      </c>
      <c r="G354" s="133"/>
      <c r="H354" s="133" t="s">
        <v>66</v>
      </c>
      <c r="I354" s="133" t="s">
        <v>566</v>
      </c>
      <c r="J354" s="111"/>
      <c r="K354" s="160">
        <v>46098</v>
      </c>
      <c r="L354" s="111"/>
      <c r="M354" s="196" t="s">
        <v>567</v>
      </c>
    </row>
    <row r="355" spans="1:13" customFormat="1" x14ac:dyDescent="0.35">
      <c r="A355" s="109">
        <v>46044</v>
      </c>
      <c r="B355" s="111" t="s">
        <v>65</v>
      </c>
      <c r="C355" s="111" t="s">
        <v>496</v>
      </c>
      <c r="D355" s="111"/>
      <c r="E355" s="111" t="s">
        <v>568</v>
      </c>
      <c r="F355" s="153">
        <v>-320.02999999999997</v>
      </c>
      <c r="G355" s="241">
        <v>46059</v>
      </c>
      <c r="H355" s="134" t="s">
        <v>66</v>
      </c>
      <c r="I355" s="133" t="s">
        <v>145</v>
      </c>
      <c r="J355" s="111"/>
      <c r="K355" s="160">
        <v>46090</v>
      </c>
      <c r="L355" s="111"/>
      <c r="M355" s="196"/>
    </row>
    <row r="356" spans="1:13" customFormat="1" x14ac:dyDescent="0.35">
      <c r="A356" s="109">
        <v>45546</v>
      </c>
      <c r="B356" s="121" t="s">
        <v>57</v>
      </c>
      <c r="C356" s="111" t="s">
        <v>22</v>
      </c>
      <c r="D356" s="111" t="s">
        <v>550</v>
      </c>
      <c r="E356" s="111" t="s">
        <v>569</v>
      </c>
      <c r="F356" s="149">
        <v>105.45</v>
      </c>
      <c r="G356" s="135">
        <f t="shared" ref="G356:G361" si="14">A356+30</f>
        <v>45576</v>
      </c>
      <c r="H356" s="133" t="s">
        <v>66</v>
      </c>
      <c r="I356" s="133" t="s">
        <v>135</v>
      </c>
      <c r="J356" s="111"/>
      <c r="K356" s="135"/>
      <c r="L356" s="153">
        <f t="shared" ref="L356:L367" si="15">F356</f>
        <v>105.45</v>
      </c>
      <c r="M356" s="111">
        <v>517593637</v>
      </c>
    </row>
    <row r="357" spans="1:13" customFormat="1" x14ac:dyDescent="0.35">
      <c r="A357" s="109">
        <v>45560</v>
      </c>
      <c r="B357" s="121" t="s">
        <v>57</v>
      </c>
      <c r="C357" s="111" t="s">
        <v>22</v>
      </c>
      <c r="D357" s="111" t="s">
        <v>550</v>
      </c>
      <c r="E357" s="111" t="s">
        <v>570</v>
      </c>
      <c r="F357" s="149">
        <v>79.58</v>
      </c>
      <c r="G357" s="135">
        <f t="shared" si="14"/>
        <v>45590</v>
      </c>
      <c r="H357" s="133" t="s">
        <v>66</v>
      </c>
      <c r="I357" s="133" t="s">
        <v>135</v>
      </c>
      <c r="J357" s="111"/>
      <c r="K357" s="135"/>
      <c r="L357" s="153">
        <f t="shared" si="15"/>
        <v>79.58</v>
      </c>
      <c r="M357" s="111">
        <v>517593637</v>
      </c>
    </row>
    <row r="358" spans="1:13" customFormat="1" x14ac:dyDescent="0.35">
      <c r="A358" s="109">
        <v>45567</v>
      </c>
      <c r="B358" s="121" t="s">
        <v>57</v>
      </c>
      <c r="C358" s="111" t="s">
        <v>22</v>
      </c>
      <c r="D358" s="111" t="s">
        <v>550</v>
      </c>
      <c r="E358" s="111" t="s">
        <v>571</v>
      </c>
      <c r="F358" s="149">
        <v>53.97</v>
      </c>
      <c r="G358" s="135">
        <f t="shared" si="14"/>
        <v>45597</v>
      </c>
      <c r="H358" s="133" t="s">
        <v>66</v>
      </c>
      <c r="I358" s="133" t="s">
        <v>135</v>
      </c>
      <c r="J358" s="111"/>
      <c r="K358" s="135"/>
      <c r="L358" s="153">
        <f t="shared" si="15"/>
        <v>53.97</v>
      </c>
      <c r="M358" s="111">
        <v>517593637</v>
      </c>
    </row>
    <row r="359" spans="1:13" customFormat="1" x14ac:dyDescent="0.35">
      <c r="A359" s="109">
        <v>45579</v>
      </c>
      <c r="B359" s="121" t="s">
        <v>57</v>
      </c>
      <c r="C359" s="111" t="s">
        <v>22</v>
      </c>
      <c r="D359" s="111" t="s">
        <v>550</v>
      </c>
      <c r="E359" s="111" t="s">
        <v>572</v>
      </c>
      <c r="F359" s="149">
        <v>30.26</v>
      </c>
      <c r="G359" s="135">
        <f t="shared" si="14"/>
        <v>45609</v>
      </c>
      <c r="H359" s="133" t="s">
        <v>66</v>
      </c>
      <c r="I359" s="133" t="s">
        <v>135</v>
      </c>
      <c r="J359" s="111"/>
      <c r="K359" s="135"/>
      <c r="L359" s="153">
        <f t="shared" si="15"/>
        <v>30.26</v>
      </c>
      <c r="M359" s="111">
        <v>517593637</v>
      </c>
    </row>
    <row r="360" spans="1:13" customFormat="1" x14ac:dyDescent="0.35">
      <c r="A360" s="109">
        <v>45588</v>
      </c>
      <c r="B360" s="121" t="s">
        <v>57</v>
      </c>
      <c r="C360" s="111" t="s">
        <v>22</v>
      </c>
      <c r="D360" s="111" t="s">
        <v>550</v>
      </c>
      <c r="E360" s="111" t="s">
        <v>573</v>
      </c>
      <c r="F360" s="149">
        <v>55.73</v>
      </c>
      <c r="G360" s="135">
        <f t="shared" si="14"/>
        <v>45618</v>
      </c>
      <c r="H360" s="133" t="s">
        <v>66</v>
      </c>
      <c r="I360" s="133" t="s">
        <v>135</v>
      </c>
      <c r="J360" s="111"/>
      <c r="K360" s="135"/>
      <c r="L360" s="153">
        <f t="shared" si="15"/>
        <v>55.73</v>
      </c>
      <c r="M360" s="111">
        <v>517593637</v>
      </c>
    </row>
    <row r="361" spans="1:13" customFormat="1" x14ac:dyDescent="0.35">
      <c r="A361" s="109">
        <v>45603</v>
      </c>
      <c r="B361" s="121" t="s">
        <v>57</v>
      </c>
      <c r="C361" s="111" t="s">
        <v>22</v>
      </c>
      <c r="D361" s="111" t="s">
        <v>550</v>
      </c>
      <c r="E361" s="111" t="s">
        <v>574</v>
      </c>
      <c r="F361" s="149">
        <v>203.01</v>
      </c>
      <c r="G361" s="135">
        <f t="shared" si="14"/>
        <v>45633</v>
      </c>
      <c r="H361" s="133" t="s">
        <v>66</v>
      </c>
      <c r="I361" s="133" t="s">
        <v>135</v>
      </c>
      <c r="J361" s="111"/>
      <c r="K361" s="135"/>
      <c r="L361" s="153">
        <f t="shared" si="15"/>
        <v>203.01</v>
      </c>
      <c r="M361" s="111">
        <v>517593637</v>
      </c>
    </row>
    <row r="362" spans="1:13" customFormat="1" x14ac:dyDescent="0.35">
      <c r="A362" s="109">
        <v>45693</v>
      </c>
      <c r="B362" s="111" t="s">
        <v>57</v>
      </c>
      <c r="C362" s="111" t="s">
        <v>22</v>
      </c>
      <c r="D362" s="111" t="s">
        <v>550</v>
      </c>
      <c r="E362" s="111" t="s">
        <v>575</v>
      </c>
      <c r="F362" s="153">
        <v>56.7</v>
      </c>
      <c r="G362" s="135">
        <v>45721</v>
      </c>
      <c r="H362" s="134" t="s">
        <v>66</v>
      </c>
      <c r="I362" s="133" t="s">
        <v>135</v>
      </c>
      <c r="J362" s="111"/>
      <c r="K362" s="135">
        <v>45727</v>
      </c>
      <c r="L362" s="153">
        <f t="shared" si="15"/>
        <v>56.7</v>
      </c>
      <c r="M362" s="111">
        <v>517593637</v>
      </c>
    </row>
    <row r="363" spans="1:13" customFormat="1" x14ac:dyDescent="0.35">
      <c r="A363" s="109">
        <v>45700</v>
      </c>
      <c r="B363" s="111" t="s">
        <v>57</v>
      </c>
      <c r="C363" s="111" t="s">
        <v>22</v>
      </c>
      <c r="D363" s="111" t="s">
        <v>550</v>
      </c>
      <c r="E363" s="111" t="s">
        <v>576</v>
      </c>
      <c r="F363" s="153">
        <v>26.39</v>
      </c>
      <c r="G363" s="135">
        <v>45727</v>
      </c>
      <c r="H363" s="134" t="s">
        <v>66</v>
      </c>
      <c r="I363" s="133" t="s">
        <v>135</v>
      </c>
      <c r="J363" s="111"/>
      <c r="K363" s="135">
        <v>45727</v>
      </c>
      <c r="L363" s="153">
        <f t="shared" si="15"/>
        <v>26.39</v>
      </c>
      <c r="M363" s="111">
        <v>517593637</v>
      </c>
    </row>
    <row r="364" spans="1:13" customFormat="1" x14ac:dyDescent="0.35">
      <c r="A364" s="109">
        <v>45703</v>
      </c>
      <c r="B364" s="111" t="s">
        <v>57</v>
      </c>
      <c r="C364" s="111" t="s">
        <v>22</v>
      </c>
      <c r="D364" s="111" t="s">
        <v>550</v>
      </c>
      <c r="E364" s="111" t="s">
        <v>577</v>
      </c>
      <c r="F364" s="153">
        <v>29.43</v>
      </c>
      <c r="G364" s="135">
        <v>45727</v>
      </c>
      <c r="H364" s="134" t="s">
        <v>66</v>
      </c>
      <c r="I364" s="133" t="s">
        <v>135</v>
      </c>
      <c r="J364" s="111"/>
      <c r="K364" s="135">
        <v>45727</v>
      </c>
      <c r="L364" s="153">
        <f t="shared" si="15"/>
        <v>29.43</v>
      </c>
      <c r="M364" s="111">
        <v>517593637</v>
      </c>
    </row>
    <row r="365" spans="1:13" customFormat="1" x14ac:dyDescent="0.35">
      <c r="A365" s="109">
        <v>45713</v>
      </c>
      <c r="B365" s="111" t="s">
        <v>57</v>
      </c>
      <c r="C365" s="111" t="s">
        <v>22</v>
      </c>
      <c r="D365" s="111" t="s">
        <v>550</v>
      </c>
      <c r="E365" s="111" t="s">
        <v>578</v>
      </c>
      <c r="F365" s="153">
        <v>56.79</v>
      </c>
      <c r="G365" s="135">
        <v>45741</v>
      </c>
      <c r="H365" s="133" t="s">
        <v>66</v>
      </c>
      <c r="I365" s="133" t="s">
        <v>135</v>
      </c>
      <c r="J365" s="111"/>
      <c r="K365" s="135">
        <v>45818</v>
      </c>
      <c r="L365" s="153">
        <f t="shared" si="15"/>
        <v>56.79</v>
      </c>
      <c r="M365" s="111">
        <v>517897849</v>
      </c>
    </row>
    <row r="366" spans="1:13" customFormat="1" x14ac:dyDescent="0.35">
      <c r="A366" s="109">
        <v>45722</v>
      </c>
      <c r="B366" s="111" t="s">
        <v>57</v>
      </c>
      <c r="C366" s="111" t="s">
        <v>22</v>
      </c>
      <c r="D366" s="111" t="s">
        <v>550</v>
      </c>
      <c r="E366" s="111" t="s">
        <v>579</v>
      </c>
      <c r="F366" s="153">
        <v>89.81</v>
      </c>
      <c r="G366" s="135">
        <v>45753</v>
      </c>
      <c r="H366" s="134" t="s">
        <v>66</v>
      </c>
      <c r="I366" s="133" t="s">
        <v>135</v>
      </c>
      <c r="J366" s="111"/>
      <c r="K366" s="135">
        <v>45756</v>
      </c>
      <c r="L366" s="153">
        <f t="shared" si="15"/>
        <v>89.81</v>
      </c>
      <c r="M366" s="111">
        <v>517593637</v>
      </c>
    </row>
    <row r="367" spans="1:13" customFormat="1" x14ac:dyDescent="0.35">
      <c r="A367" s="109">
        <v>45734</v>
      </c>
      <c r="B367" s="111" t="s">
        <v>57</v>
      </c>
      <c r="C367" s="111" t="s">
        <v>22</v>
      </c>
      <c r="D367" s="111" t="s">
        <v>550</v>
      </c>
      <c r="E367" s="121" t="s">
        <v>580</v>
      </c>
      <c r="F367" s="153">
        <v>85.12</v>
      </c>
      <c r="G367" s="135">
        <v>45764</v>
      </c>
      <c r="H367" s="134" t="s">
        <v>66</v>
      </c>
      <c r="I367" s="133" t="s">
        <v>135</v>
      </c>
      <c r="J367" s="111"/>
      <c r="K367" s="135">
        <v>45756</v>
      </c>
      <c r="L367" s="153">
        <f t="shared" si="15"/>
        <v>85.12</v>
      </c>
      <c r="M367" s="111">
        <v>517593637</v>
      </c>
    </row>
    <row r="368" spans="1:13" customFormat="1" x14ac:dyDescent="0.35">
      <c r="A368" s="109">
        <v>45750</v>
      </c>
      <c r="B368" s="111" t="s">
        <v>57</v>
      </c>
      <c r="C368" s="111" t="s">
        <v>22</v>
      </c>
      <c r="D368" s="111" t="s">
        <v>550</v>
      </c>
      <c r="E368" s="111" t="s">
        <v>581</v>
      </c>
      <c r="F368" s="153">
        <v>109.82</v>
      </c>
      <c r="G368" s="135">
        <v>45779</v>
      </c>
      <c r="H368" s="133" t="s">
        <v>66</v>
      </c>
      <c r="I368" s="133" t="s">
        <v>135</v>
      </c>
      <c r="J368" s="111"/>
      <c r="K368" s="135">
        <v>45790</v>
      </c>
      <c r="L368" s="153"/>
      <c r="M368" s="111">
        <v>517897849</v>
      </c>
    </row>
    <row r="369" spans="1:14" customFormat="1" x14ac:dyDescent="0.35">
      <c r="A369" s="109">
        <v>45765</v>
      </c>
      <c r="B369" s="121" t="s">
        <v>57</v>
      </c>
      <c r="C369" s="111" t="s">
        <v>22</v>
      </c>
      <c r="D369" s="111" t="s">
        <v>550</v>
      </c>
      <c r="E369" s="121" t="s">
        <v>582</v>
      </c>
      <c r="F369" s="153">
        <v>89.35</v>
      </c>
      <c r="G369" s="135">
        <v>45794</v>
      </c>
      <c r="H369" s="133" t="s">
        <v>66</v>
      </c>
      <c r="I369" s="133" t="s">
        <v>135</v>
      </c>
      <c r="J369" s="111"/>
      <c r="K369" s="135">
        <v>45790</v>
      </c>
      <c r="L369" s="153">
        <f>F369</f>
        <v>89.35</v>
      </c>
      <c r="M369" s="111">
        <v>517897849</v>
      </c>
    </row>
    <row r="370" spans="1:14" customFormat="1" x14ac:dyDescent="0.35">
      <c r="A370" s="109">
        <v>45776</v>
      </c>
      <c r="B370" s="111" t="s">
        <v>57</v>
      </c>
      <c r="C370" s="111" t="s">
        <v>22</v>
      </c>
      <c r="D370" s="111" t="s">
        <v>550</v>
      </c>
      <c r="E370" s="121" t="s">
        <v>583</v>
      </c>
      <c r="F370" s="153">
        <v>17.61</v>
      </c>
      <c r="G370" s="135">
        <v>45775</v>
      </c>
      <c r="H370" s="133" t="s">
        <v>66</v>
      </c>
      <c r="I370" s="133" t="s">
        <v>135</v>
      </c>
      <c r="J370" s="111"/>
      <c r="K370" s="135">
        <v>45818</v>
      </c>
      <c r="L370" s="153"/>
      <c r="M370" s="111">
        <v>517593637</v>
      </c>
    </row>
    <row r="371" spans="1:14" customFormat="1" x14ac:dyDescent="0.35">
      <c r="A371" s="109">
        <v>45987</v>
      </c>
      <c r="B371" s="121" t="s">
        <v>57</v>
      </c>
      <c r="C371" s="111" t="s">
        <v>53</v>
      </c>
      <c r="D371" s="111"/>
      <c r="E371" s="111"/>
      <c r="F371" s="149">
        <v>3789.75</v>
      </c>
      <c r="G371" s="135">
        <v>45987</v>
      </c>
      <c r="H371" s="133"/>
      <c r="I371" s="134" t="s">
        <v>584</v>
      </c>
      <c r="J371" s="111"/>
      <c r="K371" s="135">
        <v>45987</v>
      </c>
      <c r="L371" s="153">
        <v>3789.75</v>
      </c>
      <c r="M371" s="111"/>
    </row>
    <row r="372" spans="1:14" customFormat="1" x14ac:dyDescent="0.35">
      <c r="A372" s="109">
        <v>46017</v>
      </c>
      <c r="B372" s="121" t="s">
        <v>57</v>
      </c>
      <c r="C372" s="111" t="s">
        <v>53</v>
      </c>
      <c r="D372" s="111"/>
      <c r="E372" s="111"/>
      <c r="F372" s="149">
        <v>3789.75</v>
      </c>
      <c r="G372" s="135">
        <v>46017</v>
      </c>
      <c r="H372" s="133"/>
      <c r="I372" s="134" t="s">
        <v>584</v>
      </c>
      <c r="J372" s="111"/>
      <c r="K372" s="135">
        <v>46017</v>
      </c>
      <c r="L372" s="153">
        <v>3789.75</v>
      </c>
      <c r="M372" s="111"/>
    </row>
    <row r="373" spans="1:14" customFormat="1" x14ac:dyDescent="0.35">
      <c r="A373" s="109">
        <v>45779</v>
      </c>
      <c r="B373" s="111" t="s">
        <v>57</v>
      </c>
      <c r="C373" s="111" t="s">
        <v>22</v>
      </c>
      <c r="D373" s="111" t="s">
        <v>550</v>
      </c>
      <c r="E373" s="121" t="s">
        <v>585</v>
      </c>
      <c r="F373" s="153">
        <v>98.96</v>
      </c>
      <c r="G373" s="135">
        <v>45809</v>
      </c>
      <c r="H373" s="133" t="s">
        <v>66</v>
      </c>
      <c r="I373" s="133" t="s">
        <v>135</v>
      </c>
      <c r="J373" s="111"/>
      <c r="K373" s="135">
        <v>45818</v>
      </c>
      <c r="L373" s="153"/>
      <c r="M373" s="111">
        <v>517897849</v>
      </c>
    </row>
    <row r="374" spans="1:14" customFormat="1" x14ac:dyDescent="0.35">
      <c r="A374" s="109">
        <v>45782</v>
      </c>
      <c r="B374" s="111" t="s">
        <v>57</v>
      </c>
      <c r="C374" s="111" t="s">
        <v>22</v>
      </c>
      <c r="D374" s="111" t="s">
        <v>550</v>
      </c>
      <c r="E374" s="121" t="s">
        <v>586</v>
      </c>
      <c r="F374" s="153">
        <v>100.11</v>
      </c>
      <c r="G374" s="135">
        <v>45812</v>
      </c>
      <c r="H374" s="133" t="s">
        <v>66</v>
      </c>
      <c r="I374" s="133" t="s">
        <v>135</v>
      </c>
      <c r="J374" s="111"/>
      <c r="K374" s="135">
        <v>45818</v>
      </c>
      <c r="L374" s="153">
        <f>F374</f>
        <v>100.11</v>
      </c>
      <c r="M374" s="111">
        <v>517897849</v>
      </c>
    </row>
    <row r="375" spans="1:14" customFormat="1" x14ac:dyDescent="0.35">
      <c r="A375" s="109">
        <v>45796</v>
      </c>
      <c r="B375" s="111" t="s">
        <v>57</v>
      </c>
      <c r="C375" s="111" t="s">
        <v>22</v>
      </c>
      <c r="D375" s="111" t="s">
        <v>550</v>
      </c>
      <c r="E375" s="121" t="s">
        <v>587</v>
      </c>
      <c r="F375" s="153">
        <v>64.45</v>
      </c>
      <c r="G375" s="135">
        <v>45827</v>
      </c>
      <c r="H375" s="133" t="s">
        <v>66</v>
      </c>
      <c r="I375" s="133" t="s">
        <v>135</v>
      </c>
      <c r="J375" s="111"/>
      <c r="K375" s="135">
        <v>45818</v>
      </c>
      <c r="L375" s="153">
        <f>F375</f>
        <v>64.45</v>
      </c>
      <c r="M375" s="111">
        <v>517897849</v>
      </c>
    </row>
    <row r="376" spans="1:14" customFormat="1" x14ac:dyDescent="0.35">
      <c r="A376" s="109">
        <v>45796</v>
      </c>
      <c r="B376" s="111" t="s">
        <v>57</v>
      </c>
      <c r="C376" s="111" t="s">
        <v>22</v>
      </c>
      <c r="D376" s="111" t="s">
        <v>550</v>
      </c>
      <c r="E376" s="121" t="s">
        <v>588</v>
      </c>
      <c r="F376" s="153">
        <v>67.77</v>
      </c>
      <c r="G376" s="135">
        <v>45827</v>
      </c>
      <c r="H376" s="133" t="s">
        <v>66</v>
      </c>
      <c r="I376" s="133" t="s">
        <v>135</v>
      </c>
      <c r="J376" s="111"/>
      <c r="K376" s="135">
        <v>45818</v>
      </c>
      <c r="L376" s="153">
        <f>F376</f>
        <v>67.77</v>
      </c>
      <c r="M376" s="111">
        <v>517897849</v>
      </c>
    </row>
    <row r="377" spans="1:14" customFormat="1" x14ac:dyDescent="0.35">
      <c r="A377" s="109">
        <v>45805</v>
      </c>
      <c r="B377" s="111" t="s">
        <v>57</v>
      </c>
      <c r="C377" s="111" t="s">
        <v>22</v>
      </c>
      <c r="D377" s="111" t="s">
        <v>550</v>
      </c>
      <c r="E377" s="121" t="s">
        <v>589</v>
      </c>
      <c r="F377" s="153">
        <v>68.180000000000007</v>
      </c>
      <c r="G377" s="135">
        <v>45835</v>
      </c>
      <c r="H377" s="133" t="s">
        <v>66</v>
      </c>
      <c r="I377" s="133" t="s">
        <v>135</v>
      </c>
      <c r="J377" s="111"/>
      <c r="K377" s="135">
        <v>45818</v>
      </c>
      <c r="L377" s="153">
        <f>F377</f>
        <v>68.180000000000007</v>
      </c>
      <c r="M377" s="111"/>
    </row>
    <row r="378" spans="1:14" customFormat="1" x14ac:dyDescent="0.35">
      <c r="A378" s="109">
        <v>45812</v>
      </c>
      <c r="B378" s="111" t="s">
        <v>57</v>
      </c>
      <c r="C378" s="111" t="s">
        <v>22</v>
      </c>
      <c r="D378" s="111" t="s">
        <v>550</v>
      </c>
      <c r="E378" s="111" t="s">
        <v>590</v>
      </c>
      <c r="F378" s="153">
        <v>103.48</v>
      </c>
      <c r="G378" s="133"/>
      <c r="H378" s="133" t="s">
        <v>66</v>
      </c>
      <c r="I378" s="133" t="s">
        <v>135</v>
      </c>
      <c r="J378" s="111"/>
      <c r="K378" s="135">
        <v>45848</v>
      </c>
      <c r="L378" s="111">
        <f>F378</f>
        <v>103.48</v>
      </c>
      <c r="M378" s="196"/>
    </row>
    <row r="379" spans="1:14" customFormat="1" x14ac:dyDescent="0.35">
      <c r="A379" s="109">
        <v>45828</v>
      </c>
      <c r="B379" s="111" t="s">
        <v>57</v>
      </c>
      <c r="C379" s="111" t="s">
        <v>22</v>
      </c>
      <c r="D379" s="111" t="s">
        <v>550</v>
      </c>
      <c r="E379" s="121" t="s">
        <v>591</v>
      </c>
      <c r="F379" s="153">
        <v>105.69</v>
      </c>
      <c r="G379" s="135">
        <v>45857</v>
      </c>
      <c r="H379" s="133" t="s">
        <v>66</v>
      </c>
      <c r="I379" s="133" t="s">
        <v>135</v>
      </c>
      <c r="J379" s="111"/>
      <c r="K379" s="135">
        <v>45848</v>
      </c>
      <c r="L379" s="111"/>
      <c r="M379" s="196"/>
    </row>
    <row r="380" spans="1:14" customFormat="1" x14ac:dyDescent="0.35">
      <c r="A380" s="109">
        <v>45842</v>
      </c>
      <c r="B380" s="111" t="s">
        <v>57</v>
      </c>
      <c r="C380" s="111" t="s">
        <v>22</v>
      </c>
      <c r="D380" s="111" t="s">
        <v>550</v>
      </c>
      <c r="E380" s="121" t="s">
        <v>592</v>
      </c>
      <c r="F380" s="153">
        <v>145.57</v>
      </c>
      <c r="G380" s="133"/>
      <c r="H380" s="133" t="s">
        <v>66</v>
      </c>
      <c r="I380" s="133" t="s">
        <v>135</v>
      </c>
      <c r="J380" s="111"/>
      <c r="K380" s="135">
        <v>45880</v>
      </c>
      <c r="L380" s="111"/>
      <c r="M380" s="196"/>
    </row>
    <row r="381" spans="1:14" customFormat="1" x14ac:dyDescent="0.35">
      <c r="A381" s="109">
        <v>45861</v>
      </c>
      <c r="B381" s="111" t="s">
        <v>57</v>
      </c>
      <c r="C381" s="111" t="s">
        <v>22</v>
      </c>
      <c r="D381" s="111" t="s">
        <v>550</v>
      </c>
      <c r="E381" s="111" t="s">
        <v>593</v>
      </c>
      <c r="F381" s="153">
        <v>68.55</v>
      </c>
      <c r="G381" s="133"/>
      <c r="H381" s="133" t="s">
        <v>66</v>
      </c>
      <c r="I381" s="133" t="s">
        <v>135</v>
      </c>
      <c r="J381" s="111"/>
      <c r="K381" s="135">
        <v>45880</v>
      </c>
      <c r="L381" s="111"/>
      <c r="M381" s="196"/>
    </row>
    <row r="382" spans="1:14" x14ac:dyDescent="0.35">
      <c r="A382" s="109">
        <v>45875</v>
      </c>
      <c r="B382" s="111" t="s">
        <v>57</v>
      </c>
      <c r="C382" s="111" t="s">
        <v>22</v>
      </c>
      <c r="D382" s="111" t="s">
        <v>550</v>
      </c>
      <c r="E382" s="121" t="s">
        <v>594</v>
      </c>
      <c r="F382" s="205">
        <v>96.73</v>
      </c>
      <c r="G382" s="135">
        <f>A382+30</f>
        <v>45905</v>
      </c>
      <c r="H382" s="133" t="s">
        <v>66</v>
      </c>
      <c r="I382" s="133" t="s">
        <v>135</v>
      </c>
      <c r="K382" s="135">
        <v>45910</v>
      </c>
      <c r="N382" s="183"/>
    </row>
    <row r="383" spans="1:14" x14ac:dyDescent="0.35">
      <c r="A383" s="109">
        <v>45877</v>
      </c>
      <c r="B383" s="111" t="s">
        <v>57</v>
      </c>
      <c r="C383" s="111" t="s">
        <v>22</v>
      </c>
      <c r="D383" s="111" t="s">
        <v>550</v>
      </c>
      <c r="E383" s="121" t="s">
        <v>595</v>
      </c>
      <c r="F383" s="205">
        <v>5.92</v>
      </c>
      <c r="G383" s="135">
        <f>A383+30</f>
        <v>45907</v>
      </c>
      <c r="H383" s="133" t="s">
        <v>66</v>
      </c>
      <c r="I383" s="133" t="s">
        <v>135</v>
      </c>
      <c r="K383" s="135">
        <v>45910</v>
      </c>
      <c r="N383" s="183"/>
    </row>
    <row r="384" spans="1:14" s="76" customFormat="1" x14ac:dyDescent="0.35">
      <c r="A384" s="109">
        <v>45882</v>
      </c>
      <c r="B384" s="145" t="s">
        <v>57</v>
      </c>
      <c r="C384" s="145" t="s">
        <v>22</v>
      </c>
      <c r="D384" s="145" t="s">
        <v>550</v>
      </c>
      <c r="E384" s="144" t="s">
        <v>596</v>
      </c>
      <c r="F384" s="231">
        <v>96.5</v>
      </c>
      <c r="G384" s="138">
        <v>45912</v>
      </c>
      <c r="H384" s="147" t="s">
        <v>66</v>
      </c>
      <c r="I384" s="147" t="s">
        <v>135</v>
      </c>
      <c r="J384" s="145"/>
      <c r="K384" s="135">
        <v>45910</v>
      </c>
      <c r="L384" s="145"/>
      <c r="M384" s="198"/>
    </row>
    <row r="385" spans="1:13" x14ac:dyDescent="0.35">
      <c r="A385" s="109">
        <v>45891</v>
      </c>
      <c r="B385" s="121" t="s">
        <v>57</v>
      </c>
      <c r="C385" s="111" t="s">
        <v>22</v>
      </c>
      <c r="D385" s="111" t="s">
        <v>550</v>
      </c>
      <c r="E385" s="121" t="s">
        <v>597</v>
      </c>
      <c r="F385" s="205">
        <v>129.75</v>
      </c>
      <c r="G385" s="135">
        <f>A385+30</f>
        <v>45921</v>
      </c>
      <c r="H385" s="133" t="s">
        <v>66</v>
      </c>
      <c r="I385" s="133" t="s">
        <v>135</v>
      </c>
      <c r="K385" s="135">
        <v>45910</v>
      </c>
      <c r="M385" s="186" t="s">
        <v>598</v>
      </c>
    </row>
    <row r="386" spans="1:13" s="76" customFormat="1" x14ac:dyDescent="0.35">
      <c r="A386" s="109">
        <v>45821</v>
      </c>
      <c r="B386" s="145" t="s">
        <v>57</v>
      </c>
      <c r="C386" s="145" t="s">
        <v>22</v>
      </c>
      <c r="D386" s="145" t="s">
        <v>550</v>
      </c>
      <c r="E386" s="144" t="s">
        <v>599</v>
      </c>
      <c r="F386" s="169">
        <v>64.98</v>
      </c>
      <c r="G386" s="147"/>
      <c r="H386" s="147" t="s">
        <v>66</v>
      </c>
      <c r="I386" s="147" t="s">
        <v>135</v>
      </c>
      <c r="J386" s="145"/>
      <c r="K386" s="135">
        <v>45848</v>
      </c>
      <c r="L386" s="153">
        <f t="shared" ref="L386:L394" si="16">F386</f>
        <v>64.98</v>
      </c>
      <c r="M386" s="198"/>
    </row>
    <row r="387" spans="1:13" customFormat="1" x14ac:dyDescent="0.35">
      <c r="A387" s="109">
        <v>45422</v>
      </c>
      <c r="B387" s="121" t="s">
        <v>57</v>
      </c>
      <c r="C387" s="111" t="s">
        <v>22</v>
      </c>
      <c r="D387" s="111" t="s">
        <v>550</v>
      </c>
      <c r="E387" s="111" t="s">
        <v>600</v>
      </c>
      <c r="F387" s="149">
        <v>58.91</v>
      </c>
      <c r="G387" s="135">
        <f>A387+30</f>
        <v>45452</v>
      </c>
      <c r="H387" s="133" t="s">
        <v>66</v>
      </c>
      <c r="I387" s="133" t="s">
        <v>135</v>
      </c>
      <c r="J387" s="111"/>
      <c r="K387" s="135"/>
      <c r="L387" s="153">
        <f t="shared" si="16"/>
        <v>58.91</v>
      </c>
      <c r="M387" s="111">
        <v>517593637</v>
      </c>
    </row>
    <row r="388" spans="1:13" x14ac:dyDescent="0.35">
      <c r="A388" s="109">
        <v>45443</v>
      </c>
      <c r="B388" s="121" t="s">
        <v>57</v>
      </c>
      <c r="C388" s="111" t="s">
        <v>22</v>
      </c>
      <c r="D388" s="111" t="s">
        <v>550</v>
      </c>
      <c r="E388" s="111" t="s">
        <v>601</v>
      </c>
      <c r="F388" s="149">
        <v>89.86</v>
      </c>
      <c r="G388" s="135">
        <f>A388+30</f>
        <v>45473</v>
      </c>
      <c r="H388" s="133" t="s">
        <v>66</v>
      </c>
      <c r="I388" s="133" t="s">
        <v>135</v>
      </c>
      <c r="K388" s="135"/>
      <c r="L388" s="153">
        <f t="shared" si="16"/>
        <v>89.86</v>
      </c>
      <c r="M388" s="111">
        <v>517593637</v>
      </c>
    </row>
    <row r="389" spans="1:13" s="76" customFormat="1" x14ac:dyDescent="0.35">
      <c r="A389" s="109">
        <v>45481</v>
      </c>
      <c r="B389" s="144" t="s">
        <v>57</v>
      </c>
      <c r="C389" s="145" t="s">
        <v>22</v>
      </c>
      <c r="D389" s="145" t="s">
        <v>550</v>
      </c>
      <c r="E389" s="145" t="s">
        <v>602</v>
      </c>
      <c r="F389" s="165">
        <v>59.59</v>
      </c>
      <c r="G389" s="138">
        <f>A389+30</f>
        <v>45511</v>
      </c>
      <c r="H389" s="133" t="s">
        <v>66</v>
      </c>
      <c r="I389" s="147" t="s">
        <v>135</v>
      </c>
      <c r="J389" s="145"/>
      <c r="K389" s="135"/>
      <c r="L389" s="153">
        <f t="shared" si="16"/>
        <v>59.59</v>
      </c>
      <c r="M389" s="145">
        <v>517593637</v>
      </c>
    </row>
    <row r="390" spans="1:13" customFormat="1" x14ac:dyDescent="0.35">
      <c r="A390" s="109">
        <v>45436</v>
      </c>
      <c r="B390" s="111" t="s">
        <v>65</v>
      </c>
      <c r="C390" s="111" t="s">
        <v>603</v>
      </c>
      <c r="D390" s="111"/>
      <c r="E390" s="111" t="s">
        <v>604</v>
      </c>
      <c r="F390" s="131">
        <v>-3670.32</v>
      </c>
      <c r="G390" s="135"/>
      <c r="H390" s="133" t="s">
        <v>66</v>
      </c>
      <c r="I390" s="133" t="s">
        <v>232</v>
      </c>
      <c r="J390" s="111"/>
      <c r="K390" s="135">
        <v>45420</v>
      </c>
      <c r="L390" s="153">
        <f t="shared" si="16"/>
        <v>-3670.32</v>
      </c>
      <c r="M390" s="111" t="s">
        <v>605</v>
      </c>
    </row>
    <row r="391" spans="1:13" customFormat="1" x14ac:dyDescent="0.35">
      <c r="A391" s="109">
        <v>45436</v>
      </c>
      <c r="B391" s="111" t="s">
        <v>65</v>
      </c>
      <c r="C391" s="111" t="s">
        <v>17</v>
      </c>
      <c r="D391" s="111"/>
      <c r="E391" s="111" t="s">
        <v>606</v>
      </c>
      <c r="F391" s="131">
        <v>-1166.5</v>
      </c>
      <c r="G391" s="135"/>
      <c r="H391" s="133" t="s">
        <v>66</v>
      </c>
      <c r="I391" s="133" t="s">
        <v>170</v>
      </c>
      <c r="J391" s="111"/>
      <c r="K391" s="135">
        <v>45299</v>
      </c>
      <c r="L391" s="153">
        <f t="shared" si="16"/>
        <v>-1166.5</v>
      </c>
      <c r="M391" s="111" t="s">
        <v>607</v>
      </c>
    </row>
    <row r="392" spans="1:13" customFormat="1" x14ac:dyDescent="0.35">
      <c r="A392" s="109">
        <v>45525</v>
      </c>
      <c r="B392" s="111" t="s">
        <v>65</v>
      </c>
      <c r="C392" s="111" t="s">
        <v>17</v>
      </c>
      <c r="D392" s="111"/>
      <c r="E392" s="111" t="s">
        <v>608</v>
      </c>
      <c r="F392" s="131">
        <v>-379.92</v>
      </c>
      <c r="G392" s="135"/>
      <c r="H392" s="133" t="s">
        <v>66</v>
      </c>
      <c r="I392" s="133" t="s">
        <v>131</v>
      </c>
      <c r="J392" s="111"/>
      <c r="K392" s="135"/>
      <c r="L392" s="153">
        <f t="shared" si="16"/>
        <v>-379.92</v>
      </c>
      <c r="M392" s="111" t="s">
        <v>609</v>
      </c>
    </row>
    <row r="393" spans="1:13" customFormat="1" x14ac:dyDescent="0.35">
      <c r="A393" s="109">
        <v>45596</v>
      </c>
      <c r="B393" s="111" t="s">
        <v>65</v>
      </c>
      <c r="C393" s="111" t="s">
        <v>78</v>
      </c>
      <c r="D393" s="111"/>
      <c r="E393" s="111" t="s">
        <v>610</v>
      </c>
      <c r="F393" s="151">
        <v>-1987.2</v>
      </c>
      <c r="G393" s="135"/>
      <c r="H393" s="152" t="s">
        <v>447</v>
      </c>
      <c r="I393" s="133" t="s">
        <v>119</v>
      </c>
      <c r="J393" s="109">
        <v>45803</v>
      </c>
      <c r="K393" s="135">
        <v>45803</v>
      </c>
      <c r="L393" s="153">
        <f t="shared" si="16"/>
        <v>-1987.2</v>
      </c>
      <c r="M393" s="111" t="s">
        <v>611</v>
      </c>
    </row>
    <row r="394" spans="1:13" customFormat="1" x14ac:dyDescent="0.35">
      <c r="A394" s="109">
        <v>45626</v>
      </c>
      <c r="B394" s="111" t="s">
        <v>65</v>
      </c>
      <c r="C394" s="111" t="s">
        <v>78</v>
      </c>
      <c r="D394" s="111"/>
      <c r="E394" s="111" t="s">
        <v>612</v>
      </c>
      <c r="F394" s="151">
        <v>-7982.39</v>
      </c>
      <c r="G394" s="135">
        <v>45657</v>
      </c>
      <c r="H394" s="134" t="s">
        <v>447</v>
      </c>
      <c r="I394" s="133" t="s">
        <v>119</v>
      </c>
      <c r="J394" s="121" t="s">
        <v>613</v>
      </c>
      <c r="K394" s="135"/>
      <c r="L394" s="153">
        <f t="shared" si="16"/>
        <v>-7982.39</v>
      </c>
      <c r="M394" s="111"/>
    </row>
    <row r="395" spans="1:13" customFormat="1" x14ac:dyDescent="0.35">
      <c r="A395" s="109">
        <v>45756</v>
      </c>
      <c r="B395" s="111" t="s">
        <v>65</v>
      </c>
      <c r="C395" s="111" t="s">
        <v>17</v>
      </c>
      <c r="D395" s="111"/>
      <c r="E395" s="111" t="s">
        <v>431</v>
      </c>
      <c r="F395" s="153">
        <v>-46.13</v>
      </c>
      <c r="G395" s="133"/>
      <c r="H395" s="133" t="s">
        <v>66</v>
      </c>
      <c r="I395" s="133" t="s">
        <v>119</v>
      </c>
      <c r="J395" s="111"/>
      <c r="K395" s="135">
        <v>45847</v>
      </c>
      <c r="L395" s="111"/>
      <c r="M395" s="196"/>
    </row>
    <row r="396" spans="1:13" customFormat="1" x14ac:dyDescent="0.35">
      <c r="A396" s="109">
        <v>45716</v>
      </c>
      <c r="B396" s="111" t="s">
        <v>65</v>
      </c>
      <c r="C396" s="156" t="s">
        <v>78</v>
      </c>
      <c r="D396" s="111"/>
      <c r="E396" s="111" t="s">
        <v>614</v>
      </c>
      <c r="F396" s="151">
        <v>-9388.2800000000007</v>
      </c>
      <c r="G396" s="135"/>
      <c r="H396" s="134" t="s">
        <v>447</v>
      </c>
      <c r="I396" s="133" t="s">
        <v>119</v>
      </c>
      <c r="J396" s="109">
        <v>45835</v>
      </c>
      <c r="K396" s="135"/>
      <c r="L396" s="153">
        <f t="shared" ref="L396:L403" si="17">F396</f>
        <v>-9388.2800000000007</v>
      </c>
      <c r="M396" s="111" t="s">
        <v>615</v>
      </c>
    </row>
    <row r="397" spans="1:13" customFormat="1" x14ac:dyDescent="0.35">
      <c r="A397" s="109">
        <v>45507</v>
      </c>
      <c r="B397" s="111" t="s">
        <v>65</v>
      </c>
      <c r="C397" s="111" t="s">
        <v>76</v>
      </c>
      <c r="D397" s="111"/>
      <c r="E397" s="111" t="s">
        <v>616</v>
      </c>
      <c r="F397" s="131">
        <v>-430.5</v>
      </c>
      <c r="G397" s="135"/>
      <c r="H397" s="133" t="s">
        <v>66</v>
      </c>
      <c r="I397" s="133" t="s">
        <v>617</v>
      </c>
      <c r="J397" s="111"/>
      <c r="K397" s="135"/>
      <c r="L397" s="153">
        <f t="shared" si="17"/>
        <v>-430.5</v>
      </c>
      <c r="M397" s="111" t="s">
        <v>618</v>
      </c>
    </row>
    <row r="398" spans="1:13" customFormat="1" x14ac:dyDescent="0.35">
      <c r="A398" s="109">
        <v>45566</v>
      </c>
      <c r="B398" s="111" t="s">
        <v>65</v>
      </c>
      <c r="C398" s="111" t="s">
        <v>76</v>
      </c>
      <c r="D398" s="111"/>
      <c r="E398" s="111" t="s">
        <v>619</v>
      </c>
      <c r="F398" s="131">
        <v>-430.5</v>
      </c>
      <c r="G398" s="135"/>
      <c r="H398" s="133" t="s">
        <v>66</v>
      </c>
      <c r="I398" s="133" t="s">
        <v>119</v>
      </c>
      <c r="J398" s="111"/>
      <c r="K398" s="135"/>
      <c r="L398" s="153">
        <f t="shared" si="17"/>
        <v>-430.5</v>
      </c>
      <c r="M398" s="111" t="s">
        <v>563</v>
      </c>
    </row>
    <row r="399" spans="1:13" customFormat="1" x14ac:dyDescent="0.35">
      <c r="A399" s="109">
        <v>45607</v>
      </c>
      <c r="B399" s="111" t="s">
        <v>65</v>
      </c>
      <c r="C399" s="111" t="s">
        <v>76</v>
      </c>
      <c r="D399" s="111"/>
      <c r="E399" s="111" t="s">
        <v>620</v>
      </c>
      <c r="F399" s="131">
        <v>-430.5</v>
      </c>
      <c r="G399" s="135"/>
      <c r="H399" s="133" t="s">
        <v>66</v>
      </c>
      <c r="I399" s="133" t="s">
        <v>119</v>
      </c>
      <c r="J399" s="111"/>
      <c r="K399" s="135">
        <v>45611</v>
      </c>
      <c r="L399" s="153">
        <f t="shared" si="17"/>
        <v>-430.5</v>
      </c>
      <c r="M399" s="111" t="s">
        <v>621</v>
      </c>
    </row>
    <row r="400" spans="1:13" customFormat="1" x14ac:dyDescent="0.35">
      <c r="A400" s="109">
        <v>45638</v>
      </c>
      <c r="B400" s="111" t="s">
        <v>65</v>
      </c>
      <c r="C400" s="111" t="s">
        <v>76</v>
      </c>
      <c r="D400" s="111"/>
      <c r="E400" s="111" t="s">
        <v>622</v>
      </c>
      <c r="F400" s="131">
        <v>-430.5</v>
      </c>
      <c r="G400" s="135">
        <f>IF(OR(C400="Matosinhos",C400="Bolhão"),A400,A400+30)</f>
        <v>45668</v>
      </c>
      <c r="H400" s="133" t="s">
        <v>66</v>
      </c>
      <c r="I400" s="133" t="s">
        <v>119</v>
      </c>
      <c r="J400" s="111"/>
      <c r="K400" s="135">
        <v>45649</v>
      </c>
      <c r="L400" s="153">
        <f t="shared" si="17"/>
        <v>-430.5</v>
      </c>
      <c r="M400" s="111"/>
    </row>
    <row r="401" spans="1:13" customFormat="1" x14ac:dyDescent="0.35">
      <c r="A401" s="109">
        <v>45663</v>
      </c>
      <c r="B401" s="111" t="s">
        <v>65</v>
      </c>
      <c r="C401" s="111" t="s">
        <v>76</v>
      </c>
      <c r="D401" s="111"/>
      <c r="E401" s="111" t="s">
        <v>623</v>
      </c>
      <c r="F401" s="151">
        <v>-430.5</v>
      </c>
      <c r="G401" s="135">
        <v>45688</v>
      </c>
      <c r="H401" s="133" t="s">
        <v>66</v>
      </c>
      <c r="I401" s="133" t="s">
        <v>119</v>
      </c>
      <c r="J401" s="111"/>
      <c r="K401" s="135">
        <v>45675</v>
      </c>
      <c r="L401" s="153">
        <f t="shared" si="17"/>
        <v>-430.5</v>
      </c>
      <c r="M401" s="111"/>
    </row>
    <row r="402" spans="1:13" customFormat="1" x14ac:dyDescent="0.35">
      <c r="A402" s="109">
        <v>45734</v>
      </c>
      <c r="B402" s="111" t="s">
        <v>65</v>
      </c>
      <c r="C402" s="111" t="s">
        <v>76</v>
      </c>
      <c r="D402" s="111"/>
      <c r="E402" s="111" t="s">
        <v>624</v>
      </c>
      <c r="F402" s="151">
        <v>-430.5</v>
      </c>
      <c r="G402" s="135"/>
      <c r="H402" s="133" t="s">
        <v>66</v>
      </c>
      <c r="I402" s="133" t="s">
        <v>119</v>
      </c>
      <c r="J402" s="111"/>
      <c r="K402" s="135">
        <v>45734</v>
      </c>
      <c r="L402" s="153">
        <f t="shared" si="17"/>
        <v>-430.5</v>
      </c>
      <c r="M402" s="111"/>
    </row>
    <row r="403" spans="1:13" customFormat="1" x14ac:dyDescent="0.35">
      <c r="A403" s="176">
        <v>45777</v>
      </c>
      <c r="B403" s="140" t="s">
        <v>65</v>
      </c>
      <c r="C403" s="247" t="s">
        <v>78</v>
      </c>
      <c r="D403" s="140"/>
      <c r="E403" s="140" t="s">
        <v>625</v>
      </c>
      <c r="F403" s="248">
        <v>-19306.21</v>
      </c>
      <c r="G403" s="177"/>
      <c r="H403" s="142" t="s">
        <v>447</v>
      </c>
      <c r="I403" s="142" t="s">
        <v>119</v>
      </c>
      <c r="J403" s="109">
        <v>45926</v>
      </c>
      <c r="K403" s="135">
        <v>45926</v>
      </c>
      <c r="L403" s="153">
        <f t="shared" si="17"/>
        <v>-19306.21</v>
      </c>
      <c r="M403" s="111"/>
    </row>
    <row r="404" spans="1:13" customFormat="1" x14ac:dyDescent="0.35">
      <c r="A404" s="109">
        <v>46063</v>
      </c>
      <c r="B404" s="111" t="s">
        <v>65</v>
      </c>
      <c r="C404" s="111" t="s">
        <v>496</v>
      </c>
      <c r="D404" s="111"/>
      <c r="E404" s="111" t="s">
        <v>626</v>
      </c>
      <c r="F404" s="153">
        <v>-248.26</v>
      </c>
      <c r="G404" s="209">
        <v>46078</v>
      </c>
      <c r="H404" s="133" t="s">
        <v>66</v>
      </c>
      <c r="I404" s="133" t="s">
        <v>145</v>
      </c>
      <c r="J404" s="111"/>
      <c r="K404" s="160">
        <v>46093</v>
      </c>
      <c r="L404" s="111"/>
      <c r="M404" s="196"/>
    </row>
    <row r="405" spans="1:13" customFormat="1" x14ac:dyDescent="0.35">
      <c r="A405" s="109">
        <v>45593</v>
      </c>
      <c r="B405" s="111" t="s">
        <v>65</v>
      </c>
      <c r="C405" s="111" t="s">
        <v>77</v>
      </c>
      <c r="D405" s="111"/>
      <c r="E405" s="111" t="s">
        <v>627</v>
      </c>
      <c r="F405" s="131">
        <v>-817.95</v>
      </c>
      <c r="G405" s="135"/>
      <c r="H405" s="133" t="s">
        <v>66</v>
      </c>
      <c r="I405" s="133" t="s">
        <v>119</v>
      </c>
      <c r="J405" s="111"/>
      <c r="K405" s="135">
        <v>45637</v>
      </c>
      <c r="L405" s="153">
        <f>F405</f>
        <v>-817.95</v>
      </c>
      <c r="M405" s="111" t="s">
        <v>628</v>
      </c>
    </row>
    <row r="406" spans="1:13" customFormat="1" x14ac:dyDescent="0.35">
      <c r="A406" s="109">
        <v>45602</v>
      </c>
      <c r="B406" s="111" t="s">
        <v>65</v>
      </c>
      <c r="C406" s="111" t="s">
        <v>77</v>
      </c>
      <c r="D406" s="111"/>
      <c r="E406" s="111" t="s">
        <v>629</v>
      </c>
      <c r="F406" s="131">
        <v>-817.95</v>
      </c>
      <c r="G406" s="135"/>
      <c r="H406" s="133" t="s">
        <v>66</v>
      </c>
      <c r="I406" s="133" t="s">
        <v>119</v>
      </c>
      <c r="J406" s="111"/>
      <c r="K406" s="135"/>
      <c r="L406" s="153">
        <f>F406</f>
        <v>-817.95</v>
      </c>
      <c r="M406" s="111" t="s">
        <v>630</v>
      </c>
    </row>
    <row r="407" spans="1:13" customFormat="1" x14ac:dyDescent="0.35">
      <c r="A407" s="109">
        <v>45810</v>
      </c>
      <c r="B407" s="111" t="s">
        <v>65</v>
      </c>
      <c r="C407" s="111" t="s">
        <v>77</v>
      </c>
      <c r="D407" s="111"/>
      <c r="E407" s="111" t="s">
        <v>631</v>
      </c>
      <c r="F407" s="153">
        <v>-615</v>
      </c>
      <c r="G407" s="133"/>
      <c r="H407" s="133" t="s">
        <v>66</v>
      </c>
      <c r="I407" s="133" t="s">
        <v>119</v>
      </c>
      <c r="J407" s="111"/>
      <c r="K407" s="135">
        <v>45813</v>
      </c>
      <c r="L407" s="153">
        <f>F407</f>
        <v>-615</v>
      </c>
      <c r="M407" s="111"/>
    </row>
    <row r="408" spans="1:13" customFormat="1" x14ac:dyDescent="0.35">
      <c r="A408" s="109">
        <v>45944</v>
      </c>
      <c r="B408" s="121" t="s">
        <v>65</v>
      </c>
      <c r="C408" s="121" t="s">
        <v>77</v>
      </c>
      <c r="D408" s="111"/>
      <c r="E408" s="121" t="s">
        <v>632</v>
      </c>
      <c r="F408" s="153">
        <v>-307.5</v>
      </c>
      <c r="G408" s="135">
        <f>A408+30</f>
        <v>45974</v>
      </c>
      <c r="H408" s="133" t="s">
        <v>66</v>
      </c>
      <c r="I408" s="134" t="s">
        <v>633</v>
      </c>
      <c r="J408" s="111"/>
      <c r="K408" s="135">
        <v>45953</v>
      </c>
      <c r="L408" s="111"/>
      <c r="M408" s="196"/>
    </row>
    <row r="409" spans="1:13" customFormat="1" x14ac:dyDescent="0.35">
      <c r="A409" s="109">
        <v>45629</v>
      </c>
      <c r="B409" s="111" t="s">
        <v>65</v>
      </c>
      <c r="C409" s="111" t="s">
        <v>77</v>
      </c>
      <c r="D409" s="111"/>
      <c r="E409" s="111" t="s">
        <v>634</v>
      </c>
      <c r="F409" s="149">
        <v>-817.95</v>
      </c>
      <c r="G409" s="135">
        <f>IF(OR(C409="Matosinhos",C409="Bolhão"),A409,A409+30)</f>
        <v>45659</v>
      </c>
      <c r="H409" s="134" t="s">
        <v>66</v>
      </c>
      <c r="I409" s="133" t="s">
        <v>119</v>
      </c>
      <c r="J409" s="111"/>
      <c r="K409" s="135">
        <v>45994</v>
      </c>
      <c r="L409" s="153">
        <f t="shared" ref="L409:L421" si="18">F409</f>
        <v>-817.95</v>
      </c>
      <c r="M409" s="111" t="s">
        <v>635</v>
      </c>
    </row>
    <row r="410" spans="1:13" customFormat="1" x14ac:dyDescent="0.35">
      <c r="A410" s="109">
        <v>45498</v>
      </c>
      <c r="B410" s="111" t="s">
        <v>65</v>
      </c>
      <c r="C410" s="111" t="s">
        <v>13</v>
      </c>
      <c r="D410" s="111"/>
      <c r="E410" s="111" t="s">
        <v>636</v>
      </c>
      <c r="F410" s="149">
        <v>-789.66</v>
      </c>
      <c r="G410" s="135"/>
      <c r="H410" s="133" t="s">
        <v>66</v>
      </c>
      <c r="I410" s="133"/>
      <c r="J410" s="111"/>
      <c r="K410" s="135">
        <v>45299</v>
      </c>
      <c r="L410" s="153">
        <f t="shared" si="18"/>
        <v>-789.66</v>
      </c>
      <c r="M410" s="111" t="s">
        <v>637</v>
      </c>
    </row>
    <row r="411" spans="1:13" x14ac:dyDescent="0.35">
      <c r="A411" s="109">
        <v>45352</v>
      </c>
      <c r="B411" s="121" t="s">
        <v>57</v>
      </c>
      <c r="C411" s="111" t="s">
        <v>22</v>
      </c>
      <c r="D411" s="111" t="s">
        <v>550</v>
      </c>
      <c r="E411" s="111" t="s">
        <v>638</v>
      </c>
      <c r="F411" s="149">
        <v>59.73</v>
      </c>
      <c r="G411" s="135">
        <f t="shared" ref="G411:G419" si="19">A411+30</f>
        <v>45382</v>
      </c>
      <c r="H411" s="133" t="s">
        <v>66</v>
      </c>
      <c r="I411" s="133" t="s">
        <v>135</v>
      </c>
      <c r="K411" s="135"/>
      <c r="L411" s="153">
        <f t="shared" si="18"/>
        <v>59.73</v>
      </c>
      <c r="M411" s="111">
        <v>517593637</v>
      </c>
    </row>
    <row r="412" spans="1:13" x14ac:dyDescent="0.35">
      <c r="A412" s="109">
        <v>45372</v>
      </c>
      <c r="B412" s="121" t="s">
        <v>57</v>
      </c>
      <c r="C412" s="111" t="s">
        <v>22</v>
      </c>
      <c r="D412" s="111" t="s">
        <v>550</v>
      </c>
      <c r="E412" s="111" t="s">
        <v>639</v>
      </c>
      <c r="F412" s="149">
        <v>29.5</v>
      </c>
      <c r="G412" s="135">
        <f t="shared" si="19"/>
        <v>45402</v>
      </c>
      <c r="H412" s="133" t="s">
        <v>66</v>
      </c>
      <c r="I412" s="133" t="s">
        <v>135</v>
      </c>
      <c r="K412" s="135"/>
      <c r="L412" s="153">
        <f t="shared" si="18"/>
        <v>29.5</v>
      </c>
      <c r="M412" s="111">
        <v>517593637</v>
      </c>
    </row>
    <row r="413" spans="1:13" s="76" customFormat="1" x14ac:dyDescent="0.35">
      <c r="A413" s="109">
        <v>45379</v>
      </c>
      <c r="B413" s="144" t="s">
        <v>57</v>
      </c>
      <c r="C413" s="145" t="s">
        <v>22</v>
      </c>
      <c r="D413" s="145" t="s">
        <v>550</v>
      </c>
      <c r="E413" s="145" t="s">
        <v>640</v>
      </c>
      <c r="F413" s="165">
        <v>58.92</v>
      </c>
      <c r="G413" s="138">
        <f t="shared" si="19"/>
        <v>45409</v>
      </c>
      <c r="H413" s="147" t="s">
        <v>66</v>
      </c>
      <c r="I413" s="147" t="s">
        <v>135</v>
      </c>
      <c r="J413" s="145"/>
      <c r="K413" s="135"/>
      <c r="L413" s="153">
        <f t="shared" si="18"/>
        <v>58.92</v>
      </c>
      <c r="M413" s="145">
        <v>517593637</v>
      </c>
    </row>
    <row r="414" spans="1:13" customFormat="1" x14ac:dyDescent="0.35">
      <c r="A414" s="109">
        <v>45420</v>
      </c>
      <c r="B414" s="121" t="s">
        <v>57</v>
      </c>
      <c r="C414" s="111" t="s">
        <v>22</v>
      </c>
      <c r="D414" s="111" t="s">
        <v>550</v>
      </c>
      <c r="E414" s="111" t="s">
        <v>641</v>
      </c>
      <c r="F414" s="149">
        <v>170.88</v>
      </c>
      <c r="G414" s="135">
        <f t="shared" si="19"/>
        <v>45450</v>
      </c>
      <c r="H414" s="133" t="s">
        <v>66</v>
      </c>
      <c r="I414" s="133" t="s">
        <v>135</v>
      </c>
      <c r="J414" s="111"/>
      <c r="K414" s="135"/>
      <c r="L414" s="153">
        <f t="shared" si="18"/>
        <v>170.88</v>
      </c>
      <c r="M414" s="111">
        <v>517593637</v>
      </c>
    </row>
    <row r="415" spans="1:13" customFormat="1" x14ac:dyDescent="0.35">
      <c r="A415" s="109">
        <v>45457</v>
      </c>
      <c r="B415" s="121" t="s">
        <v>57</v>
      </c>
      <c r="C415" s="111" t="s">
        <v>22</v>
      </c>
      <c r="D415" s="111" t="s">
        <v>550</v>
      </c>
      <c r="E415" s="111" t="s">
        <v>642</v>
      </c>
      <c r="F415" s="149">
        <v>147.24</v>
      </c>
      <c r="G415" s="135">
        <f t="shared" si="19"/>
        <v>45487</v>
      </c>
      <c r="H415" s="133" t="s">
        <v>66</v>
      </c>
      <c r="I415" s="133" t="s">
        <v>135</v>
      </c>
      <c r="J415" s="111"/>
      <c r="K415" s="135"/>
      <c r="L415" s="153">
        <f t="shared" si="18"/>
        <v>147.24</v>
      </c>
      <c r="M415" s="111">
        <v>517593637</v>
      </c>
    </row>
    <row r="416" spans="1:13" customFormat="1" x14ac:dyDescent="0.35">
      <c r="A416" s="109">
        <v>45346</v>
      </c>
      <c r="B416" s="121" t="s">
        <v>57</v>
      </c>
      <c r="C416" s="111" t="s">
        <v>22</v>
      </c>
      <c r="D416" s="111" t="s">
        <v>550</v>
      </c>
      <c r="E416" s="111" t="s">
        <v>643</v>
      </c>
      <c r="F416" s="149">
        <v>134.97</v>
      </c>
      <c r="G416" s="135">
        <f t="shared" si="19"/>
        <v>45376</v>
      </c>
      <c r="H416" s="133" t="s">
        <v>66</v>
      </c>
      <c r="I416" s="133" t="s">
        <v>135</v>
      </c>
      <c r="J416" s="111"/>
      <c r="K416" s="135"/>
      <c r="L416" s="153">
        <f t="shared" si="18"/>
        <v>134.97</v>
      </c>
      <c r="M416" s="111">
        <v>517593637</v>
      </c>
    </row>
    <row r="417" spans="1:13" customFormat="1" x14ac:dyDescent="0.35">
      <c r="A417" s="109">
        <v>45484</v>
      </c>
      <c r="B417" s="121" t="s">
        <v>57</v>
      </c>
      <c r="C417" s="111" t="s">
        <v>22</v>
      </c>
      <c r="D417" s="111" t="s">
        <v>550</v>
      </c>
      <c r="E417" s="111" t="s">
        <v>644</v>
      </c>
      <c r="F417" s="149">
        <v>139.74</v>
      </c>
      <c r="G417" s="135">
        <f t="shared" si="19"/>
        <v>45514</v>
      </c>
      <c r="H417" s="133" t="s">
        <v>66</v>
      </c>
      <c r="I417" s="133" t="s">
        <v>135</v>
      </c>
      <c r="J417" s="111"/>
      <c r="K417" s="135"/>
      <c r="L417" s="153">
        <f t="shared" si="18"/>
        <v>139.74</v>
      </c>
      <c r="M417" s="111">
        <v>517593637</v>
      </c>
    </row>
    <row r="418" spans="1:13" customFormat="1" x14ac:dyDescent="0.35">
      <c r="A418" s="109">
        <v>45392</v>
      </c>
      <c r="B418" s="121" t="s">
        <v>57</v>
      </c>
      <c r="C418" s="111" t="s">
        <v>22</v>
      </c>
      <c r="D418" s="111" t="s">
        <v>550</v>
      </c>
      <c r="E418" s="111" t="s">
        <v>645</v>
      </c>
      <c r="F418" s="149">
        <v>150.5</v>
      </c>
      <c r="G418" s="135">
        <f t="shared" si="19"/>
        <v>45422</v>
      </c>
      <c r="H418" s="133" t="s">
        <v>66</v>
      </c>
      <c r="I418" s="133" t="s">
        <v>135</v>
      </c>
      <c r="J418" s="111"/>
      <c r="K418" s="135"/>
      <c r="L418" s="153">
        <f t="shared" si="18"/>
        <v>150.5</v>
      </c>
      <c r="M418" s="111">
        <v>517593637</v>
      </c>
    </row>
    <row r="419" spans="1:13" customFormat="1" x14ac:dyDescent="0.35">
      <c r="A419" s="109">
        <v>45399</v>
      </c>
      <c r="B419" s="121" t="s">
        <v>57</v>
      </c>
      <c r="C419" s="111" t="s">
        <v>22</v>
      </c>
      <c r="D419" s="111" t="s">
        <v>550</v>
      </c>
      <c r="E419" s="111" t="s">
        <v>646</v>
      </c>
      <c r="F419" s="149">
        <v>101.2</v>
      </c>
      <c r="G419" s="135">
        <f t="shared" si="19"/>
        <v>45429</v>
      </c>
      <c r="H419" s="133" t="s">
        <v>66</v>
      </c>
      <c r="I419" s="133" t="s">
        <v>135</v>
      </c>
      <c r="J419" s="111"/>
      <c r="K419" s="135"/>
      <c r="L419" s="153">
        <f t="shared" si="18"/>
        <v>101.2</v>
      </c>
      <c r="M419" s="111">
        <v>517593637</v>
      </c>
    </row>
    <row r="420" spans="1:13" customFormat="1" x14ac:dyDescent="0.35">
      <c r="A420" s="109">
        <v>45653</v>
      </c>
      <c r="B420" s="121" t="s">
        <v>57</v>
      </c>
      <c r="C420" s="111" t="s">
        <v>22</v>
      </c>
      <c r="D420" s="111" t="s">
        <v>550</v>
      </c>
      <c r="E420" s="111" t="s">
        <v>647</v>
      </c>
      <c r="F420" s="149">
        <v>162.52000000000001</v>
      </c>
      <c r="G420" s="135">
        <f>IF(OR(C420="Matosinhos",C420="Bolhão"),A420,A420+30)</f>
        <v>45683</v>
      </c>
      <c r="H420" s="133" t="s">
        <v>66</v>
      </c>
      <c r="I420" s="133" t="s">
        <v>135</v>
      </c>
      <c r="J420" s="111"/>
      <c r="K420" s="135"/>
      <c r="L420" s="153">
        <f t="shared" si="18"/>
        <v>162.52000000000001</v>
      </c>
      <c r="M420" s="111">
        <v>517593637</v>
      </c>
    </row>
    <row r="421" spans="1:13" customFormat="1" x14ac:dyDescent="0.35">
      <c r="A421" s="109">
        <v>45653</v>
      </c>
      <c r="B421" s="121" t="s">
        <v>57</v>
      </c>
      <c r="C421" s="111" t="s">
        <v>22</v>
      </c>
      <c r="D421" s="111" t="s">
        <v>550</v>
      </c>
      <c r="E421" s="111" t="s">
        <v>648</v>
      </c>
      <c r="F421" s="149">
        <v>4.4400000000000004</v>
      </c>
      <c r="G421" s="135">
        <f>IF(OR(C421="Matosinhos",C421="Bolhão"),A421,A421+30)</f>
        <v>45683</v>
      </c>
      <c r="H421" s="133" t="s">
        <v>66</v>
      </c>
      <c r="I421" s="133" t="s">
        <v>135</v>
      </c>
      <c r="J421" s="111"/>
      <c r="K421" s="135"/>
      <c r="L421" s="153">
        <f t="shared" si="18"/>
        <v>4.4400000000000004</v>
      </c>
      <c r="M421" s="111">
        <v>517593637</v>
      </c>
    </row>
    <row r="422" spans="1:13" customFormat="1" x14ac:dyDescent="0.35">
      <c r="A422" s="109">
        <v>45903</v>
      </c>
      <c r="B422" s="121" t="s">
        <v>57</v>
      </c>
      <c r="C422" s="111" t="s">
        <v>22</v>
      </c>
      <c r="D422" s="111" t="s">
        <v>550</v>
      </c>
      <c r="E422" s="121" t="s">
        <v>649</v>
      </c>
      <c r="F422" s="205">
        <v>131.05000000000001</v>
      </c>
      <c r="G422" s="135">
        <f>A422+30</f>
        <v>45933</v>
      </c>
      <c r="H422" s="134" t="s">
        <v>66</v>
      </c>
      <c r="I422" s="133" t="s">
        <v>135</v>
      </c>
      <c r="J422" s="111"/>
      <c r="K422" s="135">
        <v>45939</v>
      </c>
      <c r="L422" s="111"/>
      <c r="M422" s="186" t="s">
        <v>650</v>
      </c>
    </row>
    <row r="423" spans="1:13" customFormat="1" x14ac:dyDescent="0.35">
      <c r="A423" s="109">
        <v>45903</v>
      </c>
      <c r="B423" s="121" t="s">
        <v>57</v>
      </c>
      <c r="C423" s="111" t="s">
        <v>22</v>
      </c>
      <c r="D423" s="111" t="s">
        <v>550</v>
      </c>
      <c r="E423" s="121" t="s">
        <v>651</v>
      </c>
      <c r="F423" s="205">
        <v>5.92</v>
      </c>
      <c r="G423" s="135">
        <f>A423+30</f>
        <v>45933</v>
      </c>
      <c r="H423" s="134" t="s">
        <v>66</v>
      </c>
      <c r="I423" s="133" t="s">
        <v>135</v>
      </c>
      <c r="J423" s="111"/>
      <c r="K423" s="135">
        <v>45939</v>
      </c>
      <c r="L423" s="111"/>
      <c r="M423" s="196"/>
    </row>
    <row r="424" spans="1:13" customFormat="1" x14ac:dyDescent="0.35">
      <c r="A424" s="109">
        <v>45912</v>
      </c>
      <c r="B424" s="121" t="s">
        <v>57</v>
      </c>
      <c r="C424" s="111" t="s">
        <v>22</v>
      </c>
      <c r="D424" s="111" t="s">
        <v>550</v>
      </c>
      <c r="E424" s="121" t="s">
        <v>652</v>
      </c>
      <c r="F424" s="205">
        <v>575.41999999999996</v>
      </c>
      <c r="G424" s="135">
        <f>A424+30</f>
        <v>45942</v>
      </c>
      <c r="H424" s="134" t="s">
        <v>66</v>
      </c>
      <c r="I424" s="133" t="s">
        <v>135</v>
      </c>
      <c r="J424" s="111"/>
      <c r="K424" s="135">
        <v>45939</v>
      </c>
      <c r="L424" s="111"/>
      <c r="M424" s="196"/>
    </row>
    <row r="425" spans="1:13" customFormat="1" x14ac:dyDescent="0.35">
      <c r="A425" s="109">
        <v>45918</v>
      </c>
      <c r="B425" s="121" t="s">
        <v>57</v>
      </c>
      <c r="C425" s="121" t="s">
        <v>22</v>
      </c>
      <c r="D425" s="111" t="s">
        <v>550</v>
      </c>
      <c r="E425" s="111"/>
      <c r="F425" s="153">
        <v>-129.75</v>
      </c>
      <c r="G425" s="135">
        <f>A425+30</f>
        <v>45948</v>
      </c>
      <c r="H425" s="134" t="s">
        <v>66</v>
      </c>
      <c r="I425" s="133" t="s">
        <v>135</v>
      </c>
      <c r="J425" s="111"/>
      <c r="K425" s="135">
        <v>45939</v>
      </c>
      <c r="L425" s="111"/>
      <c r="M425" s="196"/>
    </row>
    <row r="426" spans="1:13" customFormat="1" x14ac:dyDescent="0.35">
      <c r="A426" s="109">
        <v>45922</v>
      </c>
      <c r="B426" s="111" t="s">
        <v>57</v>
      </c>
      <c r="C426" s="111" t="s">
        <v>22</v>
      </c>
      <c r="D426" s="111" t="s">
        <v>550</v>
      </c>
      <c r="E426" s="121" t="s">
        <v>653</v>
      </c>
      <c r="F426" s="153">
        <v>67.44</v>
      </c>
      <c r="G426" s="133"/>
      <c r="H426" s="134" t="s">
        <v>66</v>
      </c>
      <c r="I426" s="133" t="s">
        <v>135</v>
      </c>
      <c r="J426" s="111"/>
      <c r="K426" s="135">
        <v>45939</v>
      </c>
      <c r="L426" s="111"/>
      <c r="M426" s="196"/>
    </row>
    <row r="427" spans="1:13" customFormat="1" x14ac:dyDescent="0.35">
      <c r="A427" s="109">
        <v>45973</v>
      </c>
      <c r="B427" s="111" t="s">
        <v>57</v>
      </c>
      <c r="C427" s="111" t="s">
        <v>22</v>
      </c>
      <c r="D427" s="111" t="s">
        <v>550</v>
      </c>
      <c r="E427" s="111" t="s">
        <v>654</v>
      </c>
      <c r="F427" s="153">
        <v>69.849999999999994</v>
      </c>
      <c r="G427" s="135">
        <v>46003</v>
      </c>
      <c r="H427" s="133" t="s">
        <v>66</v>
      </c>
      <c r="I427" s="133" t="s">
        <v>135</v>
      </c>
      <c r="J427" s="111"/>
      <c r="K427" s="135">
        <v>46002</v>
      </c>
      <c r="L427" s="111"/>
      <c r="M427" s="196"/>
    </row>
    <row r="428" spans="1:13" customFormat="1" x14ac:dyDescent="0.35">
      <c r="A428" s="109">
        <v>45937</v>
      </c>
      <c r="B428" s="121" t="s">
        <v>57</v>
      </c>
      <c r="C428" s="111" t="s">
        <v>22</v>
      </c>
      <c r="D428" s="111" t="s">
        <v>550</v>
      </c>
      <c r="E428" s="121" t="s">
        <v>655</v>
      </c>
      <c r="F428" s="153">
        <v>96.34</v>
      </c>
      <c r="G428" s="135">
        <f>A428+30</f>
        <v>45967</v>
      </c>
      <c r="H428" s="134" t="s">
        <v>66</v>
      </c>
      <c r="I428" s="133" t="s">
        <v>135</v>
      </c>
      <c r="J428" s="111"/>
      <c r="K428" s="135">
        <v>45971</v>
      </c>
      <c r="L428" s="111"/>
      <c r="M428" s="196"/>
    </row>
    <row r="429" spans="1:13" customFormat="1" x14ac:dyDescent="0.35">
      <c r="A429" s="109">
        <v>45952</v>
      </c>
      <c r="B429" s="121" t="s">
        <v>57</v>
      </c>
      <c r="C429" s="111" t="s">
        <v>22</v>
      </c>
      <c r="D429" s="111" t="s">
        <v>550</v>
      </c>
      <c r="E429" s="121" t="s">
        <v>656</v>
      </c>
      <c r="F429" s="153">
        <v>92.35</v>
      </c>
      <c r="G429" s="135">
        <f>A429+30</f>
        <v>45982</v>
      </c>
      <c r="H429" s="134" t="s">
        <v>66</v>
      </c>
      <c r="I429" s="133" t="s">
        <v>135</v>
      </c>
      <c r="J429" s="111"/>
      <c r="K429" s="135">
        <v>45971</v>
      </c>
      <c r="L429" s="111"/>
      <c r="M429" s="196"/>
    </row>
    <row r="430" spans="1:13" customFormat="1" x14ac:dyDescent="0.35">
      <c r="A430" s="109">
        <v>45973</v>
      </c>
      <c r="B430" s="111" t="s">
        <v>57</v>
      </c>
      <c r="C430" s="111" t="s">
        <v>22</v>
      </c>
      <c r="D430" s="111" t="s">
        <v>550</v>
      </c>
      <c r="E430" s="111" t="s">
        <v>657</v>
      </c>
      <c r="F430" s="153">
        <v>63.7</v>
      </c>
      <c r="G430" s="135">
        <v>46003</v>
      </c>
      <c r="H430" s="133" t="s">
        <v>66</v>
      </c>
      <c r="I430" s="133" t="s">
        <v>135</v>
      </c>
      <c r="J430" s="111"/>
      <c r="K430" s="135">
        <v>46002</v>
      </c>
      <c r="L430" s="111"/>
      <c r="M430" s="196"/>
    </row>
    <row r="431" spans="1:13" customFormat="1" x14ac:dyDescent="0.35">
      <c r="A431" s="109">
        <v>45184</v>
      </c>
      <c r="B431" s="111" t="s">
        <v>65</v>
      </c>
      <c r="C431" s="111" t="s">
        <v>13</v>
      </c>
      <c r="D431" s="111"/>
      <c r="E431" s="111" t="s">
        <v>658</v>
      </c>
      <c r="F431" s="149">
        <v>-89.18</v>
      </c>
      <c r="G431" s="135"/>
      <c r="H431" s="133" t="s">
        <v>66</v>
      </c>
      <c r="I431" s="133"/>
      <c r="J431" s="111"/>
      <c r="K431" s="135"/>
      <c r="L431" s="153">
        <f t="shared" ref="L431:L446" si="20">F431</f>
        <v>-89.18</v>
      </c>
      <c r="M431" s="111" t="s">
        <v>659</v>
      </c>
    </row>
    <row r="432" spans="1:13" customFormat="1" x14ac:dyDescent="0.35">
      <c r="A432" s="109">
        <v>45419</v>
      </c>
      <c r="B432" s="111" t="s">
        <v>65</v>
      </c>
      <c r="C432" s="111" t="s">
        <v>13</v>
      </c>
      <c r="D432" s="111"/>
      <c r="E432" s="111" t="s">
        <v>660</v>
      </c>
      <c r="F432" s="149">
        <v>-526.44000000000005</v>
      </c>
      <c r="G432" s="135"/>
      <c r="H432" s="133" t="s">
        <v>66</v>
      </c>
      <c r="I432" s="133" t="s">
        <v>170</v>
      </c>
      <c r="J432" s="111"/>
      <c r="K432" s="135"/>
      <c r="L432" s="153">
        <f t="shared" si="20"/>
        <v>-526.44000000000005</v>
      </c>
      <c r="M432" s="111" t="s">
        <v>661</v>
      </c>
    </row>
    <row r="433" spans="1:13" customFormat="1" x14ac:dyDescent="0.35">
      <c r="A433" s="109">
        <v>45107</v>
      </c>
      <c r="B433" s="111" t="s">
        <v>65</v>
      </c>
      <c r="C433" s="111" t="s">
        <v>78</v>
      </c>
      <c r="D433" s="111"/>
      <c r="E433" s="111">
        <v>37</v>
      </c>
      <c r="F433" s="149">
        <v>-2233.25</v>
      </c>
      <c r="G433" s="135"/>
      <c r="H433" s="133" t="s">
        <v>66</v>
      </c>
      <c r="I433" s="133" t="s">
        <v>119</v>
      </c>
      <c r="J433" s="111"/>
      <c r="K433" s="135"/>
      <c r="L433" s="153">
        <f t="shared" si="20"/>
        <v>-2233.25</v>
      </c>
      <c r="M433" s="111" t="s">
        <v>662</v>
      </c>
    </row>
    <row r="434" spans="1:13" customFormat="1" x14ac:dyDescent="0.35">
      <c r="A434" s="109">
        <v>45107</v>
      </c>
      <c r="B434" s="111" t="s">
        <v>65</v>
      </c>
      <c r="C434" s="111" t="s">
        <v>78</v>
      </c>
      <c r="D434" s="111"/>
      <c r="E434" s="111">
        <v>47</v>
      </c>
      <c r="F434" s="149">
        <v>-6261.8</v>
      </c>
      <c r="G434" s="135"/>
      <c r="H434" s="133" t="s">
        <v>66</v>
      </c>
      <c r="I434" s="133" t="s">
        <v>119</v>
      </c>
      <c r="J434" s="111"/>
      <c r="K434" s="135"/>
      <c r="L434" s="153">
        <f t="shared" si="20"/>
        <v>-6261.8</v>
      </c>
      <c r="M434" s="111" t="s">
        <v>663</v>
      </c>
    </row>
    <row r="435" spans="1:13" customFormat="1" x14ac:dyDescent="0.35">
      <c r="A435" s="109">
        <v>45107</v>
      </c>
      <c r="B435" s="111" t="s">
        <v>65</v>
      </c>
      <c r="C435" s="111" t="s">
        <v>78</v>
      </c>
      <c r="D435" s="111"/>
      <c r="E435" s="111">
        <v>48</v>
      </c>
      <c r="F435" s="149">
        <v>-761.37</v>
      </c>
      <c r="G435" s="135"/>
      <c r="H435" s="133" t="s">
        <v>66</v>
      </c>
      <c r="I435" s="133" t="s">
        <v>119</v>
      </c>
      <c r="J435" s="111"/>
      <c r="K435" s="135"/>
      <c r="L435" s="153">
        <f t="shared" si="20"/>
        <v>-761.37</v>
      </c>
      <c r="M435" s="111" t="s">
        <v>664</v>
      </c>
    </row>
    <row r="436" spans="1:13" customFormat="1" x14ac:dyDescent="0.35">
      <c r="A436" s="109">
        <v>45121</v>
      </c>
      <c r="B436" s="111" t="s">
        <v>65</v>
      </c>
      <c r="C436" s="111" t="s">
        <v>78</v>
      </c>
      <c r="D436" s="111"/>
      <c r="E436" s="111">
        <v>52</v>
      </c>
      <c r="F436" s="149">
        <v>-1800</v>
      </c>
      <c r="G436" s="135"/>
      <c r="H436" s="133" t="s">
        <v>66</v>
      </c>
      <c r="I436" s="133" t="s">
        <v>119</v>
      </c>
      <c r="J436" s="111"/>
      <c r="K436" s="135"/>
      <c r="L436" s="153">
        <f t="shared" si="20"/>
        <v>-1800</v>
      </c>
      <c r="M436" s="111" t="s">
        <v>665</v>
      </c>
    </row>
    <row r="437" spans="1:13" customFormat="1" x14ac:dyDescent="0.35">
      <c r="A437" s="109">
        <v>45138</v>
      </c>
      <c r="B437" s="111" t="s">
        <v>65</v>
      </c>
      <c r="C437" s="111" t="s">
        <v>78</v>
      </c>
      <c r="D437" s="111"/>
      <c r="E437" s="111" t="s">
        <v>666</v>
      </c>
      <c r="F437" s="149">
        <v>-9025.51</v>
      </c>
      <c r="G437" s="135"/>
      <c r="H437" s="133" t="s">
        <v>66</v>
      </c>
      <c r="I437" s="133" t="s">
        <v>119</v>
      </c>
      <c r="J437" s="111"/>
      <c r="K437" s="135"/>
      <c r="L437" s="153">
        <f t="shared" si="20"/>
        <v>-9025.51</v>
      </c>
      <c r="M437" s="111" t="s">
        <v>663</v>
      </c>
    </row>
    <row r="438" spans="1:13" customFormat="1" x14ac:dyDescent="0.35">
      <c r="A438" s="109">
        <v>45169</v>
      </c>
      <c r="B438" s="111" t="s">
        <v>65</v>
      </c>
      <c r="C438" s="111" t="s">
        <v>78</v>
      </c>
      <c r="D438" s="111"/>
      <c r="E438" s="111" t="s">
        <v>616</v>
      </c>
      <c r="F438" s="149">
        <v>-1235.1600000000001</v>
      </c>
      <c r="G438" s="135"/>
      <c r="H438" s="133" t="s">
        <v>66</v>
      </c>
      <c r="I438" s="133" t="s">
        <v>119</v>
      </c>
      <c r="J438" s="111"/>
      <c r="K438" s="135"/>
      <c r="L438" s="153">
        <f t="shared" si="20"/>
        <v>-1235.1600000000001</v>
      </c>
      <c r="M438" s="111" t="s">
        <v>664</v>
      </c>
    </row>
    <row r="439" spans="1:13" customFormat="1" x14ac:dyDescent="0.35">
      <c r="A439" s="109">
        <v>45199</v>
      </c>
      <c r="B439" s="111" t="s">
        <v>65</v>
      </c>
      <c r="C439" s="111" t="s">
        <v>78</v>
      </c>
      <c r="D439" s="111"/>
      <c r="E439" s="111" t="s">
        <v>667</v>
      </c>
      <c r="F439" s="149">
        <v>-999.46</v>
      </c>
      <c r="G439" s="135"/>
      <c r="H439" s="133" t="s">
        <v>66</v>
      </c>
      <c r="I439" s="133" t="s">
        <v>119</v>
      </c>
      <c r="J439" s="111"/>
      <c r="K439" s="135"/>
      <c r="L439" s="153">
        <f t="shared" si="20"/>
        <v>-999.46</v>
      </c>
      <c r="M439" s="111" t="s">
        <v>664</v>
      </c>
    </row>
    <row r="440" spans="1:13" customFormat="1" x14ac:dyDescent="0.35">
      <c r="A440" s="109">
        <v>45199</v>
      </c>
      <c r="B440" s="111" t="s">
        <v>65</v>
      </c>
      <c r="C440" s="111" t="s">
        <v>78</v>
      </c>
      <c r="D440" s="111"/>
      <c r="E440" s="111" t="s">
        <v>668</v>
      </c>
      <c r="F440" s="149">
        <v>-7671.22</v>
      </c>
      <c r="G440" s="135"/>
      <c r="H440" s="133" t="s">
        <v>66</v>
      </c>
      <c r="I440" s="133" t="s">
        <v>119</v>
      </c>
      <c r="J440" s="111"/>
      <c r="K440" s="135"/>
      <c r="L440" s="153">
        <f t="shared" si="20"/>
        <v>-7671.22</v>
      </c>
      <c r="M440" s="111" t="s">
        <v>669</v>
      </c>
    </row>
    <row r="441" spans="1:13" customFormat="1" x14ac:dyDescent="0.35">
      <c r="A441" s="109">
        <v>45232</v>
      </c>
      <c r="B441" s="111" t="s">
        <v>65</v>
      </c>
      <c r="C441" s="111" t="s">
        <v>78</v>
      </c>
      <c r="D441" s="111"/>
      <c r="E441" s="111" t="s">
        <v>670</v>
      </c>
      <c r="F441" s="149">
        <v>-1800</v>
      </c>
      <c r="G441" s="135"/>
      <c r="H441" s="133" t="s">
        <v>66</v>
      </c>
      <c r="I441" s="133" t="s">
        <v>671</v>
      </c>
      <c r="J441" s="111"/>
      <c r="K441" s="135"/>
      <c r="L441" s="153">
        <f t="shared" si="20"/>
        <v>-1800</v>
      </c>
      <c r="M441" s="111" t="s">
        <v>672</v>
      </c>
    </row>
    <row r="442" spans="1:13" customFormat="1" x14ac:dyDescent="0.35">
      <c r="A442" s="109">
        <v>45260</v>
      </c>
      <c r="B442" s="111" t="s">
        <v>65</v>
      </c>
      <c r="C442" s="111" t="s">
        <v>78</v>
      </c>
      <c r="D442" s="111"/>
      <c r="E442" s="111" t="s">
        <v>673</v>
      </c>
      <c r="F442" s="149">
        <v>-4090.47</v>
      </c>
      <c r="G442" s="135"/>
      <c r="H442" s="133" t="s">
        <v>66</v>
      </c>
      <c r="I442" s="133" t="s">
        <v>119</v>
      </c>
      <c r="J442" s="160"/>
      <c r="K442" s="135"/>
      <c r="L442" s="153">
        <f t="shared" si="20"/>
        <v>-4090.47</v>
      </c>
      <c r="M442" s="111" t="s">
        <v>674</v>
      </c>
    </row>
    <row r="443" spans="1:13" customFormat="1" x14ac:dyDescent="0.35">
      <c r="A443" s="109">
        <v>45260</v>
      </c>
      <c r="B443" s="111" t="s">
        <v>65</v>
      </c>
      <c r="C443" s="111" t="s">
        <v>78</v>
      </c>
      <c r="D443" s="111"/>
      <c r="E443" s="111" t="s">
        <v>675</v>
      </c>
      <c r="F443" s="149">
        <v>-497.4</v>
      </c>
      <c r="G443" s="135"/>
      <c r="H443" s="133" t="s">
        <v>66</v>
      </c>
      <c r="I443" s="133" t="s">
        <v>119</v>
      </c>
      <c r="J443" s="160"/>
      <c r="K443" s="135"/>
      <c r="L443" s="153">
        <f t="shared" si="20"/>
        <v>-497.4</v>
      </c>
      <c r="M443" s="111" t="s">
        <v>676</v>
      </c>
    </row>
    <row r="444" spans="1:13" customFormat="1" x14ac:dyDescent="0.35">
      <c r="A444" s="109">
        <v>45291</v>
      </c>
      <c r="B444" s="111" t="s">
        <v>65</v>
      </c>
      <c r="C444" s="111" t="s">
        <v>78</v>
      </c>
      <c r="D444" s="111"/>
      <c r="E444" s="111" t="s">
        <v>677</v>
      </c>
      <c r="F444" s="149">
        <v>-1800</v>
      </c>
      <c r="G444" s="135"/>
      <c r="H444" s="133" t="s">
        <v>66</v>
      </c>
      <c r="I444" s="133" t="s">
        <v>671</v>
      </c>
      <c r="J444" s="160"/>
      <c r="K444" s="135"/>
      <c r="L444" s="153">
        <f t="shared" si="20"/>
        <v>-1800</v>
      </c>
      <c r="M444" s="111" t="s">
        <v>678</v>
      </c>
    </row>
    <row r="445" spans="1:13" customFormat="1" x14ac:dyDescent="0.35">
      <c r="A445" s="109">
        <v>45324</v>
      </c>
      <c r="B445" s="111" t="s">
        <v>65</v>
      </c>
      <c r="C445" s="111" t="s">
        <v>78</v>
      </c>
      <c r="D445" s="111"/>
      <c r="E445" s="111" t="s">
        <v>679</v>
      </c>
      <c r="F445" s="149">
        <v>-2720.12</v>
      </c>
      <c r="G445" s="135"/>
      <c r="H445" s="133" t="s">
        <v>66</v>
      </c>
      <c r="I445" s="133" t="s">
        <v>119</v>
      </c>
      <c r="J445" s="160">
        <v>45496</v>
      </c>
      <c r="K445" s="135"/>
      <c r="L445" s="153">
        <f t="shared" si="20"/>
        <v>-2720.12</v>
      </c>
      <c r="M445" s="111" t="s">
        <v>680</v>
      </c>
    </row>
    <row r="446" spans="1:13" customFormat="1" x14ac:dyDescent="0.35">
      <c r="A446" s="109">
        <v>45351</v>
      </c>
      <c r="B446" s="111" t="s">
        <v>65</v>
      </c>
      <c r="C446" s="111" t="s">
        <v>78</v>
      </c>
      <c r="D446" s="111"/>
      <c r="E446" s="111" t="s">
        <v>681</v>
      </c>
      <c r="F446" s="149">
        <v>-6708</v>
      </c>
      <c r="G446" s="135"/>
      <c r="H446" s="133" t="s">
        <v>66</v>
      </c>
      <c r="I446" s="133" t="s">
        <v>119</v>
      </c>
      <c r="J446" s="160">
        <v>45496</v>
      </c>
      <c r="K446" s="135"/>
      <c r="L446" s="153">
        <f t="shared" si="20"/>
        <v>-6708</v>
      </c>
      <c r="M446" s="111" t="s">
        <v>682</v>
      </c>
    </row>
    <row r="447" spans="1:13" customFormat="1" x14ac:dyDescent="0.35">
      <c r="A447" s="109">
        <v>45990</v>
      </c>
      <c r="B447" s="121" t="s">
        <v>57</v>
      </c>
      <c r="C447" s="111" t="s">
        <v>22</v>
      </c>
      <c r="D447" s="111" t="s">
        <v>550</v>
      </c>
      <c r="E447" s="218" t="s">
        <v>683</v>
      </c>
      <c r="F447" s="153">
        <v>35.1</v>
      </c>
      <c r="G447" s="135">
        <v>46020</v>
      </c>
      <c r="H447" s="133" t="s">
        <v>66</v>
      </c>
      <c r="I447" s="133" t="s">
        <v>135</v>
      </c>
      <c r="J447" s="111"/>
      <c r="K447" s="135">
        <v>46002</v>
      </c>
      <c r="L447" s="111"/>
      <c r="M447" s="196"/>
    </row>
    <row r="448" spans="1:13" customFormat="1" x14ac:dyDescent="0.35">
      <c r="A448" s="109">
        <v>45351</v>
      </c>
      <c r="B448" s="111" t="s">
        <v>65</v>
      </c>
      <c r="C448" s="111" t="s">
        <v>78</v>
      </c>
      <c r="D448" s="111"/>
      <c r="E448" s="111" t="s">
        <v>383</v>
      </c>
      <c r="F448" s="149">
        <v>-1019.54</v>
      </c>
      <c r="G448" s="135"/>
      <c r="H448" s="133" t="s">
        <v>66</v>
      </c>
      <c r="I448" s="133" t="s">
        <v>119</v>
      </c>
      <c r="J448" s="160">
        <v>45496</v>
      </c>
      <c r="K448" s="135"/>
      <c r="L448" s="153">
        <f t="shared" ref="L448:L455" si="21">F448</f>
        <v>-1019.54</v>
      </c>
      <c r="M448" s="111" t="s">
        <v>684</v>
      </c>
    </row>
    <row r="449" spans="1:13" customFormat="1" x14ac:dyDescent="0.35">
      <c r="A449" s="109">
        <v>45382</v>
      </c>
      <c r="B449" s="111" t="s">
        <v>65</v>
      </c>
      <c r="C449" s="111" t="s">
        <v>78</v>
      </c>
      <c r="D449" s="111"/>
      <c r="E449" s="111" t="s">
        <v>359</v>
      </c>
      <c r="F449" s="149">
        <v>-5211.5600000000004</v>
      </c>
      <c r="G449" s="135"/>
      <c r="H449" s="133" t="s">
        <v>66</v>
      </c>
      <c r="I449" s="133" t="s">
        <v>119</v>
      </c>
      <c r="J449" s="160"/>
      <c r="K449" s="135"/>
      <c r="L449" s="153">
        <f t="shared" si="21"/>
        <v>-5211.5600000000004</v>
      </c>
      <c r="M449" s="111" t="s">
        <v>685</v>
      </c>
    </row>
    <row r="450" spans="1:13" customFormat="1" x14ac:dyDescent="0.35">
      <c r="A450" s="109">
        <v>45382</v>
      </c>
      <c r="B450" s="111" t="s">
        <v>65</v>
      </c>
      <c r="C450" s="111" t="s">
        <v>78</v>
      </c>
      <c r="D450" s="111"/>
      <c r="E450" s="111" t="s">
        <v>686</v>
      </c>
      <c r="F450" s="149">
        <v>-291.57</v>
      </c>
      <c r="G450" s="135"/>
      <c r="H450" s="133" t="s">
        <v>66</v>
      </c>
      <c r="I450" s="133" t="s">
        <v>119</v>
      </c>
      <c r="J450" s="160"/>
      <c r="K450" s="135"/>
      <c r="L450" s="153">
        <f t="shared" si="21"/>
        <v>-291.57</v>
      </c>
      <c r="M450" s="111" t="s">
        <v>687</v>
      </c>
    </row>
    <row r="451" spans="1:13" customFormat="1" x14ac:dyDescent="0.35">
      <c r="A451" s="109">
        <v>45398</v>
      </c>
      <c r="B451" s="111" t="s">
        <v>65</v>
      </c>
      <c r="C451" s="111" t="s">
        <v>78</v>
      </c>
      <c r="D451" s="111"/>
      <c r="E451" s="111" t="s">
        <v>688</v>
      </c>
      <c r="F451" s="149">
        <v>-1800</v>
      </c>
      <c r="G451" s="135"/>
      <c r="H451" s="133" t="s">
        <v>66</v>
      </c>
      <c r="I451" s="133" t="s">
        <v>119</v>
      </c>
      <c r="J451" s="160"/>
      <c r="K451" s="135"/>
      <c r="L451" s="153">
        <f t="shared" si="21"/>
        <v>-1800</v>
      </c>
      <c r="M451" s="111" t="s">
        <v>665</v>
      </c>
    </row>
    <row r="452" spans="1:13" customFormat="1" x14ac:dyDescent="0.35">
      <c r="A452" s="109">
        <v>45398</v>
      </c>
      <c r="B452" s="111" t="s">
        <v>65</v>
      </c>
      <c r="C452" s="111" t="s">
        <v>78</v>
      </c>
      <c r="D452" s="111"/>
      <c r="E452" s="111" t="s">
        <v>689</v>
      </c>
      <c r="F452" s="149">
        <v>-187.2</v>
      </c>
      <c r="G452" s="135"/>
      <c r="H452" s="133" t="s">
        <v>66</v>
      </c>
      <c r="I452" s="133" t="s">
        <v>119</v>
      </c>
      <c r="J452" s="160"/>
      <c r="K452" s="135"/>
      <c r="L452" s="153">
        <f t="shared" si="21"/>
        <v>-187.2</v>
      </c>
      <c r="M452" s="111" t="s">
        <v>690</v>
      </c>
    </row>
    <row r="453" spans="1:13" customFormat="1" x14ac:dyDescent="0.35">
      <c r="A453" s="109">
        <v>45412</v>
      </c>
      <c r="B453" s="111" t="s">
        <v>65</v>
      </c>
      <c r="C453" s="111" t="s">
        <v>78</v>
      </c>
      <c r="D453" s="111"/>
      <c r="E453" s="111" t="s">
        <v>691</v>
      </c>
      <c r="F453" s="149">
        <v>-1037.48</v>
      </c>
      <c r="G453" s="135"/>
      <c r="H453" s="133" t="s">
        <v>66</v>
      </c>
      <c r="I453" s="133" t="s">
        <v>119</v>
      </c>
      <c r="J453" s="160"/>
      <c r="K453" s="135"/>
      <c r="L453" s="153">
        <f t="shared" si="21"/>
        <v>-1037.48</v>
      </c>
      <c r="M453" s="111" t="s">
        <v>664</v>
      </c>
    </row>
    <row r="454" spans="1:13" customFormat="1" x14ac:dyDescent="0.35">
      <c r="A454" s="109">
        <v>45412</v>
      </c>
      <c r="B454" s="111" t="s">
        <v>65</v>
      </c>
      <c r="C454" s="111" t="s">
        <v>78</v>
      </c>
      <c r="D454" s="111"/>
      <c r="E454" s="111" t="s">
        <v>411</v>
      </c>
      <c r="F454" s="149">
        <v>-9043.92</v>
      </c>
      <c r="G454" s="135"/>
      <c r="H454" s="133" t="s">
        <v>66</v>
      </c>
      <c r="I454" s="133" t="s">
        <v>119</v>
      </c>
      <c r="J454" s="160"/>
      <c r="K454" s="135"/>
      <c r="L454" s="153">
        <f t="shared" si="21"/>
        <v>-9043.92</v>
      </c>
      <c r="M454" s="111" t="s">
        <v>692</v>
      </c>
    </row>
    <row r="455" spans="1:13" customFormat="1" x14ac:dyDescent="0.35">
      <c r="A455" s="109">
        <v>45443</v>
      </c>
      <c r="B455" s="111" t="s">
        <v>65</v>
      </c>
      <c r="C455" s="111" t="s">
        <v>78</v>
      </c>
      <c r="D455" s="111"/>
      <c r="E455" s="111" t="s">
        <v>693</v>
      </c>
      <c r="F455" s="149">
        <v>-14632</v>
      </c>
      <c r="G455" s="135"/>
      <c r="H455" s="133" t="s">
        <v>561</v>
      </c>
      <c r="I455" s="133" t="s">
        <v>119</v>
      </c>
      <c r="J455" s="160">
        <v>45531</v>
      </c>
      <c r="K455" s="135">
        <v>45634</v>
      </c>
      <c r="L455" s="153">
        <f t="shared" si="21"/>
        <v>-14632</v>
      </c>
      <c r="M455" s="111" t="s">
        <v>694</v>
      </c>
    </row>
    <row r="456" spans="1:13" customFormat="1" x14ac:dyDescent="0.35">
      <c r="A456" s="109">
        <v>45956</v>
      </c>
      <c r="B456" s="121" t="s">
        <v>57</v>
      </c>
      <c r="C456" s="111" t="s">
        <v>53</v>
      </c>
      <c r="D456" s="111"/>
      <c r="E456" s="111" t="s">
        <v>695</v>
      </c>
      <c r="F456" s="149">
        <v>3789.75</v>
      </c>
      <c r="G456" s="135">
        <v>45956</v>
      </c>
      <c r="H456" s="133" t="s">
        <v>66</v>
      </c>
      <c r="I456" s="134" t="s">
        <v>584</v>
      </c>
      <c r="J456" s="111"/>
      <c r="K456" s="135">
        <v>45959</v>
      </c>
      <c r="L456" s="153">
        <v>3789.75</v>
      </c>
      <c r="M456" s="111"/>
    </row>
    <row r="457" spans="1:13" customFormat="1" x14ac:dyDescent="0.35">
      <c r="A457" s="109">
        <v>45625</v>
      </c>
      <c r="B457" s="121" t="s">
        <v>57</v>
      </c>
      <c r="C457" s="111" t="s">
        <v>53</v>
      </c>
      <c r="D457" s="111" t="s">
        <v>696</v>
      </c>
      <c r="E457" s="111" t="s">
        <v>697</v>
      </c>
      <c r="F457" s="149">
        <v>3789.75</v>
      </c>
      <c r="G457" s="135">
        <f>A457+30</f>
        <v>45655</v>
      </c>
      <c r="H457" s="133" t="s">
        <v>66</v>
      </c>
      <c r="I457" s="134" t="s">
        <v>584</v>
      </c>
      <c r="J457" s="111"/>
      <c r="K457" s="135"/>
      <c r="L457" s="153">
        <f>F457</f>
        <v>3789.75</v>
      </c>
      <c r="M457" s="111">
        <v>514960426</v>
      </c>
    </row>
    <row r="458" spans="1:13" customFormat="1" x14ac:dyDescent="0.35">
      <c r="A458" s="109">
        <v>45608</v>
      </c>
      <c r="B458" s="121" t="s">
        <v>57</v>
      </c>
      <c r="C458" s="111" t="s">
        <v>53</v>
      </c>
      <c r="D458" s="111" t="s">
        <v>696</v>
      </c>
      <c r="E458" s="111" t="s">
        <v>698</v>
      </c>
      <c r="F458" s="149">
        <v>1894.88</v>
      </c>
      <c r="G458" s="135">
        <f>A458+30</f>
        <v>45638</v>
      </c>
      <c r="H458" s="133" t="s">
        <v>66</v>
      </c>
      <c r="I458" s="134" t="s">
        <v>584</v>
      </c>
      <c r="J458" s="111"/>
      <c r="K458" s="135"/>
      <c r="L458" s="153">
        <f>F458</f>
        <v>1894.88</v>
      </c>
      <c r="M458" s="111">
        <v>514960426</v>
      </c>
    </row>
    <row r="459" spans="1:13" customFormat="1" x14ac:dyDescent="0.35">
      <c r="A459" s="109">
        <v>45716</v>
      </c>
      <c r="B459" s="121" t="s">
        <v>57</v>
      </c>
      <c r="C459" s="121" t="s">
        <v>53</v>
      </c>
      <c r="D459" s="111"/>
      <c r="E459" s="121" t="s">
        <v>699</v>
      </c>
      <c r="F459" s="153">
        <v>3789.75</v>
      </c>
      <c r="G459" s="135"/>
      <c r="H459" s="134" t="s">
        <v>66</v>
      </c>
      <c r="I459" s="134" t="s">
        <v>584</v>
      </c>
      <c r="J459" s="111"/>
      <c r="K459" s="135">
        <v>45719</v>
      </c>
      <c r="L459" s="153">
        <f>F459</f>
        <v>3789.75</v>
      </c>
      <c r="M459" s="111"/>
    </row>
    <row r="460" spans="1:13" customFormat="1" x14ac:dyDescent="0.35">
      <c r="A460" s="109">
        <v>45742</v>
      </c>
      <c r="B460" s="121" t="s">
        <v>57</v>
      </c>
      <c r="C460" s="111" t="s">
        <v>53</v>
      </c>
      <c r="D460" s="111"/>
      <c r="E460" s="121" t="s">
        <v>700</v>
      </c>
      <c r="F460" s="149">
        <v>3789.75</v>
      </c>
      <c r="G460" s="135">
        <v>45742</v>
      </c>
      <c r="H460" s="133" t="s">
        <v>66</v>
      </c>
      <c r="I460" s="134" t="s">
        <v>584</v>
      </c>
      <c r="J460" s="111"/>
      <c r="K460" s="135">
        <v>45754</v>
      </c>
      <c r="L460" s="153">
        <v>3789.75</v>
      </c>
      <c r="M460" s="111"/>
    </row>
    <row r="461" spans="1:13" customFormat="1" x14ac:dyDescent="0.35">
      <c r="A461" s="109">
        <v>45773</v>
      </c>
      <c r="B461" s="121" t="s">
        <v>57</v>
      </c>
      <c r="C461" s="111" t="s">
        <v>53</v>
      </c>
      <c r="D461" s="111"/>
      <c r="E461" s="121" t="s">
        <v>701</v>
      </c>
      <c r="F461" s="149">
        <v>3789.75</v>
      </c>
      <c r="G461" s="135">
        <v>45773</v>
      </c>
      <c r="H461" s="134" t="s">
        <v>66</v>
      </c>
      <c r="I461" s="134" t="s">
        <v>584</v>
      </c>
      <c r="J461" s="111"/>
      <c r="K461" s="135">
        <v>45773</v>
      </c>
      <c r="L461" s="153">
        <v>3789.75</v>
      </c>
      <c r="M461" s="111"/>
    </row>
    <row r="462" spans="1:13" customFormat="1" x14ac:dyDescent="0.35">
      <c r="A462" s="109">
        <v>45803</v>
      </c>
      <c r="B462" s="121" t="s">
        <v>57</v>
      </c>
      <c r="C462" s="111" t="s">
        <v>53</v>
      </c>
      <c r="D462" s="111"/>
      <c r="E462" s="111" t="s">
        <v>702</v>
      </c>
      <c r="F462" s="149">
        <v>3789.75</v>
      </c>
      <c r="G462" s="135">
        <v>45803</v>
      </c>
      <c r="H462" s="133" t="s">
        <v>66</v>
      </c>
      <c r="I462" s="134" t="s">
        <v>584</v>
      </c>
      <c r="J462" s="111"/>
      <c r="K462" s="135">
        <v>45803</v>
      </c>
      <c r="L462" s="153">
        <v>3789.75</v>
      </c>
      <c r="M462" s="111"/>
    </row>
    <row r="463" spans="1:13" customFormat="1" x14ac:dyDescent="0.35">
      <c r="A463" s="109">
        <v>45838</v>
      </c>
      <c r="B463" s="121" t="s">
        <v>57</v>
      </c>
      <c r="C463" s="111" t="s">
        <v>53</v>
      </c>
      <c r="D463" s="111"/>
      <c r="E463" s="111" t="s">
        <v>703</v>
      </c>
      <c r="F463" s="149">
        <v>3789.75</v>
      </c>
      <c r="G463" s="135">
        <v>45834</v>
      </c>
      <c r="H463" s="133" t="s">
        <v>66</v>
      </c>
      <c r="I463" s="134" t="s">
        <v>584</v>
      </c>
      <c r="J463" s="111"/>
      <c r="K463" s="135">
        <v>45834</v>
      </c>
      <c r="L463" s="153">
        <v>3789.75</v>
      </c>
      <c r="M463" s="111"/>
    </row>
    <row r="464" spans="1:13" customFormat="1" x14ac:dyDescent="0.35">
      <c r="A464" s="109">
        <v>45866</v>
      </c>
      <c r="B464" s="121" t="s">
        <v>57</v>
      </c>
      <c r="C464" s="111" t="s">
        <v>53</v>
      </c>
      <c r="D464" s="111"/>
      <c r="E464" s="111" t="s">
        <v>704</v>
      </c>
      <c r="F464" s="149">
        <v>3789.75</v>
      </c>
      <c r="G464" s="135">
        <v>45864</v>
      </c>
      <c r="H464" s="133" t="s">
        <v>66</v>
      </c>
      <c r="I464" s="134" t="s">
        <v>584</v>
      </c>
      <c r="J464" s="111"/>
      <c r="K464" s="135">
        <v>45864</v>
      </c>
      <c r="L464" s="153">
        <v>3789.75</v>
      </c>
      <c r="M464" s="111"/>
    </row>
    <row r="465" spans="1:13" customFormat="1" x14ac:dyDescent="0.35">
      <c r="A465" s="109">
        <v>45895</v>
      </c>
      <c r="B465" s="121" t="s">
        <v>57</v>
      </c>
      <c r="C465" s="111" t="s">
        <v>53</v>
      </c>
      <c r="D465" s="111"/>
      <c r="E465" s="121" t="s">
        <v>705</v>
      </c>
      <c r="F465" s="149">
        <v>3789.75</v>
      </c>
      <c r="G465" s="135">
        <v>45895</v>
      </c>
      <c r="H465" s="134" t="s">
        <v>66</v>
      </c>
      <c r="I465" s="134" t="s">
        <v>584</v>
      </c>
      <c r="J465" s="111"/>
      <c r="K465" s="135">
        <v>45898</v>
      </c>
      <c r="L465" s="153">
        <v>3789.75</v>
      </c>
      <c r="M465" s="111"/>
    </row>
    <row r="466" spans="1:13" customFormat="1" x14ac:dyDescent="0.35">
      <c r="A466" s="109">
        <v>45652</v>
      </c>
      <c r="B466" s="121" t="s">
        <v>57</v>
      </c>
      <c r="C466" s="111" t="s">
        <v>53</v>
      </c>
      <c r="D466" s="111" t="s">
        <v>706</v>
      </c>
      <c r="E466" s="111" t="s">
        <v>707</v>
      </c>
      <c r="F466" s="149">
        <v>3789.75</v>
      </c>
      <c r="G466" s="135">
        <v>45657</v>
      </c>
      <c r="H466" s="133" t="s">
        <v>66</v>
      </c>
      <c r="I466" s="134" t="s">
        <v>584</v>
      </c>
      <c r="J466" s="111"/>
      <c r="K466" s="135"/>
      <c r="L466" s="153">
        <f>F466</f>
        <v>3789.75</v>
      </c>
      <c r="M466" s="111">
        <v>514960426</v>
      </c>
    </row>
    <row r="467" spans="1:13" customFormat="1" x14ac:dyDescent="0.35">
      <c r="A467" s="109">
        <v>45687</v>
      </c>
      <c r="B467" s="111" t="s">
        <v>57</v>
      </c>
      <c r="C467" s="111" t="s">
        <v>53</v>
      </c>
      <c r="D467" s="111" t="s">
        <v>706</v>
      </c>
      <c r="E467" s="111" t="s">
        <v>708</v>
      </c>
      <c r="F467" s="153">
        <v>3789.75</v>
      </c>
      <c r="G467" s="135">
        <v>45688</v>
      </c>
      <c r="H467" s="134" t="s">
        <v>66</v>
      </c>
      <c r="I467" s="133" t="s">
        <v>135</v>
      </c>
      <c r="J467" s="111"/>
      <c r="K467" s="135"/>
      <c r="L467" s="153">
        <f>F467</f>
        <v>3789.75</v>
      </c>
      <c r="M467" s="111"/>
    </row>
    <row r="468" spans="1:13" customFormat="1" x14ac:dyDescent="0.35">
      <c r="A468" s="109">
        <v>45683</v>
      </c>
      <c r="B468" s="121" t="s">
        <v>57</v>
      </c>
      <c r="C468" s="111" t="s">
        <v>53</v>
      </c>
      <c r="D468" s="111"/>
      <c r="E468" s="111"/>
      <c r="F468" s="149">
        <v>3789.75</v>
      </c>
      <c r="G468" s="135">
        <v>45683</v>
      </c>
      <c r="H468" s="133" t="s">
        <v>66</v>
      </c>
      <c r="I468" s="134" t="s">
        <v>584</v>
      </c>
      <c r="J468" s="111"/>
      <c r="K468" s="135">
        <v>45683</v>
      </c>
      <c r="L468" s="153">
        <f>F468</f>
        <v>3789.75</v>
      </c>
      <c r="M468" s="111"/>
    </row>
    <row r="469" spans="1:13" customFormat="1" x14ac:dyDescent="0.35">
      <c r="A469" s="109">
        <v>45926</v>
      </c>
      <c r="B469" s="121" t="s">
        <v>57</v>
      </c>
      <c r="C469" s="111" t="s">
        <v>53</v>
      </c>
      <c r="D469" s="111"/>
      <c r="E469" s="121" t="s">
        <v>709</v>
      </c>
      <c r="F469" s="149">
        <v>3789.75</v>
      </c>
      <c r="G469" s="135">
        <v>45926</v>
      </c>
      <c r="H469" s="133" t="s">
        <v>66</v>
      </c>
      <c r="I469" s="134" t="s">
        <v>584</v>
      </c>
      <c r="J469" s="111"/>
      <c r="K469" s="135">
        <v>45926</v>
      </c>
      <c r="L469" s="153">
        <v>3789.75</v>
      </c>
      <c r="M469" s="111"/>
    </row>
    <row r="470" spans="1:13" customFormat="1" x14ac:dyDescent="0.35">
      <c r="A470" s="109">
        <v>45988</v>
      </c>
      <c r="B470" s="121" t="s">
        <v>57</v>
      </c>
      <c r="C470" s="111" t="s">
        <v>53</v>
      </c>
      <c r="D470" s="111"/>
      <c r="E470" s="121" t="s">
        <v>710</v>
      </c>
      <c r="F470" s="153">
        <v>3789.75</v>
      </c>
      <c r="G470" s="135">
        <f>A470+30</f>
        <v>46018</v>
      </c>
      <c r="H470" s="134" t="s">
        <v>66</v>
      </c>
      <c r="I470" s="133" t="s">
        <v>135</v>
      </c>
      <c r="J470" s="111"/>
      <c r="K470" s="160">
        <v>45994</v>
      </c>
      <c r="L470" s="111"/>
      <c r="M470" s="196" t="s">
        <v>711</v>
      </c>
    </row>
    <row r="471" spans="1:13" customFormat="1" x14ac:dyDescent="0.35">
      <c r="A471" s="109">
        <v>45536</v>
      </c>
      <c r="B471" s="121" t="s">
        <v>57</v>
      </c>
      <c r="C471" s="111" t="s">
        <v>712</v>
      </c>
      <c r="D471" s="111" t="s">
        <v>713</v>
      </c>
      <c r="E471" s="111" t="s">
        <v>714</v>
      </c>
      <c r="F471" s="149">
        <v>732</v>
      </c>
      <c r="G471" s="135">
        <f>A471+30</f>
        <v>45566</v>
      </c>
      <c r="H471" s="133" t="s">
        <v>66</v>
      </c>
      <c r="I471" s="133" t="s">
        <v>232</v>
      </c>
      <c r="J471" s="111"/>
      <c r="K471" s="135"/>
      <c r="L471" s="153">
        <f t="shared" ref="L471:L496" si="22">F471</f>
        <v>732</v>
      </c>
      <c r="M471" s="111">
        <v>999999999</v>
      </c>
    </row>
    <row r="472" spans="1:13" customFormat="1" x14ac:dyDescent="0.35">
      <c r="A472" s="109">
        <v>45596</v>
      </c>
      <c r="B472" s="121" t="s">
        <v>57</v>
      </c>
      <c r="C472" s="111" t="s">
        <v>25</v>
      </c>
      <c r="D472" s="111" t="s">
        <v>715</v>
      </c>
      <c r="E472" s="111" t="s">
        <v>716</v>
      </c>
      <c r="F472" s="151">
        <v>80.739999999999995</v>
      </c>
      <c r="G472" s="135">
        <f>A472+30</f>
        <v>45626</v>
      </c>
      <c r="H472" s="133" t="s">
        <v>66</v>
      </c>
      <c r="I472" s="133" t="s">
        <v>135</v>
      </c>
      <c r="J472" s="111"/>
      <c r="K472" s="135">
        <v>45708</v>
      </c>
      <c r="L472" s="153">
        <f t="shared" si="22"/>
        <v>80.739999999999995</v>
      </c>
      <c r="M472" s="111">
        <v>517102854</v>
      </c>
    </row>
    <row r="473" spans="1:13" customFormat="1" x14ac:dyDescent="0.35">
      <c r="A473" s="109">
        <v>45611</v>
      </c>
      <c r="B473" s="121" t="s">
        <v>57</v>
      </c>
      <c r="C473" s="111" t="s">
        <v>25</v>
      </c>
      <c r="D473" s="111" t="s">
        <v>715</v>
      </c>
      <c r="E473" s="111" t="s">
        <v>717</v>
      </c>
      <c r="F473" s="151">
        <v>97.54</v>
      </c>
      <c r="G473" s="135">
        <f>A473+30</f>
        <v>45641</v>
      </c>
      <c r="H473" s="133" t="s">
        <v>66</v>
      </c>
      <c r="I473" s="133" t="s">
        <v>135</v>
      </c>
      <c r="J473" s="111"/>
      <c r="K473" s="135">
        <v>45708</v>
      </c>
      <c r="L473" s="153">
        <f t="shared" si="22"/>
        <v>97.54</v>
      </c>
      <c r="M473" s="111">
        <v>517102854</v>
      </c>
    </row>
    <row r="474" spans="1:13" customFormat="1" x14ac:dyDescent="0.35">
      <c r="A474" s="109">
        <v>45631</v>
      </c>
      <c r="B474" s="121" t="s">
        <v>57</v>
      </c>
      <c r="C474" s="111" t="s">
        <v>25</v>
      </c>
      <c r="D474" s="111" t="s">
        <v>715</v>
      </c>
      <c r="E474" s="111" t="s">
        <v>718</v>
      </c>
      <c r="F474" s="151">
        <v>67.17</v>
      </c>
      <c r="G474" s="135">
        <f>IF(OR(C474="Matosinhos",C474="Bolhão"),A474,A474+30)</f>
        <v>45661</v>
      </c>
      <c r="H474" s="133" t="s">
        <v>66</v>
      </c>
      <c r="I474" s="133" t="s">
        <v>135</v>
      </c>
      <c r="J474" s="111"/>
      <c r="K474" s="135">
        <v>45708</v>
      </c>
      <c r="L474" s="153">
        <f t="shared" si="22"/>
        <v>67.17</v>
      </c>
      <c r="M474" s="111">
        <v>517102854</v>
      </c>
    </row>
    <row r="475" spans="1:13" customFormat="1" x14ac:dyDescent="0.35">
      <c r="A475" s="109">
        <v>45650</v>
      </c>
      <c r="B475" s="121" t="s">
        <v>57</v>
      </c>
      <c r="C475" s="111" t="s">
        <v>25</v>
      </c>
      <c r="D475" s="111" t="s">
        <v>715</v>
      </c>
      <c r="E475" s="111" t="s">
        <v>719</v>
      </c>
      <c r="F475" s="151">
        <v>47.09</v>
      </c>
      <c r="G475" s="135">
        <f>IF(OR(C475="Matosinhos",C475="Bolhão"),A475,A475+30)</f>
        <v>45680</v>
      </c>
      <c r="H475" s="133" t="s">
        <v>66</v>
      </c>
      <c r="I475" s="133" t="s">
        <v>135</v>
      </c>
      <c r="J475" s="111"/>
      <c r="K475" s="135">
        <v>45708</v>
      </c>
      <c r="L475" s="153">
        <f t="shared" si="22"/>
        <v>47.09</v>
      </c>
      <c r="M475" s="111">
        <v>517102854</v>
      </c>
    </row>
    <row r="476" spans="1:13" customFormat="1" x14ac:dyDescent="0.35">
      <c r="A476" s="109">
        <v>45653</v>
      </c>
      <c r="B476" s="121" t="s">
        <v>57</v>
      </c>
      <c r="C476" s="111" t="s">
        <v>25</v>
      </c>
      <c r="D476" s="111" t="s">
        <v>715</v>
      </c>
      <c r="E476" s="111" t="s">
        <v>720</v>
      </c>
      <c r="F476" s="149">
        <v>313.2</v>
      </c>
      <c r="G476" s="135">
        <f>IF(OR(C476="Matosinhos",C476="Bolhão"),A476,A476+30)</f>
        <v>45683</v>
      </c>
      <c r="H476" s="133" t="s">
        <v>66</v>
      </c>
      <c r="I476" s="133" t="s">
        <v>135</v>
      </c>
      <c r="J476" s="111"/>
      <c r="K476" s="135">
        <v>45771</v>
      </c>
      <c r="L476" s="153">
        <f t="shared" si="22"/>
        <v>313.2</v>
      </c>
      <c r="M476" s="111">
        <v>517102854</v>
      </c>
    </row>
    <row r="477" spans="1:13" customFormat="1" x14ac:dyDescent="0.35">
      <c r="A477" s="109">
        <v>45443</v>
      </c>
      <c r="B477" s="111" t="s">
        <v>65</v>
      </c>
      <c r="C477" s="111" t="s">
        <v>78</v>
      </c>
      <c r="D477" s="111"/>
      <c r="E477" s="111" t="s">
        <v>721</v>
      </c>
      <c r="F477" s="149">
        <v>-1147.43</v>
      </c>
      <c r="G477" s="135"/>
      <c r="H477" s="133" t="s">
        <v>561</v>
      </c>
      <c r="I477" s="133" t="s">
        <v>119</v>
      </c>
      <c r="J477" s="160">
        <v>45531</v>
      </c>
      <c r="K477" s="135">
        <v>45634</v>
      </c>
      <c r="L477" s="153">
        <f t="shared" si="22"/>
        <v>-1147.43</v>
      </c>
      <c r="M477" s="111" t="s">
        <v>722</v>
      </c>
    </row>
    <row r="478" spans="1:13" customFormat="1" x14ac:dyDescent="0.35">
      <c r="A478" s="109">
        <v>45497</v>
      </c>
      <c r="B478" s="111" t="s">
        <v>65</v>
      </c>
      <c r="C478" s="111" t="s">
        <v>78</v>
      </c>
      <c r="D478" s="111"/>
      <c r="E478" s="111" t="s">
        <v>723</v>
      </c>
      <c r="F478" s="149">
        <v>-1987.2</v>
      </c>
      <c r="G478" s="135"/>
      <c r="H478" s="133" t="s">
        <v>66</v>
      </c>
      <c r="I478" s="133" t="s">
        <v>724</v>
      </c>
      <c r="J478" s="160"/>
      <c r="K478" s="135"/>
      <c r="L478" s="153">
        <f t="shared" si="22"/>
        <v>-1987.2</v>
      </c>
      <c r="M478" s="111" t="s">
        <v>725</v>
      </c>
    </row>
    <row r="479" spans="1:13" customFormat="1" x14ac:dyDescent="0.35">
      <c r="A479" s="109">
        <v>45535</v>
      </c>
      <c r="B479" s="111" t="s">
        <v>65</v>
      </c>
      <c r="C479" s="111" t="s">
        <v>78</v>
      </c>
      <c r="D479" s="111"/>
      <c r="E479" s="111" t="s">
        <v>726</v>
      </c>
      <c r="F479" s="149">
        <v>-13645.4</v>
      </c>
      <c r="G479" s="135"/>
      <c r="H479" s="152" t="s">
        <v>66</v>
      </c>
      <c r="I479" s="133" t="s">
        <v>119</v>
      </c>
      <c r="J479" s="160">
        <v>45768</v>
      </c>
      <c r="K479" s="135">
        <v>45768</v>
      </c>
      <c r="L479" s="153">
        <f t="shared" si="22"/>
        <v>-13645.4</v>
      </c>
      <c r="M479" s="111" t="s">
        <v>669</v>
      </c>
    </row>
    <row r="480" spans="1:13" customFormat="1" x14ac:dyDescent="0.35">
      <c r="A480" s="109">
        <v>45504</v>
      </c>
      <c r="B480" s="111" t="s">
        <v>65</v>
      </c>
      <c r="C480" s="111" t="s">
        <v>78</v>
      </c>
      <c r="D480" s="111"/>
      <c r="E480" s="111" t="s">
        <v>211</v>
      </c>
      <c r="F480" s="149">
        <v>-13846.64</v>
      </c>
      <c r="G480" s="135"/>
      <c r="H480" s="134" t="s">
        <v>66</v>
      </c>
      <c r="I480" s="133" t="s">
        <v>119</v>
      </c>
      <c r="J480" s="160">
        <v>45768</v>
      </c>
      <c r="K480" s="135"/>
      <c r="L480" s="153">
        <f t="shared" si="22"/>
        <v>-13846.64</v>
      </c>
      <c r="M480" s="111" t="s">
        <v>727</v>
      </c>
    </row>
    <row r="481" spans="1:13" customFormat="1" x14ac:dyDescent="0.35">
      <c r="A481" s="109">
        <v>45688</v>
      </c>
      <c r="B481" s="121" t="s">
        <v>57</v>
      </c>
      <c r="C481" s="111" t="s">
        <v>25</v>
      </c>
      <c r="D481" s="111" t="s">
        <v>715</v>
      </c>
      <c r="E481" s="121" t="s">
        <v>728</v>
      </c>
      <c r="F481" s="149">
        <v>39.46</v>
      </c>
      <c r="G481" s="135">
        <v>45716</v>
      </c>
      <c r="H481" s="134" t="s">
        <v>66</v>
      </c>
      <c r="I481" s="133" t="s">
        <v>135</v>
      </c>
      <c r="J481" s="111"/>
      <c r="K481" s="135">
        <v>45771</v>
      </c>
      <c r="L481" s="153">
        <f t="shared" si="22"/>
        <v>39.46</v>
      </c>
      <c r="M481" s="111">
        <v>517102854</v>
      </c>
    </row>
    <row r="482" spans="1:13" customFormat="1" x14ac:dyDescent="0.35">
      <c r="A482" s="109">
        <v>45535</v>
      </c>
      <c r="B482" s="111" t="s">
        <v>65</v>
      </c>
      <c r="C482" s="111" t="s">
        <v>78</v>
      </c>
      <c r="D482" s="111"/>
      <c r="E482" s="111" t="s">
        <v>729</v>
      </c>
      <c r="F482" s="149">
        <v>-1762.78</v>
      </c>
      <c r="G482" s="135"/>
      <c r="H482" s="133" t="s">
        <v>66</v>
      </c>
      <c r="I482" s="133" t="s">
        <v>119</v>
      </c>
      <c r="J482" s="111"/>
      <c r="K482" s="135">
        <v>45394</v>
      </c>
      <c r="L482" s="153">
        <f t="shared" si="22"/>
        <v>-1762.78</v>
      </c>
      <c r="M482" s="111" t="s">
        <v>730</v>
      </c>
    </row>
    <row r="483" spans="1:13" customFormat="1" x14ac:dyDescent="0.35">
      <c r="A483" s="109">
        <v>45595</v>
      </c>
      <c r="B483" s="111" t="s">
        <v>65</v>
      </c>
      <c r="C483" s="111" t="s">
        <v>78</v>
      </c>
      <c r="D483" s="111"/>
      <c r="E483" s="111" t="s">
        <v>731</v>
      </c>
      <c r="F483" s="149">
        <v>-375</v>
      </c>
      <c r="G483" s="135"/>
      <c r="H483" s="133" t="s">
        <v>66</v>
      </c>
      <c r="I483" s="133" t="s">
        <v>119</v>
      </c>
      <c r="J483" s="111"/>
      <c r="K483" s="135">
        <v>45680</v>
      </c>
      <c r="L483" s="153">
        <f t="shared" si="22"/>
        <v>-375</v>
      </c>
      <c r="M483" s="111" t="s">
        <v>732</v>
      </c>
    </row>
    <row r="484" spans="1:13" customFormat="1" x14ac:dyDescent="0.35">
      <c r="A484" s="109">
        <v>45535</v>
      </c>
      <c r="B484" s="111" t="s">
        <v>65</v>
      </c>
      <c r="C484" s="111" t="s">
        <v>78</v>
      </c>
      <c r="D484" s="111"/>
      <c r="E484" s="111" t="s">
        <v>733</v>
      </c>
      <c r="F484" s="149">
        <v>-1368.63</v>
      </c>
      <c r="G484" s="135"/>
      <c r="H484" s="152" t="s">
        <v>66</v>
      </c>
      <c r="I484" s="133" t="s">
        <v>119</v>
      </c>
      <c r="J484" s="160">
        <v>45768</v>
      </c>
      <c r="K484" s="135">
        <v>45768</v>
      </c>
      <c r="L484" s="153">
        <f t="shared" si="22"/>
        <v>-1368.63</v>
      </c>
      <c r="M484" s="111" t="s">
        <v>730</v>
      </c>
    </row>
    <row r="485" spans="1:13" customFormat="1" x14ac:dyDescent="0.35">
      <c r="A485" s="109">
        <v>45657</v>
      </c>
      <c r="B485" s="111" t="s">
        <v>65</v>
      </c>
      <c r="C485" s="111" t="s">
        <v>78</v>
      </c>
      <c r="D485" s="111"/>
      <c r="E485" s="111" t="s">
        <v>734</v>
      </c>
      <c r="F485" s="151">
        <v>-1987.2</v>
      </c>
      <c r="G485" s="135">
        <v>45688</v>
      </c>
      <c r="H485" s="152" t="s">
        <v>66</v>
      </c>
      <c r="I485" s="133" t="s">
        <v>119</v>
      </c>
      <c r="J485" s="109">
        <v>45894</v>
      </c>
      <c r="K485" s="135">
        <v>45847</v>
      </c>
      <c r="L485" s="153">
        <f t="shared" si="22"/>
        <v>-1987.2</v>
      </c>
      <c r="M485" s="111" t="s">
        <v>735</v>
      </c>
    </row>
    <row r="486" spans="1:13" customFormat="1" x14ac:dyDescent="0.35">
      <c r="A486" s="109">
        <v>45595</v>
      </c>
      <c r="B486" s="111" t="s">
        <v>65</v>
      </c>
      <c r="C486" s="111" t="s">
        <v>78</v>
      </c>
      <c r="D486" s="111"/>
      <c r="E486" s="111" t="s">
        <v>736</v>
      </c>
      <c r="F486" s="149">
        <v>-126.26</v>
      </c>
      <c r="G486" s="135"/>
      <c r="H486" s="133" t="s">
        <v>66</v>
      </c>
      <c r="I486" s="133" t="s">
        <v>119</v>
      </c>
      <c r="J486" s="160">
        <v>45768</v>
      </c>
      <c r="K486" s="135">
        <v>45680</v>
      </c>
      <c r="L486" s="153">
        <f t="shared" si="22"/>
        <v>-126.26</v>
      </c>
      <c r="M486" s="111" t="s">
        <v>737</v>
      </c>
    </row>
    <row r="487" spans="1:13" customFormat="1" x14ac:dyDescent="0.35">
      <c r="A487" s="109">
        <v>45596</v>
      </c>
      <c r="B487" s="111" t="s">
        <v>65</v>
      </c>
      <c r="C487" s="111" t="s">
        <v>78</v>
      </c>
      <c r="D487" s="111"/>
      <c r="E487" s="111" t="s">
        <v>738</v>
      </c>
      <c r="F487" s="149">
        <v>-7176.36</v>
      </c>
      <c r="G487" s="135">
        <v>45663</v>
      </c>
      <c r="H487" s="133" t="s">
        <v>66</v>
      </c>
      <c r="I487" s="133" t="s">
        <v>119</v>
      </c>
      <c r="J487" s="111"/>
      <c r="K487" s="135">
        <v>45671</v>
      </c>
      <c r="L487" s="153">
        <f t="shared" si="22"/>
        <v>-7176.36</v>
      </c>
      <c r="M487" s="111"/>
    </row>
    <row r="488" spans="1:13" customFormat="1" x14ac:dyDescent="0.35">
      <c r="A488" s="109">
        <v>45596</v>
      </c>
      <c r="B488" s="111" t="s">
        <v>65</v>
      </c>
      <c r="C488" s="111" t="s">
        <v>78</v>
      </c>
      <c r="D488" s="111"/>
      <c r="E488" s="111" t="s">
        <v>739</v>
      </c>
      <c r="F488" s="149">
        <v>-783.34</v>
      </c>
      <c r="G488" s="135">
        <v>45663</v>
      </c>
      <c r="H488" s="133" t="s">
        <v>66</v>
      </c>
      <c r="I488" s="133" t="s">
        <v>119</v>
      </c>
      <c r="J488" s="111"/>
      <c r="K488" s="135">
        <v>45671</v>
      </c>
      <c r="L488" s="153">
        <f t="shared" si="22"/>
        <v>-783.34</v>
      </c>
      <c r="M488" s="111"/>
    </row>
    <row r="489" spans="1:13" customFormat="1" x14ac:dyDescent="0.35">
      <c r="A489" s="109">
        <v>45626</v>
      </c>
      <c r="B489" s="111" t="s">
        <v>65</v>
      </c>
      <c r="C489" s="156" t="s">
        <v>78</v>
      </c>
      <c r="D489" s="111"/>
      <c r="E489" s="121" t="s">
        <v>740</v>
      </c>
      <c r="F489" s="157">
        <v>-967.44</v>
      </c>
      <c r="G489" s="135">
        <v>45657</v>
      </c>
      <c r="H489" s="134" t="s">
        <v>66</v>
      </c>
      <c r="I489" s="133" t="s">
        <v>119</v>
      </c>
      <c r="J489" s="111"/>
      <c r="K489" s="135">
        <v>45733</v>
      </c>
      <c r="L489" s="153">
        <f t="shared" si="22"/>
        <v>-967.44</v>
      </c>
      <c r="M489" s="111"/>
    </row>
    <row r="490" spans="1:13" customFormat="1" x14ac:dyDescent="0.35">
      <c r="A490" s="109">
        <v>45657</v>
      </c>
      <c r="B490" s="111" t="s">
        <v>65</v>
      </c>
      <c r="C490" s="156" t="s">
        <v>78</v>
      </c>
      <c r="D490" s="111"/>
      <c r="E490" s="111" t="s">
        <v>741</v>
      </c>
      <c r="F490" s="157">
        <v>-316.5</v>
      </c>
      <c r="G490" s="135">
        <v>45688</v>
      </c>
      <c r="H490" s="134" t="s">
        <v>66</v>
      </c>
      <c r="I490" s="133" t="s">
        <v>119</v>
      </c>
      <c r="J490" s="111"/>
      <c r="K490" s="135">
        <v>45775</v>
      </c>
      <c r="L490" s="153">
        <f t="shared" si="22"/>
        <v>-316.5</v>
      </c>
      <c r="M490" s="111"/>
    </row>
    <row r="491" spans="1:13" customFormat="1" x14ac:dyDescent="0.35">
      <c r="A491" s="109">
        <v>45716</v>
      </c>
      <c r="B491" s="111" t="s">
        <v>65</v>
      </c>
      <c r="C491" s="156" t="s">
        <v>78</v>
      </c>
      <c r="D491" s="111"/>
      <c r="E491" s="111" t="s">
        <v>742</v>
      </c>
      <c r="F491" s="151">
        <v>-504.42</v>
      </c>
      <c r="G491" s="135"/>
      <c r="H491" s="134" t="s">
        <v>66</v>
      </c>
      <c r="I491" s="133" t="s">
        <v>119</v>
      </c>
      <c r="J491" s="111"/>
      <c r="K491" s="135">
        <v>45796</v>
      </c>
      <c r="L491" s="153">
        <f t="shared" si="22"/>
        <v>-504.42</v>
      </c>
      <c r="M491" s="111"/>
    </row>
    <row r="492" spans="1:13" customFormat="1" x14ac:dyDescent="0.35">
      <c r="A492" s="109">
        <v>45716</v>
      </c>
      <c r="B492" s="111" t="s">
        <v>65</v>
      </c>
      <c r="C492" s="156" t="s">
        <v>78</v>
      </c>
      <c r="D492" s="111"/>
      <c r="E492" s="111" t="s">
        <v>743</v>
      </c>
      <c r="F492" s="151">
        <v>-625.07000000000005</v>
      </c>
      <c r="G492" s="135"/>
      <c r="H492" s="134" t="s">
        <v>66</v>
      </c>
      <c r="I492" s="133" t="s">
        <v>119</v>
      </c>
      <c r="J492" s="111"/>
      <c r="K492" s="135">
        <v>45796</v>
      </c>
      <c r="L492" s="153">
        <f t="shared" si="22"/>
        <v>-625.07000000000005</v>
      </c>
      <c r="M492" s="111"/>
    </row>
    <row r="493" spans="1:13" customFormat="1" x14ac:dyDescent="0.35">
      <c r="A493" s="109">
        <v>45747</v>
      </c>
      <c r="B493" s="111" t="s">
        <v>65</v>
      </c>
      <c r="C493" s="156" t="s">
        <v>78</v>
      </c>
      <c r="D493" s="111"/>
      <c r="E493" s="111" t="s">
        <v>419</v>
      </c>
      <c r="F493" s="153">
        <v>-398</v>
      </c>
      <c r="G493" s="135"/>
      <c r="H493" s="134" t="s">
        <v>66</v>
      </c>
      <c r="I493" s="133" t="s">
        <v>119</v>
      </c>
      <c r="J493" s="111"/>
      <c r="K493" s="135">
        <v>45796</v>
      </c>
      <c r="L493" s="153">
        <f t="shared" si="22"/>
        <v>-398</v>
      </c>
      <c r="M493" s="111"/>
    </row>
    <row r="494" spans="1:13" customFormat="1" x14ac:dyDescent="0.35">
      <c r="A494" s="109">
        <v>45747</v>
      </c>
      <c r="B494" s="111" t="s">
        <v>65</v>
      </c>
      <c r="C494" s="111" t="s">
        <v>78</v>
      </c>
      <c r="D494" s="111"/>
      <c r="E494" s="111" t="s">
        <v>744</v>
      </c>
      <c r="F494" s="153">
        <v>-4571.2700000000004</v>
      </c>
      <c r="G494" s="135"/>
      <c r="H494" s="133" t="s">
        <v>66</v>
      </c>
      <c r="I494" s="133" t="s">
        <v>119</v>
      </c>
      <c r="J494" s="111"/>
      <c r="K494" s="135">
        <v>45831</v>
      </c>
      <c r="L494" s="153">
        <f t="shared" si="22"/>
        <v>-4571.2700000000004</v>
      </c>
      <c r="M494" s="111"/>
    </row>
    <row r="495" spans="1:13" customFormat="1" x14ac:dyDescent="0.35">
      <c r="A495" s="109">
        <v>45747</v>
      </c>
      <c r="B495" s="111" t="s">
        <v>65</v>
      </c>
      <c r="C495" s="111" t="s">
        <v>78</v>
      </c>
      <c r="D495" s="111"/>
      <c r="E495" s="111" t="s">
        <v>745</v>
      </c>
      <c r="F495" s="153">
        <v>-2015.02</v>
      </c>
      <c r="G495" s="135"/>
      <c r="H495" s="133" t="s">
        <v>66</v>
      </c>
      <c r="I495" s="133" t="s">
        <v>119</v>
      </c>
      <c r="J495" s="111"/>
      <c r="K495" s="135">
        <v>45831</v>
      </c>
      <c r="L495" s="153">
        <f t="shared" si="22"/>
        <v>-2015.02</v>
      </c>
      <c r="M495" s="215" t="s">
        <v>746</v>
      </c>
    </row>
    <row r="496" spans="1:13" customFormat="1" x14ac:dyDescent="0.35">
      <c r="A496" s="109">
        <v>45777</v>
      </c>
      <c r="B496" s="111" t="s">
        <v>65</v>
      </c>
      <c r="C496" s="156" t="s">
        <v>78</v>
      </c>
      <c r="D496" s="111"/>
      <c r="E496" s="111" t="s">
        <v>747</v>
      </c>
      <c r="F496" s="185">
        <v>-1726.6</v>
      </c>
      <c r="G496" s="135"/>
      <c r="H496" s="133" t="s">
        <v>66</v>
      </c>
      <c r="I496" s="133" t="s">
        <v>119</v>
      </c>
      <c r="J496" s="111"/>
      <c r="K496" s="135">
        <v>45847</v>
      </c>
      <c r="L496" s="153">
        <f t="shared" si="22"/>
        <v>-1726.6</v>
      </c>
      <c r="M496" s="111"/>
    </row>
    <row r="497" spans="1:13" customFormat="1" x14ac:dyDescent="0.35">
      <c r="A497" s="109">
        <v>45808</v>
      </c>
      <c r="B497" s="111" t="s">
        <v>65</v>
      </c>
      <c r="C497" s="156" t="s">
        <v>78</v>
      </c>
      <c r="D497" s="111"/>
      <c r="E497" s="111" t="s">
        <v>748</v>
      </c>
      <c r="F497" s="185">
        <v>-1415.77</v>
      </c>
      <c r="G497" s="133"/>
      <c r="H497" s="133" t="s">
        <v>66</v>
      </c>
      <c r="I497" s="133" t="s">
        <v>119</v>
      </c>
      <c r="J497" s="111"/>
      <c r="K497" s="135">
        <v>45847</v>
      </c>
      <c r="L497" s="111"/>
      <c r="M497" s="111"/>
    </row>
    <row r="498" spans="1:13" customFormat="1" x14ac:dyDescent="0.35">
      <c r="A498" s="109">
        <v>45808</v>
      </c>
      <c r="B498" s="111" t="s">
        <v>65</v>
      </c>
      <c r="C498" s="111" t="s">
        <v>78</v>
      </c>
      <c r="D498" s="111"/>
      <c r="E498" s="111" t="s">
        <v>749</v>
      </c>
      <c r="F498" s="153">
        <v>-14150.16</v>
      </c>
      <c r="G498" s="133"/>
      <c r="H498" s="133" t="s">
        <v>66</v>
      </c>
      <c r="I498" s="133" t="s">
        <v>119</v>
      </c>
      <c r="J498" s="111"/>
      <c r="K498" s="135">
        <v>45866</v>
      </c>
      <c r="L498" s="111"/>
      <c r="M498" s="111"/>
    </row>
    <row r="499" spans="1:13" customFormat="1" x14ac:dyDescent="0.35">
      <c r="A499" s="109">
        <v>45818</v>
      </c>
      <c r="B499" s="111" t="s">
        <v>65</v>
      </c>
      <c r="C499" s="111" t="s">
        <v>78</v>
      </c>
      <c r="D499" s="111"/>
      <c r="E499" s="111" t="s">
        <v>750</v>
      </c>
      <c r="F499" s="153">
        <v>-5000</v>
      </c>
      <c r="G499" s="135">
        <v>45869</v>
      </c>
      <c r="H499" s="133" t="s">
        <v>66</v>
      </c>
      <c r="I499" s="133" t="s">
        <v>170</v>
      </c>
      <c r="J499" s="111"/>
      <c r="K499" s="135">
        <v>45866</v>
      </c>
      <c r="L499" s="111"/>
      <c r="M499" s="196"/>
    </row>
    <row r="500" spans="1:13" customFormat="1" x14ac:dyDescent="0.35">
      <c r="A500" s="109">
        <v>45818</v>
      </c>
      <c r="B500" s="111" t="s">
        <v>65</v>
      </c>
      <c r="C500" s="111" t="s">
        <v>78</v>
      </c>
      <c r="D500" s="111"/>
      <c r="E500" s="111" t="s">
        <v>751</v>
      </c>
      <c r="F500" s="153">
        <v>-2500</v>
      </c>
      <c r="G500" s="135">
        <v>45900</v>
      </c>
      <c r="H500" s="133" t="s">
        <v>66</v>
      </c>
      <c r="I500" s="133" t="s">
        <v>170</v>
      </c>
      <c r="J500" s="111"/>
      <c r="K500" s="135">
        <v>45903</v>
      </c>
      <c r="L500" s="111"/>
      <c r="M500" s="111" t="s">
        <v>752</v>
      </c>
    </row>
    <row r="501" spans="1:13" customFormat="1" x14ac:dyDescent="0.35">
      <c r="A501" s="109">
        <v>45838</v>
      </c>
      <c r="B501" s="111" t="s">
        <v>65</v>
      </c>
      <c r="C501" s="156" t="s">
        <v>78</v>
      </c>
      <c r="D501" s="111"/>
      <c r="E501" s="111" t="s">
        <v>388</v>
      </c>
      <c r="F501" s="153">
        <v>-25884.74</v>
      </c>
      <c r="G501" s="133"/>
      <c r="H501" s="133" t="s">
        <v>66</v>
      </c>
      <c r="I501" s="133" t="s">
        <v>119</v>
      </c>
      <c r="J501" s="111"/>
      <c r="K501" s="135">
        <v>45880</v>
      </c>
      <c r="L501" s="111"/>
      <c r="M501" s="196"/>
    </row>
    <row r="502" spans="1:13" customFormat="1" x14ac:dyDescent="0.35">
      <c r="A502" s="109">
        <v>45838</v>
      </c>
      <c r="B502" s="111" t="s">
        <v>65</v>
      </c>
      <c r="C502" s="156" t="s">
        <v>78</v>
      </c>
      <c r="D502" s="111"/>
      <c r="E502" s="111" t="s">
        <v>389</v>
      </c>
      <c r="F502" s="153">
        <v>-2135.7199999999998</v>
      </c>
      <c r="G502" s="133"/>
      <c r="H502" s="133" t="s">
        <v>66</v>
      </c>
      <c r="I502" s="133" t="s">
        <v>119</v>
      </c>
      <c r="J502" s="111"/>
      <c r="K502" s="135">
        <v>45874</v>
      </c>
      <c r="L502" s="111"/>
      <c r="M502" s="196"/>
    </row>
    <row r="503" spans="1:13" customFormat="1" x14ac:dyDescent="0.35">
      <c r="A503" s="109">
        <v>45838</v>
      </c>
      <c r="B503" s="111" t="s">
        <v>65</v>
      </c>
      <c r="C503" s="156" t="s">
        <v>78</v>
      </c>
      <c r="D503" s="111"/>
      <c r="E503" s="111" t="s">
        <v>390</v>
      </c>
      <c r="F503" s="153">
        <v>-2015.02</v>
      </c>
      <c r="G503" s="133"/>
      <c r="H503" s="133" t="s">
        <v>66</v>
      </c>
      <c r="I503" s="133" t="s">
        <v>119</v>
      </c>
      <c r="J503" s="111"/>
      <c r="K503" s="135">
        <v>45874</v>
      </c>
      <c r="L503" s="111"/>
      <c r="M503" s="196" t="s">
        <v>753</v>
      </c>
    </row>
    <row r="504" spans="1:13" customFormat="1" x14ac:dyDescent="0.35">
      <c r="A504" s="109">
        <v>45866</v>
      </c>
      <c r="B504" s="111" t="s">
        <v>65</v>
      </c>
      <c r="C504" s="156" t="s">
        <v>78</v>
      </c>
      <c r="D504" s="111"/>
      <c r="E504" s="121" t="s">
        <v>754</v>
      </c>
      <c r="F504" s="185">
        <v>-20039.71</v>
      </c>
      <c r="G504" s="135">
        <v>45898</v>
      </c>
      <c r="H504" s="133" t="s">
        <v>66</v>
      </c>
      <c r="I504" s="133" t="s">
        <v>119</v>
      </c>
      <c r="J504" s="111"/>
      <c r="K504" s="135"/>
      <c r="L504" s="111"/>
      <c r="M504" s="196" t="s">
        <v>755</v>
      </c>
    </row>
    <row r="505" spans="1:13" customFormat="1" x14ac:dyDescent="0.35">
      <c r="A505" s="109">
        <v>45818</v>
      </c>
      <c r="B505" s="111" t="s">
        <v>65</v>
      </c>
      <c r="C505" s="156" t="s">
        <v>78</v>
      </c>
      <c r="D505" s="111"/>
      <c r="E505" s="111" t="s">
        <v>756</v>
      </c>
      <c r="F505" s="185">
        <v>-2500</v>
      </c>
      <c r="G505" s="135">
        <v>45930</v>
      </c>
      <c r="H505" s="133" t="s">
        <v>66</v>
      </c>
      <c r="I505" s="133" t="s">
        <v>170</v>
      </c>
      <c r="J505" s="111"/>
      <c r="K505" s="135">
        <v>45937</v>
      </c>
      <c r="L505" s="111"/>
      <c r="M505" s="111" t="s">
        <v>752</v>
      </c>
    </row>
    <row r="506" spans="1:13" customFormat="1" x14ac:dyDescent="0.35">
      <c r="A506" s="109">
        <v>45899</v>
      </c>
      <c r="B506" s="111" t="s">
        <v>65</v>
      </c>
      <c r="C506" s="199" t="s">
        <v>78</v>
      </c>
      <c r="D506" s="111"/>
      <c r="E506" s="121" t="s">
        <v>757</v>
      </c>
      <c r="F506" s="185">
        <v>-14040</v>
      </c>
      <c r="G506" s="135">
        <v>45930</v>
      </c>
      <c r="H506" s="134" t="s">
        <v>66</v>
      </c>
      <c r="I506" s="133" t="s">
        <v>119</v>
      </c>
      <c r="J506" s="111"/>
      <c r="K506" s="135">
        <v>45937</v>
      </c>
      <c r="L506" s="111"/>
      <c r="M506" s="196"/>
    </row>
    <row r="507" spans="1:13" customFormat="1" x14ac:dyDescent="0.35">
      <c r="A507" s="109">
        <v>45961</v>
      </c>
      <c r="B507" s="121" t="s">
        <v>65</v>
      </c>
      <c r="C507" s="121" t="s">
        <v>78</v>
      </c>
      <c r="D507" s="111"/>
      <c r="E507" s="121" t="s">
        <v>758</v>
      </c>
      <c r="F507" s="153">
        <v>-500.91</v>
      </c>
      <c r="G507" s="135">
        <v>45991</v>
      </c>
      <c r="H507" s="133" t="s">
        <v>66</v>
      </c>
      <c r="I507" s="133" t="s">
        <v>145</v>
      </c>
      <c r="J507" s="111"/>
      <c r="K507" s="135">
        <v>45991</v>
      </c>
      <c r="L507" s="111"/>
      <c r="M507" s="196"/>
    </row>
    <row r="508" spans="1:13" customFormat="1" x14ac:dyDescent="0.35">
      <c r="A508" s="109">
        <v>45930</v>
      </c>
      <c r="B508" s="121" t="s">
        <v>65</v>
      </c>
      <c r="C508" s="199" t="s">
        <v>78</v>
      </c>
      <c r="D508" s="111"/>
      <c r="E508" s="121" t="s">
        <v>759</v>
      </c>
      <c r="F508" s="185">
        <v>-636.62</v>
      </c>
      <c r="G508" s="209">
        <f>A508+30</f>
        <v>45960</v>
      </c>
      <c r="H508" s="134" t="s">
        <v>66</v>
      </c>
      <c r="I508" s="134" t="s">
        <v>145</v>
      </c>
      <c r="J508" s="111"/>
      <c r="K508" s="135">
        <v>45961</v>
      </c>
      <c r="L508" s="111"/>
      <c r="M508" s="196"/>
    </row>
    <row r="509" spans="1:13" customFormat="1" x14ac:dyDescent="0.35">
      <c r="A509" s="109">
        <v>45742</v>
      </c>
      <c r="B509" s="111" t="s">
        <v>57</v>
      </c>
      <c r="C509" s="121" t="s">
        <v>25</v>
      </c>
      <c r="D509" s="111" t="s">
        <v>715</v>
      </c>
      <c r="E509" s="121" t="s">
        <v>760</v>
      </c>
      <c r="F509" s="153">
        <v>102.53</v>
      </c>
      <c r="G509" s="135">
        <v>45407</v>
      </c>
      <c r="H509" s="133" t="s">
        <v>66</v>
      </c>
      <c r="I509" s="133" t="s">
        <v>135</v>
      </c>
      <c r="J509" s="111"/>
      <c r="K509" s="135">
        <v>45817</v>
      </c>
      <c r="L509" s="153"/>
      <c r="M509" s="111">
        <v>517102854</v>
      </c>
    </row>
    <row r="510" spans="1:13" customFormat="1" x14ac:dyDescent="0.35">
      <c r="A510" s="176">
        <v>45961</v>
      </c>
      <c r="B510" s="143" t="s">
        <v>65</v>
      </c>
      <c r="C510" s="143" t="s">
        <v>78</v>
      </c>
      <c r="D510" s="140"/>
      <c r="E510" s="143" t="s">
        <v>761</v>
      </c>
      <c r="F510" s="174">
        <v>-4537.53</v>
      </c>
      <c r="G510" s="142"/>
      <c r="H510" s="249" t="s">
        <v>762</v>
      </c>
      <c r="I510" s="175" t="s">
        <v>145</v>
      </c>
      <c r="J510" s="109">
        <v>46167</v>
      </c>
      <c r="K510" s="160"/>
      <c r="L510" s="111"/>
      <c r="M510" s="196"/>
    </row>
    <row r="511" spans="1:13" customFormat="1" x14ac:dyDescent="0.35">
      <c r="A511" s="109">
        <v>46053</v>
      </c>
      <c r="B511" s="111" t="s">
        <v>65</v>
      </c>
      <c r="C511" s="111" t="s">
        <v>71</v>
      </c>
      <c r="D511" s="111"/>
      <c r="E511" s="111" t="s">
        <v>763</v>
      </c>
      <c r="F511" s="153">
        <v>-861</v>
      </c>
      <c r="G511" s="135">
        <f>A511+30</f>
        <v>46083</v>
      </c>
      <c r="H511" s="133" t="s">
        <v>59</v>
      </c>
      <c r="I511" s="133" t="s">
        <v>119</v>
      </c>
      <c r="J511" s="111"/>
      <c r="K511" s="160"/>
      <c r="L511" s="111"/>
      <c r="M511" s="196"/>
    </row>
    <row r="512" spans="1:13" customFormat="1" x14ac:dyDescent="0.35">
      <c r="A512" s="109">
        <v>46085</v>
      </c>
      <c r="B512" s="111" t="s">
        <v>65</v>
      </c>
      <c r="C512" s="111" t="s">
        <v>24</v>
      </c>
      <c r="D512" s="111"/>
      <c r="E512" s="111" t="s">
        <v>764</v>
      </c>
      <c r="F512" s="262">
        <v>-1846.58</v>
      </c>
      <c r="G512" s="135">
        <v>46085</v>
      </c>
      <c r="H512" s="133" t="s">
        <v>59</v>
      </c>
      <c r="I512" s="133" t="s">
        <v>119</v>
      </c>
      <c r="J512" s="111"/>
      <c r="K512" s="160"/>
      <c r="L512" s="111"/>
      <c r="M512" s="196"/>
    </row>
    <row r="513" spans="1:13" customFormat="1" x14ac:dyDescent="0.35">
      <c r="A513" s="109">
        <v>45678</v>
      </c>
      <c r="B513" s="121" t="s">
        <v>65</v>
      </c>
      <c r="C513" s="121" t="s">
        <v>79</v>
      </c>
      <c r="D513" s="111"/>
      <c r="E513" s="121" t="s">
        <v>765</v>
      </c>
      <c r="F513" s="149">
        <v>-246</v>
      </c>
      <c r="G513" s="135">
        <v>45678</v>
      </c>
      <c r="H513" s="133" t="s">
        <v>66</v>
      </c>
      <c r="I513" s="133" t="s">
        <v>119</v>
      </c>
      <c r="J513" s="111"/>
      <c r="K513" s="135">
        <v>45695</v>
      </c>
      <c r="L513" s="153">
        <f>F513</f>
        <v>-246</v>
      </c>
      <c r="M513" s="111"/>
    </row>
    <row r="514" spans="1:13" customFormat="1" x14ac:dyDescent="0.35">
      <c r="A514" s="176">
        <v>45951</v>
      </c>
      <c r="B514" s="140" t="s">
        <v>65</v>
      </c>
      <c r="C514" s="140" t="s">
        <v>79</v>
      </c>
      <c r="D514" s="140"/>
      <c r="E514" s="140" t="s">
        <v>766</v>
      </c>
      <c r="F514" s="174">
        <v>-246</v>
      </c>
      <c r="G514" s="142"/>
      <c r="H514" s="142" t="s">
        <v>66</v>
      </c>
      <c r="I514" s="142" t="s">
        <v>145</v>
      </c>
      <c r="J514" s="111"/>
      <c r="K514" s="135">
        <v>45953</v>
      </c>
      <c r="L514" s="111"/>
      <c r="M514" s="196"/>
    </row>
    <row r="515" spans="1:13" customFormat="1" x14ac:dyDescent="0.35">
      <c r="A515" s="109">
        <v>46013</v>
      </c>
      <c r="B515" s="111" t="s">
        <v>65</v>
      </c>
      <c r="C515" s="121" t="s">
        <v>767</v>
      </c>
      <c r="D515" s="111"/>
      <c r="E515" s="121" t="s">
        <v>768</v>
      </c>
      <c r="F515" s="153">
        <v>-615</v>
      </c>
      <c r="G515" s="226">
        <f>A515+30</f>
        <v>46043</v>
      </c>
      <c r="H515" s="133" t="s">
        <v>66</v>
      </c>
      <c r="I515" s="133" t="s">
        <v>769</v>
      </c>
      <c r="J515" s="111"/>
      <c r="K515" s="160">
        <v>46091</v>
      </c>
      <c r="L515" s="111"/>
      <c r="M515" s="196"/>
    </row>
    <row r="516" spans="1:13" customFormat="1" x14ac:dyDescent="0.35">
      <c r="A516" s="109">
        <v>45686</v>
      </c>
      <c r="B516" s="111" t="s">
        <v>65</v>
      </c>
      <c r="C516" s="111" t="s">
        <v>80</v>
      </c>
      <c r="D516" s="111"/>
      <c r="E516" s="111" t="s">
        <v>770</v>
      </c>
      <c r="F516" s="153">
        <v>-13.65</v>
      </c>
      <c r="G516" s="135"/>
      <c r="H516" s="133" t="s">
        <v>66</v>
      </c>
      <c r="I516" s="133" t="s">
        <v>119</v>
      </c>
      <c r="J516" s="111"/>
      <c r="K516" s="135">
        <v>45709</v>
      </c>
      <c r="L516" s="153">
        <f>F516</f>
        <v>-13.65</v>
      </c>
      <c r="M516" s="111" t="s">
        <v>771</v>
      </c>
    </row>
    <row r="517" spans="1:13" customFormat="1" x14ac:dyDescent="0.35">
      <c r="A517" s="180">
        <v>45911</v>
      </c>
      <c r="B517" s="111" t="s">
        <v>65</v>
      </c>
      <c r="C517" s="215" t="s">
        <v>81</v>
      </c>
      <c r="D517" s="111"/>
      <c r="E517" s="111"/>
      <c r="F517" s="153">
        <v>-188.84</v>
      </c>
      <c r="G517" s="135">
        <v>45922</v>
      </c>
      <c r="H517" s="133" t="s">
        <v>66</v>
      </c>
      <c r="I517" s="133" t="s">
        <v>119</v>
      </c>
      <c r="J517" s="111"/>
      <c r="K517" s="135">
        <v>45912</v>
      </c>
      <c r="L517" s="111"/>
      <c r="M517" s="206">
        <v>162412519859598</v>
      </c>
    </row>
    <row r="518" spans="1:13" customFormat="1" x14ac:dyDescent="0.35">
      <c r="A518" s="109">
        <v>45603</v>
      </c>
      <c r="B518" s="111" t="s">
        <v>65</v>
      </c>
      <c r="C518" s="111" t="s">
        <v>41</v>
      </c>
      <c r="D518" s="111"/>
      <c r="E518" s="111"/>
      <c r="F518" s="149">
        <v>-13</v>
      </c>
      <c r="G518" s="135"/>
      <c r="H518" s="133" t="s">
        <v>66</v>
      </c>
      <c r="I518" s="133" t="s">
        <v>119</v>
      </c>
      <c r="J518" s="111"/>
      <c r="K518" s="135">
        <v>45616</v>
      </c>
      <c r="L518" s="153">
        <f t="shared" ref="L518:L531" si="23">F518</f>
        <v>-13</v>
      </c>
      <c r="M518" s="111" t="s">
        <v>772</v>
      </c>
    </row>
    <row r="519" spans="1:13" customFormat="1" x14ac:dyDescent="0.35">
      <c r="A519" s="109">
        <v>45603</v>
      </c>
      <c r="B519" s="111" t="s">
        <v>65</v>
      </c>
      <c r="C519" s="121" t="s">
        <v>46</v>
      </c>
      <c r="D519" s="111"/>
      <c r="E519" s="111">
        <v>80647346486</v>
      </c>
      <c r="F519" s="149">
        <v>-620.01</v>
      </c>
      <c r="G519" s="135"/>
      <c r="H519" s="133" t="s">
        <v>66</v>
      </c>
      <c r="I519" s="133" t="s">
        <v>119</v>
      </c>
      <c r="J519" s="111"/>
      <c r="K519" s="135">
        <v>45616</v>
      </c>
      <c r="L519" s="153">
        <f t="shared" si="23"/>
        <v>-620.01</v>
      </c>
      <c r="M519" s="111" t="s">
        <v>773</v>
      </c>
    </row>
    <row r="520" spans="1:13" customFormat="1" x14ac:dyDescent="0.35">
      <c r="A520" s="109">
        <v>45603</v>
      </c>
      <c r="B520" s="111" t="s">
        <v>65</v>
      </c>
      <c r="C520" s="111" t="s">
        <v>43</v>
      </c>
      <c r="D520" s="111"/>
      <c r="E520" s="111"/>
      <c r="F520" s="131">
        <v>-3609.67</v>
      </c>
      <c r="G520" s="135"/>
      <c r="H520" s="133" t="s">
        <v>66</v>
      </c>
      <c r="I520" s="133" t="s">
        <v>119</v>
      </c>
      <c r="J520" s="111"/>
      <c r="K520" s="135">
        <v>45616</v>
      </c>
      <c r="L520" s="153">
        <f t="shared" si="23"/>
        <v>-3609.67</v>
      </c>
      <c r="M520" s="111"/>
    </row>
    <row r="521" spans="1:13" customFormat="1" x14ac:dyDescent="0.35">
      <c r="A521" s="109">
        <v>45635</v>
      </c>
      <c r="B521" s="111" t="s">
        <v>65</v>
      </c>
      <c r="C521" s="111" t="s">
        <v>41</v>
      </c>
      <c r="D521" s="111"/>
      <c r="E521" s="111"/>
      <c r="F521" s="149">
        <v>-73</v>
      </c>
      <c r="G521" s="135"/>
      <c r="H521" s="133" t="s">
        <v>66</v>
      </c>
      <c r="I521" s="133"/>
      <c r="J521" s="111"/>
      <c r="K521" s="135">
        <v>45646</v>
      </c>
      <c r="L521" s="153">
        <f t="shared" si="23"/>
        <v>-73</v>
      </c>
      <c r="M521" s="111" t="s">
        <v>774</v>
      </c>
    </row>
    <row r="522" spans="1:13" customFormat="1" x14ac:dyDescent="0.35">
      <c r="A522" s="109">
        <v>45635</v>
      </c>
      <c r="B522" s="111" t="s">
        <v>65</v>
      </c>
      <c r="C522" s="121" t="s">
        <v>46</v>
      </c>
      <c r="D522" s="111"/>
      <c r="E522" s="111"/>
      <c r="F522" s="149">
        <v>-602.51</v>
      </c>
      <c r="G522" s="135"/>
      <c r="H522" s="133" t="s">
        <v>66</v>
      </c>
      <c r="I522" s="133"/>
      <c r="J522" s="111"/>
      <c r="K522" s="135">
        <v>45646</v>
      </c>
      <c r="L522" s="153">
        <f t="shared" si="23"/>
        <v>-602.51</v>
      </c>
      <c r="M522" s="111" t="s">
        <v>775</v>
      </c>
    </row>
    <row r="523" spans="1:13" customFormat="1" x14ac:dyDescent="0.35">
      <c r="A523" s="109">
        <v>45635</v>
      </c>
      <c r="B523" s="111" t="s">
        <v>65</v>
      </c>
      <c r="C523" s="111" t="s">
        <v>43</v>
      </c>
      <c r="D523" s="111"/>
      <c r="E523" s="111"/>
      <c r="F523" s="131">
        <v>-2739.75</v>
      </c>
      <c r="G523" s="135">
        <f>IF(OR(C523="Matosinhos",C523="Bolhão"),A523,A523+30)</f>
        <v>45665</v>
      </c>
      <c r="H523" s="133" t="s">
        <v>66</v>
      </c>
      <c r="I523" s="133"/>
      <c r="J523" s="111"/>
      <c r="K523" s="135">
        <v>45646</v>
      </c>
      <c r="L523" s="153">
        <f t="shared" si="23"/>
        <v>-2739.75</v>
      </c>
      <c r="M523" s="111" t="s">
        <v>776</v>
      </c>
    </row>
    <row r="524" spans="1:13" customFormat="1" x14ac:dyDescent="0.35">
      <c r="A524" s="109">
        <v>45665</v>
      </c>
      <c r="B524" s="111" t="s">
        <v>65</v>
      </c>
      <c r="C524" s="121" t="s">
        <v>46</v>
      </c>
      <c r="D524" s="111"/>
      <c r="E524" s="111"/>
      <c r="F524" s="149">
        <v>-641.61</v>
      </c>
      <c r="G524" s="135">
        <v>45677</v>
      </c>
      <c r="H524" s="133" t="s">
        <v>66</v>
      </c>
      <c r="I524" s="133"/>
      <c r="J524" s="111"/>
      <c r="K524" s="135">
        <v>45677</v>
      </c>
      <c r="L524" s="153">
        <f t="shared" si="23"/>
        <v>-641.61</v>
      </c>
      <c r="M524" s="111" t="s">
        <v>777</v>
      </c>
    </row>
    <row r="525" spans="1:13" customFormat="1" x14ac:dyDescent="0.35">
      <c r="A525" s="109">
        <v>45665</v>
      </c>
      <c r="B525" s="111" t="s">
        <v>65</v>
      </c>
      <c r="C525" s="111" t="s">
        <v>43</v>
      </c>
      <c r="D525" s="111"/>
      <c r="E525" s="111"/>
      <c r="F525" s="149">
        <v>-3065.35</v>
      </c>
      <c r="G525" s="135">
        <v>45677</v>
      </c>
      <c r="H525" s="133" t="s">
        <v>66</v>
      </c>
      <c r="I525" s="133"/>
      <c r="J525" s="111"/>
      <c r="K525" s="135">
        <v>45677</v>
      </c>
      <c r="L525" s="153">
        <f t="shared" si="23"/>
        <v>-3065.35</v>
      </c>
      <c r="M525" s="111" t="s">
        <v>778</v>
      </c>
    </row>
    <row r="526" spans="1:13" customFormat="1" x14ac:dyDescent="0.35">
      <c r="A526" s="109">
        <v>45701</v>
      </c>
      <c r="B526" s="111" t="s">
        <v>65</v>
      </c>
      <c r="C526" s="111" t="s">
        <v>41</v>
      </c>
      <c r="D526" s="170"/>
      <c r="E526" s="111"/>
      <c r="F526" s="153">
        <v>-16</v>
      </c>
      <c r="G526" s="135">
        <v>45708</v>
      </c>
      <c r="H526" s="133" t="s">
        <v>66</v>
      </c>
      <c r="I526" s="133" t="s">
        <v>119</v>
      </c>
      <c r="J526" s="111"/>
      <c r="K526" s="135"/>
      <c r="L526" s="153">
        <f t="shared" si="23"/>
        <v>-16</v>
      </c>
      <c r="M526" s="111" t="s">
        <v>779</v>
      </c>
    </row>
    <row r="527" spans="1:13" customFormat="1" x14ac:dyDescent="0.35">
      <c r="A527" s="109">
        <v>45701</v>
      </c>
      <c r="B527" s="111" t="s">
        <v>65</v>
      </c>
      <c r="C527" s="111" t="s">
        <v>780</v>
      </c>
      <c r="D527" s="111"/>
      <c r="E527" s="111"/>
      <c r="F527" s="153">
        <v>-580.61</v>
      </c>
      <c r="G527" s="135">
        <v>45713</v>
      </c>
      <c r="H527" s="133" t="s">
        <v>66</v>
      </c>
      <c r="I527" s="133" t="s">
        <v>119</v>
      </c>
      <c r="J527" s="135">
        <v>45713</v>
      </c>
      <c r="K527" s="135">
        <v>45713</v>
      </c>
      <c r="L527" s="153">
        <f t="shared" si="23"/>
        <v>-580.61</v>
      </c>
      <c r="M527" s="111" t="s">
        <v>781</v>
      </c>
    </row>
    <row r="528" spans="1:13" customFormat="1" x14ac:dyDescent="0.35">
      <c r="A528" s="109">
        <v>45701</v>
      </c>
      <c r="B528" s="111" t="s">
        <v>65</v>
      </c>
      <c r="C528" s="111" t="s">
        <v>782</v>
      </c>
      <c r="D528" s="111"/>
      <c r="E528" s="111"/>
      <c r="F528" s="153">
        <v>-580.61</v>
      </c>
      <c r="G528" s="135">
        <v>45741</v>
      </c>
      <c r="H528" s="133" t="s">
        <v>66</v>
      </c>
      <c r="I528" s="133" t="s">
        <v>119</v>
      </c>
      <c r="J528" s="135">
        <v>45741</v>
      </c>
      <c r="K528" s="135">
        <v>45736</v>
      </c>
      <c r="L528" s="153">
        <f t="shared" si="23"/>
        <v>-580.61</v>
      </c>
      <c r="M528" s="179">
        <v>162870028156811</v>
      </c>
    </row>
    <row r="529" spans="1:13" customFormat="1" x14ac:dyDescent="0.35">
      <c r="A529" s="109">
        <v>45701</v>
      </c>
      <c r="B529" s="111" t="s">
        <v>65</v>
      </c>
      <c r="C529" s="111" t="s">
        <v>783</v>
      </c>
      <c r="D529" s="111"/>
      <c r="E529" s="111"/>
      <c r="F529" s="153">
        <v>-580.62</v>
      </c>
      <c r="G529" s="135">
        <v>45775</v>
      </c>
      <c r="H529" s="133" t="s">
        <v>66</v>
      </c>
      <c r="I529" s="133" t="s">
        <v>119</v>
      </c>
      <c r="J529" s="135">
        <v>45775</v>
      </c>
      <c r="K529" s="135">
        <v>45768</v>
      </c>
      <c r="L529" s="153">
        <f t="shared" si="23"/>
        <v>-580.62</v>
      </c>
      <c r="M529" s="179">
        <v>162770028156820</v>
      </c>
    </row>
    <row r="530" spans="1:13" customFormat="1" x14ac:dyDescent="0.35">
      <c r="A530" s="109">
        <v>45701</v>
      </c>
      <c r="B530" s="111" t="s">
        <v>65</v>
      </c>
      <c r="C530" s="111" t="s">
        <v>43</v>
      </c>
      <c r="D530" s="111"/>
      <c r="E530" s="111"/>
      <c r="F530" s="153">
        <v>-2702.68</v>
      </c>
      <c r="G530" s="135">
        <v>45708</v>
      </c>
      <c r="H530" s="133" t="s">
        <v>66</v>
      </c>
      <c r="I530" s="133" t="s">
        <v>119</v>
      </c>
      <c r="J530" s="111"/>
      <c r="K530" s="135"/>
      <c r="L530" s="153">
        <f t="shared" si="23"/>
        <v>-2702.68</v>
      </c>
      <c r="M530" s="111" t="s">
        <v>784</v>
      </c>
    </row>
    <row r="531" spans="1:13" customFormat="1" x14ac:dyDescent="0.35">
      <c r="A531" s="109">
        <v>45702</v>
      </c>
      <c r="B531" s="111" t="s">
        <v>65</v>
      </c>
      <c r="C531" s="121" t="s">
        <v>46</v>
      </c>
      <c r="D531" s="153"/>
      <c r="E531" s="111"/>
      <c r="F531" s="153">
        <v>-602.51</v>
      </c>
      <c r="G531" s="135">
        <v>45708</v>
      </c>
      <c r="H531" s="133" t="s">
        <v>66</v>
      </c>
      <c r="I531" s="133" t="s">
        <v>119</v>
      </c>
      <c r="J531" s="111"/>
      <c r="K531" s="135"/>
      <c r="L531" s="153">
        <f t="shared" si="23"/>
        <v>-602.51</v>
      </c>
      <c r="M531" s="111" t="s">
        <v>785</v>
      </c>
    </row>
    <row r="532" spans="1:13" customFormat="1" x14ac:dyDescent="0.35">
      <c r="A532" s="109">
        <v>45728</v>
      </c>
      <c r="B532" s="111" t="s">
        <v>65</v>
      </c>
      <c r="C532" s="111" t="s">
        <v>41</v>
      </c>
      <c r="D532" s="111"/>
      <c r="E532" s="111"/>
      <c r="F532" s="153">
        <v>-39</v>
      </c>
      <c r="G532" s="135"/>
      <c r="H532" s="133" t="s">
        <v>66</v>
      </c>
      <c r="I532" s="133" t="s">
        <v>119</v>
      </c>
      <c r="J532" s="111"/>
      <c r="K532" s="135">
        <v>45736</v>
      </c>
      <c r="L532" s="153"/>
      <c r="M532" s="179">
        <v>156290226930343</v>
      </c>
    </row>
    <row r="533" spans="1:13" customFormat="1" x14ac:dyDescent="0.35">
      <c r="A533" s="109">
        <v>45728</v>
      </c>
      <c r="B533" s="111" t="s">
        <v>65</v>
      </c>
      <c r="C533" s="121" t="s">
        <v>46</v>
      </c>
      <c r="D533" s="111"/>
      <c r="E533" s="111"/>
      <c r="F533" s="153">
        <v>-602.51</v>
      </c>
      <c r="G533" s="135"/>
      <c r="H533" s="134" t="s">
        <v>66</v>
      </c>
      <c r="I533" s="133" t="s">
        <v>119</v>
      </c>
      <c r="J533" s="111"/>
      <c r="K533" s="135">
        <v>45736</v>
      </c>
      <c r="L533" s="153"/>
      <c r="M533" s="179">
        <v>156480655532412</v>
      </c>
    </row>
    <row r="534" spans="1:13" customFormat="1" x14ac:dyDescent="0.35">
      <c r="A534" s="109">
        <v>45728</v>
      </c>
      <c r="B534" s="111" t="s">
        <v>65</v>
      </c>
      <c r="C534" s="111" t="s">
        <v>43</v>
      </c>
      <c r="D534" s="111"/>
      <c r="E534" s="111"/>
      <c r="F534" s="153">
        <v>-2748.29</v>
      </c>
      <c r="G534" s="135">
        <v>45736</v>
      </c>
      <c r="H534" s="134" t="s">
        <v>66</v>
      </c>
      <c r="I534" s="133" t="s">
        <v>119</v>
      </c>
      <c r="J534" s="111"/>
      <c r="K534" s="135">
        <v>45736</v>
      </c>
      <c r="L534" s="153"/>
      <c r="M534" s="111" t="s">
        <v>786</v>
      </c>
    </row>
    <row r="535" spans="1:13" customFormat="1" x14ac:dyDescent="0.35">
      <c r="A535" s="109">
        <v>45755</v>
      </c>
      <c r="B535" s="111" t="s">
        <v>65</v>
      </c>
      <c r="C535" s="111" t="s">
        <v>41</v>
      </c>
      <c r="D535" s="111"/>
      <c r="E535" s="111"/>
      <c r="F535" s="153">
        <v>-18</v>
      </c>
      <c r="G535" s="135">
        <v>45767</v>
      </c>
      <c r="H535" s="133" t="s">
        <v>66</v>
      </c>
      <c r="I535" s="133" t="s">
        <v>119</v>
      </c>
      <c r="J535" s="111"/>
      <c r="K535" s="135">
        <v>45768</v>
      </c>
      <c r="L535" s="153">
        <f>F535</f>
        <v>-18</v>
      </c>
      <c r="M535" s="184">
        <v>156490229807879</v>
      </c>
    </row>
    <row r="536" spans="1:13" customFormat="1" x14ac:dyDescent="0.35">
      <c r="A536" s="109">
        <v>45755</v>
      </c>
      <c r="B536" s="111" t="s">
        <v>65</v>
      </c>
      <c r="C536" s="121" t="s">
        <v>46</v>
      </c>
      <c r="D536" s="111"/>
      <c r="E536" s="111"/>
      <c r="F536" s="153">
        <v>-602.51</v>
      </c>
      <c r="G536" s="135">
        <v>45767</v>
      </c>
      <c r="H536" s="133" t="s">
        <v>66</v>
      </c>
      <c r="I536" s="133" t="s">
        <v>119</v>
      </c>
      <c r="J536" s="111"/>
      <c r="K536" s="135">
        <v>45768</v>
      </c>
      <c r="L536" s="153">
        <f>F536</f>
        <v>-602.51</v>
      </c>
      <c r="M536" s="184">
        <v>156780657500666</v>
      </c>
    </row>
    <row r="537" spans="1:13" customFormat="1" x14ac:dyDescent="0.35">
      <c r="A537" s="109">
        <v>45755</v>
      </c>
      <c r="B537" s="111" t="s">
        <v>65</v>
      </c>
      <c r="C537" s="111" t="s">
        <v>43</v>
      </c>
      <c r="D537" s="111"/>
      <c r="E537" s="111"/>
      <c r="F537" s="153">
        <v>-2822.57</v>
      </c>
      <c r="G537" s="135">
        <v>45767</v>
      </c>
      <c r="H537" s="133" t="s">
        <v>66</v>
      </c>
      <c r="I537" s="133" t="s">
        <v>119</v>
      </c>
      <c r="J537" s="111"/>
      <c r="K537" s="135">
        <v>45768</v>
      </c>
      <c r="L537" s="153">
        <f>F537</f>
        <v>-2822.57</v>
      </c>
      <c r="M537" s="111" t="s">
        <v>787</v>
      </c>
    </row>
    <row r="538" spans="1:13" customFormat="1" x14ac:dyDescent="0.35">
      <c r="A538" s="109">
        <v>45792</v>
      </c>
      <c r="B538" s="111" t="s">
        <v>65</v>
      </c>
      <c r="C538" s="111" t="s">
        <v>41</v>
      </c>
      <c r="D538" s="111"/>
      <c r="E538" s="111"/>
      <c r="F538" s="153">
        <v>-25</v>
      </c>
      <c r="G538" s="135">
        <v>45797</v>
      </c>
      <c r="H538" s="134" t="s">
        <v>66</v>
      </c>
      <c r="I538" s="133" t="s">
        <v>119</v>
      </c>
      <c r="J538" s="135"/>
      <c r="K538" s="135">
        <v>45797</v>
      </c>
      <c r="L538" s="111"/>
      <c r="M538" s="187">
        <v>156990232379777</v>
      </c>
    </row>
    <row r="539" spans="1:13" customFormat="1" x14ac:dyDescent="0.35">
      <c r="A539" s="109">
        <v>45701</v>
      </c>
      <c r="B539" s="111" t="s">
        <v>57</v>
      </c>
      <c r="C539" s="111" t="s">
        <v>25</v>
      </c>
      <c r="D539" s="111" t="s">
        <v>715</v>
      </c>
      <c r="E539" s="111" t="s">
        <v>788</v>
      </c>
      <c r="F539" s="153">
        <v>82.66</v>
      </c>
      <c r="G539" s="135">
        <v>45727</v>
      </c>
      <c r="H539" s="133" t="s">
        <v>66</v>
      </c>
      <c r="I539" s="133" t="s">
        <v>135</v>
      </c>
      <c r="J539" s="111"/>
      <c r="K539" s="135">
        <v>45817</v>
      </c>
      <c r="L539" s="153">
        <f>F539</f>
        <v>82.66</v>
      </c>
      <c r="M539" s="111">
        <v>517102854</v>
      </c>
    </row>
    <row r="540" spans="1:13" x14ac:dyDescent="0.35">
      <c r="A540" s="109">
        <v>45708</v>
      </c>
      <c r="B540" s="111" t="s">
        <v>57</v>
      </c>
      <c r="C540" s="111" t="s">
        <v>25</v>
      </c>
      <c r="D540" s="111" t="s">
        <v>715</v>
      </c>
      <c r="E540" s="111" t="s">
        <v>789</v>
      </c>
      <c r="F540" s="153">
        <v>43.97</v>
      </c>
      <c r="G540" s="135">
        <v>45736</v>
      </c>
      <c r="H540" s="133" t="s">
        <v>66</v>
      </c>
      <c r="I540" s="133" t="s">
        <v>135</v>
      </c>
      <c r="K540" s="135">
        <v>45817</v>
      </c>
      <c r="L540" s="153">
        <f>F540</f>
        <v>43.97</v>
      </c>
      <c r="M540" s="111">
        <v>517102854</v>
      </c>
    </row>
    <row r="541" spans="1:13" s="76" customFormat="1" x14ac:dyDescent="0.35">
      <c r="A541" s="109">
        <v>45715</v>
      </c>
      <c r="B541" s="145" t="s">
        <v>57</v>
      </c>
      <c r="C541" s="145" t="s">
        <v>25</v>
      </c>
      <c r="D541" s="145" t="s">
        <v>715</v>
      </c>
      <c r="E541" s="145" t="s">
        <v>790</v>
      </c>
      <c r="F541" s="169">
        <v>95.88</v>
      </c>
      <c r="G541" s="138">
        <v>45743</v>
      </c>
      <c r="H541" s="147" t="s">
        <v>66</v>
      </c>
      <c r="I541" s="147" t="s">
        <v>135</v>
      </c>
      <c r="J541" s="145"/>
      <c r="K541" s="135">
        <v>45817</v>
      </c>
      <c r="L541" s="153">
        <f>F541</f>
        <v>95.88</v>
      </c>
      <c r="M541" s="145">
        <v>517102854</v>
      </c>
    </row>
    <row r="542" spans="1:13" customFormat="1" x14ac:dyDescent="0.35">
      <c r="A542" s="109">
        <v>45792</v>
      </c>
      <c r="B542" s="111" t="s">
        <v>65</v>
      </c>
      <c r="C542" s="121" t="s">
        <v>46</v>
      </c>
      <c r="D542" s="111"/>
      <c r="E542" s="111"/>
      <c r="F542" s="153">
        <v>-602.51</v>
      </c>
      <c r="G542" s="135">
        <v>45797</v>
      </c>
      <c r="H542" s="134" t="s">
        <v>66</v>
      </c>
      <c r="I542" s="133" t="s">
        <v>119</v>
      </c>
      <c r="J542" s="135"/>
      <c r="K542" s="135">
        <v>45797</v>
      </c>
      <c r="L542" s="111"/>
      <c r="M542" s="187">
        <v>156980659307243</v>
      </c>
    </row>
    <row r="543" spans="1:13" customFormat="1" x14ac:dyDescent="0.35">
      <c r="A543" s="109">
        <v>45792</v>
      </c>
      <c r="B543" s="111" t="s">
        <v>65</v>
      </c>
      <c r="C543" s="111" t="s">
        <v>43</v>
      </c>
      <c r="D543" s="111"/>
      <c r="E543" s="111"/>
      <c r="F543" s="153">
        <v>-3677.12</v>
      </c>
      <c r="G543" s="135">
        <v>45797</v>
      </c>
      <c r="H543" s="134" t="s">
        <v>66</v>
      </c>
      <c r="I543" s="133" t="s">
        <v>119</v>
      </c>
      <c r="J543" s="135">
        <v>45797</v>
      </c>
      <c r="K543" s="135"/>
      <c r="L543" s="111"/>
      <c r="M543" s="111"/>
    </row>
    <row r="544" spans="1:13" customFormat="1" x14ac:dyDescent="0.35">
      <c r="A544" s="109">
        <v>45798</v>
      </c>
      <c r="B544" s="111" t="s">
        <v>65</v>
      </c>
      <c r="C544" s="121" t="s">
        <v>54</v>
      </c>
      <c r="D544" s="111"/>
      <c r="E544" s="111"/>
      <c r="F544" s="153">
        <v>-1347.56</v>
      </c>
      <c r="G544" s="135">
        <v>45807</v>
      </c>
      <c r="H544" s="134" t="s">
        <v>66</v>
      </c>
      <c r="I544" s="133" t="s">
        <v>119</v>
      </c>
      <c r="J544" s="111"/>
      <c r="K544" s="135">
        <v>45807</v>
      </c>
      <c r="L544" s="111"/>
      <c r="M544" s="121" t="s">
        <v>791</v>
      </c>
    </row>
    <row r="545" spans="1:14" customFormat="1" x14ac:dyDescent="0.35">
      <c r="A545" s="109">
        <v>45727</v>
      </c>
      <c r="B545" s="111" t="s">
        <v>57</v>
      </c>
      <c r="C545" s="111" t="s">
        <v>25</v>
      </c>
      <c r="D545" s="111" t="s">
        <v>715</v>
      </c>
      <c r="E545" s="111" t="s">
        <v>792</v>
      </c>
      <c r="F545" s="153">
        <v>109.48</v>
      </c>
      <c r="G545" s="135">
        <f>A545+30</f>
        <v>45757</v>
      </c>
      <c r="H545" s="133" t="s">
        <v>66</v>
      </c>
      <c r="I545" s="133" t="s">
        <v>135</v>
      </c>
      <c r="J545" s="111"/>
      <c r="K545" s="135">
        <v>45817</v>
      </c>
      <c r="L545" s="153">
        <f>F545</f>
        <v>109.48</v>
      </c>
      <c r="M545" s="111">
        <v>517102854</v>
      </c>
      <c r="N545" s="76"/>
    </row>
    <row r="546" spans="1:14" customFormat="1" x14ac:dyDescent="0.35">
      <c r="A546" s="109">
        <v>45798</v>
      </c>
      <c r="B546" s="111" t="s">
        <v>65</v>
      </c>
      <c r="C546" s="121" t="s">
        <v>54</v>
      </c>
      <c r="D546" s="111"/>
      <c r="E546" s="111"/>
      <c r="F546" s="194">
        <v>-1347.55</v>
      </c>
      <c r="G546" s="135">
        <v>45833</v>
      </c>
      <c r="H546" s="133" t="s">
        <v>66</v>
      </c>
      <c r="I546" s="133" t="s">
        <v>119</v>
      </c>
      <c r="J546" s="111"/>
      <c r="K546" s="135">
        <v>45842</v>
      </c>
      <c r="L546" s="169">
        <f>F546</f>
        <v>-1347.55</v>
      </c>
      <c r="M546" s="144" t="s">
        <v>793</v>
      </c>
    </row>
    <row r="547" spans="1:14" customFormat="1" x14ac:dyDescent="0.35">
      <c r="A547" s="109">
        <v>45798</v>
      </c>
      <c r="B547" s="111" t="s">
        <v>65</v>
      </c>
      <c r="C547" s="121" t="s">
        <v>54</v>
      </c>
      <c r="D547" s="111"/>
      <c r="E547" s="111"/>
      <c r="F547" s="153">
        <v>-1347.56</v>
      </c>
      <c r="G547" s="135">
        <v>45863</v>
      </c>
      <c r="H547" s="133" t="s">
        <v>66</v>
      </c>
      <c r="I547" s="133" t="s">
        <v>119</v>
      </c>
      <c r="J547" s="111"/>
      <c r="K547" s="135">
        <v>45863</v>
      </c>
      <c r="L547" s="153">
        <f>F547</f>
        <v>-1347.56</v>
      </c>
      <c r="M547" s="121" t="s">
        <v>794</v>
      </c>
    </row>
    <row r="548" spans="1:14" customFormat="1" x14ac:dyDescent="0.35">
      <c r="A548" s="109">
        <v>45820</v>
      </c>
      <c r="B548" s="111" t="s">
        <v>65</v>
      </c>
      <c r="C548" s="111" t="s">
        <v>41</v>
      </c>
      <c r="D548" s="111"/>
      <c r="E548" s="111"/>
      <c r="F548" s="153">
        <v>-29</v>
      </c>
      <c r="G548" s="135">
        <v>45828</v>
      </c>
      <c r="H548" s="133" t="s">
        <v>66</v>
      </c>
      <c r="I548" s="133" t="s">
        <v>119</v>
      </c>
      <c r="J548" s="111"/>
      <c r="K548" s="135">
        <v>45828</v>
      </c>
      <c r="L548" s="111"/>
      <c r="M548" s="184">
        <v>156990235792233</v>
      </c>
    </row>
    <row r="549" spans="1:14" customFormat="1" x14ac:dyDescent="0.35">
      <c r="A549" s="109">
        <v>45758</v>
      </c>
      <c r="B549" s="121" t="s">
        <v>57</v>
      </c>
      <c r="C549" s="111" t="s">
        <v>25</v>
      </c>
      <c r="D549" s="111" t="s">
        <v>715</v>
      </c>
      <c r="E549" s="121" t="s">
        <v>795</v>
      </c>
      <c r="F549" s="153">
        <v>90.69</v>
      </c>
      <c r="G549" s="135">
        <v>45788</v>
      </c>
      <c r="H549" s="134" t="s">
        <v>66</v>
      </c>
      <c r="I549" s="133" t="s">
        <v>135</v>
      </c>
      <c r="J549" s="111"/>
      <c r="K549" s="135">
        <v>45873</v>
      </c>
      <c r="L549" s="111">
        <f>F549</f>
        <v>90.69</v>
      </c>
      <c r="M549" s="196"/>
      <c r="N549" s="76"/>
    </row>
    <row r="550" spans="1:14" customFormat="1" x14ac:dyDescent="0.35">
      <c r="A550" s="109">
        <v>45765</v>
      </c>
      <c r="B550" s="121" t="s">
        <v>57</v>
      </c>
      <c r="C550" s="111" t="s">
        <v>25</v>
      </c>
      <c r="D550" s="111" t="s">
        <v>715</v>
      </c>
      <c r="E550" s="121" t="s">
        <v>796</v>
      </c>
      <c r="F550" s="153">
        <v>91.53</v>
      </c>
      <c r="G550" s="135">
        <v>45794</v>
      </c>
      <c r="H550" s="134" t="s">
        <v>66</v>
      </c>
      <c r="I550" s="133" t="s">
        <v>135</v>
      </c>
      <c r="J550" s="111"/>
      <c r="K550" s="135">
        <v>45873</v>
      </c>
      <c r="L550" s="169">
        <f>F550</f>
        <v>91.53</v>
      </c>
      <c r="M550" s="198">
        <v>517102854</v>
      </c>
    </row>
    <row r="551" spans="1:14" customFormat="1" x14ac:dyDescent="0.35">
      <c r="A551" s="109">
        <v>45840</v>
      </c>
      <c r="B551" s="111" t="s">
        <v>57</v>
      </c>
      <c r="C551" s="111" t="s">
        <v>25</v>
      </c>
      <c r="D551" s="111" t="s">
        <v>715</v>
      </c>
      <c r="E551" s="121" t="s">
        <v>797</v>
      </c>
      <c r="F551" s="153">
        <v>79.16</v>
      </c>
      <c r="G551" s="135">
        <f>A551+30</f>
        <v>45870</v>
      </c>
      <c r="H551" s="200" t="s">
        <v>798</v>
      </c>
      <c r="I551" s="133" t="s">
        <v>135</v>
      </c>
      <c r="J551" s="111"/>
      <c r="K551" s="135"/>
      <c r="L551" s="111"/>
      <c r="M551" s="196"/>
      <c r="N551" s="76"/>
    </row>
    <row r="552" spans="1:14" customFormat="1" x14ac:dyDescent="0.35">
      <c r="A552" s="109">
        <v>45779</v>
      </c>
      <c r="B552" s="111" t="s">
        <v>57</v>
      </c>
      <c r="C552" s="111" t="s">
        <v>25</v>
      </c>
      <c r="D552" s="111" t="s">
        <v>715</v>
      </c>
      <c r="E552" s="121" t="s">
        <v>799</v>
      </c>
      <c r="F552" s="153">
        <v>97.66</v>
      </c>
      <c r="G552" s="135">
        <f>A552+30</f>
        <v>45809</v>
      </c>
      <c r="H552" s="133" t="s">
        <v>66</v>
      </c>
      <c r="I552" s="133" t="s">
        <v>135</v>
      </c>
      <c r="J552" s="111"/>
      <c r="K552" s="135">
        <v>45880</v>
      </c>
      <c r="L552" s="153"/>
      <c r="M552" s="196">
        <v>517102854</v>
      </c>
      <c r="N552" s="76"/>
    </row>
    <row r="553" spans="1:14" customFormat="1" x14ac:dyDescent="0.35">
      <c r="A553" s="109">
        <v>45802</v>
      </c>
      <c r="B553" s="121" t="s">
        <v>57</v>
      </c>
      <c r="C553" s="111" t="s">
        <v>25</v>
      </c>
      <c r="D553" s="111" t="s">
        <v>715</v>
      </c>
      <c r="E553" s="121" t="s">
        <v>800</v>
      </c>
      <c r="F553" s="153">
        <v>132.9</v>
      </c>
      <c r="G553" s="135">
        <f>A553+30</f>
        <v>45832</v>
      </c>
      <c r="H553" s="133" t="s">
        <v>66</v>
      </c>
      <c r="I553" s="133" t="s">
        <v>135</v>
      </c>
      <c r="J553" s="111"/>
      <c r="K553" s="135">
        <v>45880</v>
      </c>
      <c r="L553" s="111">
        <f>F553</f>
        <v>132.9</v>
      </c>
      <c r="M553" s="196"/>
      <c r="N553" s="76"/>
    </row>
    <row r="554" spans="1:14" customFormat="1" x14ac:dyDescent="0.35">
      <c r="A554" s="109">
        <v>45820</v>
      </c>
      <c r="B554" s="111" t="s">
        <v>65</v>
      </c>
      <c r="C554" s="121" t="s">
        <v>46</v>
      </c>
      <c r="D554" s="111"/>
      <c r="E554" s="111"/>
      <c r="F554" s="153">
        <v>-602.51</v>
      </c>
      <c r="G554" s="135">
        <v>45828</v>
      </c>
      <c r="H554" s="133" t="s">
        <v>66</v>
      </c>
      <c r="I554" s="133" t="s">
        <v>119</v>
      </c>
      <c r="J554" s="111"/>
      <c r="K554" s="135">
        <v>45828</v>
      </c>
      <c r="L554" s="145"/>
      <c r="M554" s="256">
        <v>156480661390250</v>
      </c>
    </row>
    <row r="555" spans="1:14" customFormat="1" x14ac:dyDescent="0.35">
      <c r="A555" s="109">
        <v>45820</v>
      </c>
      <c r="B555" s="111" t="s">
        <v>65</v>
      </c>
      <c r="C555" s="111" t="s">
        <v>43</v>
      </c>
      <c r="D555" s="111"/>
      <c r="E555" s="111"/>
      <c r="F555" s="153">
        <v>-3477.88</v>
      </c>
      <c r="G555" s="135">
        <v>45828</v>
      </c>
      <c r="H555" s="133" t="s">
        <v>66</v>
      </c>
      <c r="I555" s="133" t="s">
        <v>119</v>
      </c>
      <c r="J555" s="111"/>
      <c r="K555" s="135">
        <v>45828</v>
      </c>
      <c r="L555" s="111"/>
      <c r="M555" s="111"/>
    </row>
    <row r="556" spans="1:14" customFormat="1" x14ac:dyDescent="0.35">
      <c r="A556" s="109">
        <v>45805</v>
      </c>
      <c r="B556" s="111" t="s">
        <v>57</v>
      </c>
      <c r="C556" s="111" t="s">
        <v>25</v>
      </c>
      <c r="D556" s="111" t="s">
        <v>715</v>
      </c>
      <c r="E556" s="121" t="s">
        <v>801</v>
      </c>
      <c r="F556" s="153">
        <v>48.43</v>
      </c>
      <c r="G556" s="135">
        <f>A556+30</f>
        <v>45835</v>
      </c>
      <c r="H556" s="133" t="s">
        <v>66</v>
      </c>
      <c r="I556" s="133" t="s">
        <v>135</v>
      </c>
      <c r="J556" s="111"/>
      <c r="K556" s="135">
        <v>45880</v>
      </c>
      <c r="L556" s="153">
        <f>F556</f>
        <v>48.43</v>
      </c>
      <c r="M556" s="196">
        <v>517102854</v>
      </c>
      <c r="N556" s="76"/>
    </row>
    <row r="557" spans="1:14" customFormat="1" x14ac:dyDescent="0.35">
      <c r="A557" s="109">
        <v>45411</v>
      </c>
      <c r="B557" s="121" t="s">
        <v>57</v>
      </c>
      <c r="C557" s="111" t="s">
        <v>25</v>
      </c>
      <c r="D557" s="111" t="s">
        <v>715</v>
      </c>
      <c r="E557" s="111" t="s">
        <v>802</v>
      </c>
      <c r="F557" s="149">
        <v>219.32</v>
      </c>
      <c r="G557" s="135">
        <f>A557+30</f>
        <v>45441</v>
      </c>
      <c r="H557" s="133" t="s">
        <v>66</v>
      </c>
      <c r="I557" s="133" t="s">
        <v>135</v>
      </c>
      <c r="J557" s="111"/>
      <c r="K557" s="135"/>
      <c r="L557" s="153">
        <f>F557</f>
        <v>219.32</v>
      </c>
      <c r="M557" s="111">
        <v>517102854</v>
      </c>
      <c r="N557" s="76"/>
    </row>
    <row r="558" spans="1:14" customFormat="1" x14ac:dyDescent="0.35">
      <c r="A558" s="109">
        <v>45417</v>
      </c>
      <c r="B558" s="121" t="s">
        <v>57</v>
      </c>
      <c r="C558" s="111" t="s">
        <v>25</v>
      </c>
      <c r="D558" s="111" t="s">
        <v>715</v>
      </c>
      <c r="E558" s="111" t="s">
        <v>803</v>
      </c>
      <c r="F558" s="149">
        <v>146.18</v>
      </c>
      <c r="G558" s="135">
        <f>A558+30</f>
        <v>45447</v>
      </c>
      <c r="H558" s="133" t="s">
        <v>66</v>
      </c>
      <c r="I558" s="133" t="s">
        <v>135</v>
      </c>
      <c r="J558" s="111"/>
      <c r="K558" s="135"/>
      <c r="L558" s="169">
        <f>F558</f>
        <v>146.18</v>
      </c>
      <c r="M558" s="145">
        <v>517102854</v>
      </c>
    </row>
    <row r="559" spans="1:14" customFormat="1" x14ac:dyDescent="0.35">
      <c r="A559" s="109">
        <v>45422</v>
      </c>
      <c r="B559" s="121" t="s">
        <v>57</v>
      </c>
      <c r="C559" s="111" t="s">
        <v>25</v>
      </c>
      <c r="D559" s="111" t="s">
        <v>715</v>
      </c>
      <c r="E559" s="111" t="s">
        <v>804</v>
      </c>
      <c r="F559" s="149">
        <v>170.12</v>
      </c>
      <c r="G559" s="135">
        <f>A559+30</f>
        <v>45452</v>
      </c>
      <c r="H559" s="133" t="s">
        <v>66</v>
      </c>
      <c r="I559" s="133" t="s">
        <v>135</v>
      </c>
      <c r="J559" s="111"/>
      <c r="K559" s="135"/>
      <c r="L559" s="153">
        <f>F559</f>
        <v>170.12</v>
      </c>
      <c r="M559" s="111">
        <v>517102854</v>
      </c>
    </row>
    <row r="560" spans="1:14" customFormat="1" x14ac:dyDescent="0.35">
      <c r="A560" s="109">
        <v>45849</v>
      </c>
      <c r="B560" s="111" t="s">
        <v>65</v>
      </c>
      <c r="C560" s="111" t="s">
        <v>41</v>
      </c>
      <c r="D560" s="111"/>
      <c r="E560" s="111"/>
      <c r="F560" s="153">
        <v>-437</v>
      </c>
      <c r="G560" s="135">
        <v>45858</v>
      </c>
      <c r="H560" s="133" t="s">
        <v>66</v>
      </c>
      <c r="I560" s="133" t="s">
        <v>119</v>
      </c>
      <c r="J560" s="111"/>
      <c r="K560" s="135">
        <v>45859</v>
      </c>
      <c r="L560" s="111"/>
      <c r="M560" s="184">
        <v>156290237911027</v>
      </c>
    </row>
    <row r="561" spans="1:14" customFormat="1" x14ac:dyDescent="0.35">
      <c r="A561" s="109">
        <v>45849</v>
      </c>
      <c r="B561" s="111" t="s">
        <v>65</v>
      </c>
      <c r="C561" s="121" t="s">
        <v>46</v>
      </c>
      <c r="D561" s="111"/>
      <c r="E561" s="111"/>
      <c r="F561" s="153">
        <v>-602.51</v>
      </c>
      <c r="G561" s="135">
        <v>45858</v>
      </c>
      <c r="H561" s="133" t="s">
        <v>66</v>
      </c>
      <c r="I561" s="133" t="s">
        <v>119</v>
      </c>
      <c r="J561" s="111"/>
      <c r="K561" s="135">
        <v>45859</v>
      </c>
      <c r="L561" s="111"/>
      <c r="M561" s="184">
        <v>156080663005477</v>
      </c>
    </row>
    <row r="562" spans="1:14" customFormat="1" x14ac:dyDescent="0.35">
      <c r="A562" s="109">
        <v>45849</v>
      </c>
      <c r="B562" s="111" t="s">
        <v>65</v>
      </c>
      <c r="C562" s="111" t="s">
        <v>43</v>
      </c>
      <c r="D562" s="111"/>
      <c r="E562" s="111"/>
      <c r="F562" s="153">
        <v>-5024.7</v>
      </c>
      <c r="G562" s="135">
        <v>45858</v>
      </c>
      <c r="H562" s="133" t="s">
        <v>66</v>
      </c>
      <c r="I562" s="133" t="s">
        <v>119</v>
      </c>
      <c r="J562" s="111"/>
      <c r="K562" s="135">
        <v>45859</v>
      </c>
      <c r="L562" s="111"/>
      <c r="M562" s="196"/>
    </row>
    <row r="563" spans="1:14" customFormat="1" x14ac:dyDescent="0.35">
      <c r="A563" s="109">
        <v>45876</v>
      </c>
      <c r="B563" s="111" t="s">
        <v>65</v>
      </c>
      <c r="C563" s="111" t="s">
        <v>41</v>
      </c>
      <c r="D563" s="111"/>
      <c r="E563" s="111"/>
      <c r="F563" s="153">
        <v>-203</v>
      </c>
      <c r="G563" s="133"/>
      <c r="H563" s="133" t="s">
        <v>66</v>
      </c>
      <c r="I563" s="133" t="s">
        <v>119</v>
      </c>
      <c r="J563" s="111"/>
      <c r="K563" s="135">
        <v>45898</v>
      </c>
      <c r="L563" s="111"/>
      <c r="M563" s="196"/>
    </row>
    <row r="564" spans="1:14" customFormat="1" x14ac:dyDescent="0.35">
      <c r="A564" s="109">
        <v>45428</v>
      </c>
      <c r="B564" s="121" t="s">
        <v>57</v>
      </c>
      <c r="C564" s="111" t="s">
        <v>25</v>
      </c>
      <c r="D564" s="111" t="s">
        <v>715</v>
      </c>
      <c r="E564" s="111" t="s">
        <v>805</v>
      </c>
      <c r="F564" s="149">
        <v>171.12</v>
      </c>
      <c r="G564" s="135">
        <f t="shared" ref="G564:G584" si="24">A564+30</f>
        <v>45458</v>
      </c>
      <c r="H564" s="133" t="s">
        <v>66</v>
      </c>
      <c r="I564" s="133" t="s">
        <v>135</v>
      </c>
      <c r="J564" s="111"/>
      <c r="K564" s="135"/>
      <c r="L564" s="153">
        <f t="shared" ref="L564:L584" si="25">F564</f>
        <v>171.12</v>
      </c>
      <c r="M564" s="111">
        <v>517102854</v>
      </c>
    </row>
    <row r="565" spans="1:14" customFormat="1" x14ac:dyDescent="0.35">
      <c r="A565" s="109">
        <v>45429</v>
      </c>
      <c r="B565" s="121" t="s">
        <v>57</v>
      </c>
      <c r="C565" s="111" t="s">
        <v>25</v>
      </c>
      <c r="D565" s="111" t="s">
        <v>715</v>
      </c>
      <c r="E565" s="111" t="s">
        <v>806</v>
      </c>
      <c r="F565" s="149">
        <v>29.5</v>
      </c>
      <c r="G565" s="135">
        <f t="shared" si="24"/>
        <v>45459</v>
      </c>
      <c r="H565" s="133" t="s">
        <v>66</v>
      </c>
      <c r="I565" s="133" t="s">
        <v>135</v>
      </c>
      <c r="J565" s="111"/>
      <c r="K565" s="135"/>
      <c r="L565" s="153">
        <f t="shared" si="25"/>
        <v>29.5</v>
      </c>
      <c r="M565" s="111">
        <v>517102854</v>
      </c>
    </row>
    <row r="566" spans="1:14" customFormat="1" x14ac:dyDescent="0.35">
      <c r="A566" s="109">
        <v>45434</v>
      </c>
      <c r="B566" s="121" t="s">
        <v>57</v>
      </c>
      <c r="C566" s="111" t="s">
        <v>25</v>
      </c>
      <c r="D566" s="111" t="s">
        <v>715</v>
      </c>
      <c r="E566" s="111" t="s">
        <v>807</v>
      </c>
      <c r="F566" s="149">
        <v>183.1</v>
      </c>
      <c r="G566" s="135">
        <f t="shared" si="24"/>
        <v>45464</v>
      </c>
      <c r="H566" s="133" t="s">
        <v>66</v>
      </c>
      <c r="I566" s="133" t="s">
        <v>135</v>
      </c>
      <c r="J566" s="111"/>
      <c r="K566" s="135"/>
      <c r="L566" s="153">
        <f t="shared" si="25"/>
        <v>183.1</v>
      </c>
      <c r="M566" s="111">
        <v>517102854</v>
      </c>
    </row>
    <row r="567" spans="1:14" customFormat="1" x14ac:dyDescent="0.35">
      <c r="A567" s="109">
        <v>45440</v>
      </c>
      <c r="B567" s="121" t="s">
        <v>57</v>
      </c>
      <c r="C567" s="111" t="s">
        <v>25</v>
      </c>
      <c r="D567" s="111" t="s">
        <v>715</v>
      </c>
      <c r="E567" s="111" t="s">
        <v>808</v>
      </c>
      <c r="F567" s="149">
        <v>150.16999999999999</v>
      </c>
      <c r="G567" s="135">
        <f t="shared" si="24"/>
        <v>45470</v>
      </c>
      <c r="H567" s="133" t="s">
        <v>66</v>
      </c>
      <c r="I567" s="133" t="s">
        <v>135</v>
      </c>
      <c r="J567" s="111"/>
      <c r="K567" s="135"/>
      <c r="L567" s="153">
        <f t="shared" si="25"/>
        <v>150.16999999999999</v>
      </c>
      <c r="M567" s="111">
        <v>517102854</v>
      </c>
    </row>
    <row r="568" spans="1:14" customFormat="1" x14ac:dyDescent="0.35">
      <c r="A568" s="109">
        <v>45446</v>
      </c>
      <c r="B568" s="121" t="s">
        <v>57</v>
      </c>
      <c r="C568" s="111" t="s">
        <v>25</v>
      </c>
      <c r="D568" s="111" t="s">
        <v>715</v>
      </c>
      <c r="E568" s="111" t="s">
        <v>809</v>
      </c>
      <c r="F568" s="149">
        <v>142.97999999999999</v>
      </c>
      <c r="G568" s="135">
        <f t="shared" si="24"/>
        <v>45476</v>
      </c>
      <c r="H568" s="133" t="s">
        <v>66</v>
      </c>
      <c r="I568" s="133" t="s">
        <v>135</v>
      </c>
      <c r="J568" s="111"/>
      <c r="K568" s="135"/>
      <c r="L568" s="153">
        <f t="shared" si="25"/>
        <v>142.97999999999999</v>
      </c>
      <c r="M568" s="111">
        <v>517102854</v>
      </c>
    </row>
    <row r="569" spans="1:14" customFormat="1" x14ac:dyDescent="0.35">
      <c r="A569" s="109">
        <v>45453</v>
      </c>
      <c r="B569" s="121" t="s">
        <v>57</v>
      </c>
      <c r="C569" s="111" t="s">
        <v>25</v>
      </c>
      <c r="D569" s="111" t="s">
        <v>715</v>
      </c>
      <c r="E569" s="111" t="s">
        <v>810</v>
      </c>
      <c r="F569" s="149">
        <v>146.6</v>
      </c>
      <c r="G569" s="135">
        <f t="shared" si="24"/>
        <v>45483</v>
      </c>
      <c r="H569" s="133" t="s">
        <v>66</v>
      </c>
      <c r="I569" s="133" t="s">
        <v>135</v>
      </c>
      <c r="J569" s="111"/>
      <c r="K569" s="135"/>
      <c r="L569" s="153">
        <f t="shared" si="25"/>
        <v>146.6</v>
      </c>
      <c r="M569" s="111">
        <v>517102854</v>
      </c>
    </row>
    <row r="570" spans="1:14" customFormat="1" x14ac:dyDescent="0.35">
      <c r="A570" s="109">
        <v>45457</v>
      </c>
      <c r="B570" s="121" t="s">
        <v>57</v>
      </c>
      <c r="C570" s="111" t="s">
        <v>25</v>
      </c>
      <c r="D570" s="111" t="s">
        <v>715</v>
      </c>
      <c r="E570" s="111" t="s">
        <v>811</v>
      </c>
      <c r="F570" s="149">
        <v>153.44</v>
      </c>
      <c r="G570" s="135">
        <f t="shared" si="24"/>
        <v>45487</v>
      </c>
      <c r="H570" s="133" t="s">
        <v>66</v>
      </c>
      <c r="I570" s="133" t="s">
        <v>135</v>
      </c>
      <c r="J570" s="111"/>
      <c r="K570" s="135"/>
      <c r="L570" s="153">
        <f t="shared" si="25"/>
        <v>153.44</v>
      </c>
      <c r="M570" s="111">
        <v>517102854</v>
      </c>
    </row>
    <row r="571" spans="1:14" customFormat="1" x14ac:dyDescent="0.35">
      <c r="A571" s="109">
        <v>45462</v>
      </c>
      <c r="B571" s="121" t="s">
        <v>57</v>
      </c>
      <c r="C571" s="111" t="s">
        <v>25</v>
      </c>
      <c r="D571" s="111" t="s">
        <v>715</v>
      </c>
      <c r="E571" s="111" t="s">
        <v>812</v>
      </c>
      <c r="F571" s="149">
        <v>194.77</v>
      </c>
      <c r="G571" s="135">
        <f t="shared" si="24"/>
        <v>45492</v>
      </c>
      <c r="H571" s="133" t="s">
        <v>66</v>
      </c>
      <c r="I571" s="133" t="s">
        <v>135</v>
      </c>
      <c r="J571" s="111"/>
      <c r="K571" s="135"/>
      <c r="L571" s="153">
        <f t="shared" si="25"/>
        <v>194.77</v>
      </c>
      <c r="M571" s="111">
        <v>517102854</v>
      </c>
    </row>
    <row r="572" spans="1:14" customFormat="1" x14ac:dyDescent="0.35">
      <c r="A572" s="109">
        <v>45470</v>
      </c>
      <c r="B572" s="121" t="s">
        <v>57</v>
      </c>
      <c r="C572" s="111" t="s">
        <v>25</v>
      </c>
      <c r="D572" s="111" t="s">
        <v>715</v>
      </c>
      <c r="E572" s="111" t="s">
        <v>813</v>
      </c>
      <c r="F572" s="149">
        <v>96.59</v>
      </c>
      <c r="G572" s="135">
        <f t="shared" si="24"/>
        <v>45500</v>
      </c>
      <c r="H572" s="133" t="s">
        <v>66</v>
      </c>
      <c r="I572" s="133" t="s">
        <v>135</v>
      </c>
      <c r="J572" s="111"/>
      <c r="K572" s="135"/>
      <c r="L572" s="153">
        <f t="shared" si="25"/>
        <v>96.59</v>
      </c>
      <c r="M572" s="111">
        <v>517102854</v>
      </c>
    </row>
    <row r="573" spans="1:14" customFormat="1" x14ac:dyDescent="0.35">
      <c r="A573" s="109">
        <v>45477</v>
      </c>
      <c r="B573" s="121" t="s">
        <v>57</v>
      </c>
      <c r="C573" s="111" t="s">
        <v>25</v>
      </c>
      <c r="D573" s="111" t="s">
        <v>715</v>
      </c>
      <c r="E573" s="111" t="s">
        <v>814</v>
      </c>
      <c r="F573" s="149">
        <v>98.36</v>
      </c>
      <c r="G573" s="135">
        <f t="shared" si="24"/>
        <v>45507</v>
      </c>
      <c r="H573" s="133" t="s">
        <v>66</v>
      </c>
      <c r="I573" s="133" t="s">
        <v>135</v>
      </c>
      <c r="J573" s="111"/>
      <c r="K573" s="135"/>
      <c r="L573" s="153">
        <f t="shared" si="25"/>
        <v>98.36</v>
      </c>
      <c r="M573" s="111">
        <v>517102854</v>
      </c>
    </row>
    <row r="574" spans="1:14" customFormat="1" x14ac:dyDescent="0.35">
      <c r="A574" s="176">
        <v>45491</v>
      </c>
      <c r="B574" s="143" t="s">
        <v>57</v>
      </c>
      <c r="C574" s="140" t="s">
        <v>25</v>
      </c>
      <c r="D574" s="140" t="s">
        <v>715</v>
      </c>
      <c r="E574" s="140" t="s">
        <v>815</v>
      </c>
      <c r="F574" s="164">
        <v>115.72</v>
      </c>
      <c r="G574" s="177">
        <f t="shared" si="24"/>
        <v>45521</v>
      </c>
      <c r="H574" s="133" t="s">
        <v>66</v>
      </c>
      <c r="I574" s="142" t="s">
        <v>135</v>
      </c>
      <c r="J574" s="140"/>
      <c r="K574" s="135"/>
      <c r="L574" s="153">
        <f t="shared" si="25"/>
        <v>115.72</v>
      </c>
      <c r="M574" s="111">
        <v>517102854</v>
      </c>
    </row>
    <row r="575" spans="1:14" customFormat="1" x14ac:dyDescent="0.35">
      <c r="A575" s="109">
        <v>45500</v>
      </c>
      <c r="B575" s="121" t="s">
        <v>57</v>
      </c>
      <c r="C575" s="111" t="s">
        <v>25</v>
      </c>
      <c r="D575" s="111" t="s">
        <v>715</v>
      </c>
      <c r="E575" s="111" t="s">
        <v>816</v>
      </c>
      <c r="F575" s="149">
        <v>111.66</v>
      </c>
      <c r="G575" s="135">
        <f t="shared" si="24"/>
        <v>45530</v>
      </c>
      <c r="H575" s="133" t="s">
        <v>66</v>
      </c>
      <c r="I575" s="133" t="s">
        <v>135</v>
      </c>
      <c r="J575" s="111"/>
      <c r="K575" s="135"/>
      <c r="L575" s="153">
        <f t="shared" si="25"/>
        <v>111.66</v>
      </c>
      <c r="M575" s="111">
        <v>517102854</v>
      </c>
      <c r="N575" s="76"/>
    </row>
    <row r="576" spans="1:14" customFormat="1" x14ac:dyDescent="0.35">
      <c r="A576" s="109">
        <v>45511</v>
      </c>
      <c r="B576" s="121" t="s">
        <v>57</v>
      </c>
      <c r="C576" s="111" t="s">
        <v>25</v>
      </c>
      <c r="D576" s="111" t="s">
        <v>715</v>
      </c>
      <c r="E576" s="111" t="s">
        <v>817</v>
      </c>
      <c r="F576" s="149">
        <v>190.62</v>
      </c>
      <c r="G576" s="135">
        <f t="shared" si="24"/>
        <v>45541</v>
      </c>
      <c r="H576" s="133" t="s">
        <v>66</v>
      </c>
      <c r="I576" s="133" t="s">
        <v>135</v>
      </c>
      <c r="J576" s="111"/>
      <c r="K576" s="135"/>
      <c r="L576" s="153">
        <f t="shared" si="25"/>
        <v>190.62</v>
      </c>
      <c r="M576" s="111">
        <v>517102854</v>
      </c>
      <c r="N576" s="76"/>
    </row>
    <row r="577" spans="1:14" customFormat="1" x14ac:dyDescent="0.35">
      <c r="A577" s="178">
        <v>45525</v>
      </c>
      <c r="B577" s="144" t="s">
        <v>57</v>
      </c>
      <c r="C577" s="145" t="s">
        <v>25</v>
      </c>
      <c r="D577" s="145" t="s">
        <v>715</v>
      </c>
      <c r="E577" s="145" t="s">
        <v>818</v>
      </c>
      <c r="F577" s="165">
        <v>209.25</v>
      </c>
      <c r="G577" s="138">
        <f t="shared" si="24"/>
        <v>45555</v>
      </c>
      <c r="H577" s="147" t="s">
        <v>66</v>
      </c>
      <c r="I577" s="147" t="s">
        <v>135</v>
      </c>
      <c r="J577" s="145"/>
      <c r="K577" s="135"/>
      <c r="L577" s="153">
        <f t="shared" si="25"/>
        <v>209.25</v>
      </c>
      <c r="M577" s="145">
        <v>517102854</v>
      </c>
    </row>
    <row r="578" spans="1:14" customFormat="1" x14ac:dyDescent="0.35">
      <c r="A578" s="109">
        <v>45533</v>
      </c>
      <c r="B578" s="121" t="s">
        <v>57</v>
      </c>
      <c r="C578" s="111" t="s">
        <v>25</v>
      </c>
      <c r="D578" s="111" t="s">
        <v>715</v>
      </c>
      <c r="E578" s="111" t="s">
        <v>819</v>
      </c>
      <c r="F578" s="149">
        <v>79.180000000000007</v>
      </c>
      <c r="G578" s="135">
        <f t="shared" si="24"/>
        <v>45563</v>
      </c>
      <c r="H578" s="133" t="s">
        <v>66</v>
      </c>
      <c r="I578" s="133" t="s">
        <v>135</v>
      </c>
      <c r="J578" s="111"/>
      <c r="K578" s="135"/>
      <c r="L578" s="153">
        <f t="shared" si="25"/>
        <v>79.180000000000007</v>
      </c>
      <c r="M578" s="111">
        <v>517102854</v>
      </c>
    </row>
    <row r="579" spans="1:14" customFormat="1" x14ac:dyDescent="0.35">
      <c r="A579" s="109">
        <v>45534</v>
      </c>
      <c r="B579" s="121" t="s">
        <v>57</v>
      </c>
      <c r="C579" s="111" t="s">
        <v>25</v>
      </c>
      <c r="D579" s="111" t="s">
        <v>715</v>
      </c>
      <c r="E579" s="111" t="s">
        <v>820</v>
      </c>
      <c r="F579" s="149">
        <v>26.26</v>
      </c>
      <c r="G579" s="135">
        <f t="shared" si="24"/>
        <v>45564</v>
      </c>
      <c r="H579" s="133" t="s">
        <v>66</v>
      </c>
      <c r="I579" s="133" t="s">
        <v>135</v>
      </c>
      <c r="J579" s="111"/>
      <c r="K579" s="135"/>
      <c r="L579" s="153">
        <f t="shared" si="25"/>
        <v>26.26</v>
      </c>
      <c r="M579" s="111">
        <v>517102854</v>
      </c>
    </row>
    <row r="580" spans="1:14" customFormat="1" x14ac:dyDescent="0.35">
      <c r="A580" s="109">
        <v>45540</v>
      </c>
      <c r="B580" s="121" t="s">
        <v>57</v>
      </c>
      <c r="C580" s="111" t="s">
        <v>25</v>
      </c>
      <c r="D580" s="111" t="s">
        <v>715</v>
      </c>
      <c r="E580" s="111" t="s">
        <v>821</v>
      </c>
      <c r="F580" s="149">
        <v>128.63</v>
      </c>
      <c r="G580" s="135">
        <f t="shared" si="24"/>
        <v>45570</v>
      </c>
      <c r="H580" s="133" t="s">
        <v>66</v>
      </c>
      <c r="I580" s="133" t="s">
        <v>135</v>
      </c>
      <c r="J580" s="111"/>
      <c r="K580" s="135"/>
      <c r="L580" s="153">
        <f t="shared" si="25"/>
        <v>128.63</v>
      </c>
      <c r="M580" s="111">
        <v>517102854</v>
      </c>
    </row>
    <row r="581" spans="1:14" customFormat="1" x14ac:dyDescent="0.35">
      <c r="A581" s="176">
        <v>45546</v>
      </c>
      <c r="B581" s="143" t="s">
        <v>57</v>
      </c>
      <c r="C581" s="140" t="s">
        <v>25</v>
      </c>
      <c r="D581" s="140" t="s">
        <v>715</v>
      </c>
      <c r="E581" s="140" t="s">
        <v>822</v>
      </c>
      <c r="F581" s="164">
        <v>76.77</v>
      </c>
      <c r="G581" s="177">
        <f t="shared" si="24"/>
        <v>45576</v>
      </c>
      <c r="H581" s="142" t="s">
        <v>66</v>
      </c>
      <c r="I581" s="142" t="s">
        <v>135</v>
      </c>
      <c r="J581" s="140"/>
      <c r="K581" s="135"/>
      <c r="L581" s="153">
        <f t="shared" si="25"/>
        <v>76.77</v>
      </c>
      <c r="M581" s="140">
        <v>517102854</v>
      </c>
    </row>
    <row r="582" spans="1:14" x14ac:dyDescent="0.35">
      <c r="A582" s="109">
        <v>45560</v>
      </c>
      <c r="B582" s="121" t="s">
        <v>57</v>
      </c>
      <c r="C582" s="111" t="s">
        <v>25</v>
      </c>
      <c r="D582" s="111" t="s">
        <v>715</v>
      </c>
      <c r="E582" s="111" t="s">
        <v>823</v>
      </c>
      <c r="F582" s="149">
        <v>127.75</v>
      </c>
      <c r="G582" s="135">
        <f t="shared" si="24"/>
        <v>45590</v>
      </c>
      <c r="H582" s="133" t="s">
        <v>66</v>
      </c>
      <c r="I582" s="133" t="s">
        <v>135</v>
      </c>
      <c r="K582" s="135"/>
      <c r="L582" s="153">
        <f t="shared" si="25"/>
        <v>127.75</v>
      </c>
      <c r="M582" s="111">
        <v>517102854</v>
      </c>
      <c r="N582" s="183"/>
    </row>
    <row r="583" spans="1:14" s="76" customFormat="1" x14ac:dyDescent="0.35">
      <c r="A583" s="178">
        <v>45567</v>
      </c>
      <c r="B583" s="144" t="s">
        <v>57</v>
      </c>
      <c r="C583" s="145" t="s">
        <v>25</v>
      </c>
      <c r="D583" s="145" t="s">
        <v>715</v>
      </c>
      <c r="E583" s="145" t="s">
        <v>824</v>
      </c>
      <c r="F583" s="165">
        <v>37.450000000000003</v>
      </c>
      <c r="G583" s="138">
        <f t="shared" si="24"/>
        <v>45597</v>
      </c>
      <c r="H583" s="147" t="s">
        <v>66</v>
      </c>
      <c r="I583" s="147" t="s">
        <v>135</v>
      </c>
      <c r="J583" s="145"/>
      <c r="K583" s="135"/>
      <c r="L583" s="153">
        <f t="shared" si="25"/>
        <v>37.450000000000003</v>
      </c>
      <c r="M583" s="145">
        <v>517102854</v>
      </c>
    </row>
    <row r="584" spans="1:14" customFormat="1" x14ac:dyDescent="0.35">
      <c r="A584" s="109">
        <v>45576</v>
      </c>
      <c r="B584" s="121" t="s">
        <v>57</v>
      </c>
      <c r="C584" s="111" t="s">
        <v>25</v>
      </c>
      <c r="D584" s="111" t="s">
        <v>715</v>
      </c>
      <c r="E584" s="111" t="s">
        <v>825</v>
      </c>
      <c r="F584" s="149">
        <v>92.68</v>
      </c>
      <c r="G584" s="135">
        <f t="shared" si="24"/>
        <v>45606</v>
      </c>
      <c r="H584" s="133" t="s">
        <v>66</v>
      </c>
      <c r="I584" s="133" t="s">
        <v>135</v>
      </c>
      <c r="J584" s="111"/>
      <c r="K584" s="135"/>
      <c r="L584" s="153">
        <f t="shared" si="25"/>
        <v>92.68</v>
      </c>
      <c r="M584" s="111">
        <v>517102854</v>
      </c>
    </row>
    <row r="585" spans="1:14" customFormat="1" x14ac:dyDescent="0.35">
      <c r="A585" s="109">
        <v>45876</v>
      </c>
      <c r="B585" s="111" t="s">
        <v>65</v>
      </c>
      <c r="C585" s="111" t="s">
        <v>46</v>
      </c>
      <c r="D585" s="111"/>
      <c r="E585" s="111"/>
      <c r="F585" s="153">
        <v>-602.51</v>
      </c>
      <c r="G585" s="133"/>
      <c r="H585" s="133" t="s">
        <v>66</v>
      </c>
      <c r="I585" s="133" t="s">
        <v>119</v>
      </c>
      <c r="J585" s="111"/>
      <c r="K585" s="135">
        <v>45898</v>
      </c>
      <c r="L585" s="111"/>
      <c r="M585" s="196"/>
    </row>
    <row r="586" spans="1:14" customFormat="1" x14ac:dyDescent="0.35">
      <c r="A586" s="109">
        <v>45876</v>
      </c>
      <c r="B586" s="111" t="s">
        <v>65</v>
      </c>
      <c r="C586" s="111" t="s">
        <v>43</v>
      </c>
      <c r="D586" s="111"/>
      <c r="E586" s="111"/>
      <c r="F586" s="153">
        <v>-4397.9399999999996</v>
      </c>
      <c r="G586" s="135">
        <v>45889</v>
      </c>
      <c r="H586" s="133" t="s">
        <v>66</v>
      </c>
      <c r="I586" s="133" t="s">
        <v>119</v>
      </c>
      <c r="J586" s="111"/>
      <c r="K586" s="135">
        <v>45898</v>
      </c>
      <c r="L586" s="111"/>
      <c r="M586" s="196"/>
    </row>
    <row r="587" spans="1:14" customFormat="1" x14ac:dyDescent="0.35">
      <c r="A587" s="109">
        <v>45877</v>
      </c>
      <c r="B587" s="111" t="s">
        <v>65</v>
      </c>
      <c r="C587" s="111" t="s">
        <v>826</v>
      </c>
      <c r="D587" s="111"/>
      <c r="E587" s="111"/>
      <c r="F587" s="153">
        <v>-6109.46</v>
      </c>
      <c r="G587" s="135">
        <v>45925</v>
      </c>
      <c r="H587" s="133" t="s">
        <v>66</v>
      </c>
      <c r="I587" s="133" t="s">
        <v>119</v>
      </c>
      <c r="J587" s="111"/>
      <c r="K587" s="135">
        <v>45925</v>
      </c>
      <c r="L587" s="111"/>
      <c r="M587" s="244">
        <v>162212515679420</v>
      </c>
    </row>
    <row r="588" spans="1:14" customFormat="1" x14ac:dyDescent="0.35">
      <c r="A588" s="109">
        <v>45877</v>
      </c>
      <c r="B588" s="111" t="s">
        <v>65</v>
      </c>
      <c r="C588" s="111" t="s">
        <v>827</v>
      </c>
      <c r="D588" s="111"/>
      <c r="E588" s="111"/>
      <c r="F588" s="153">
        <v>-6109.45</v>
      </c>
      <c r="G588" s="135">
        <v>45957</v>
      </c>
      <c r="H588" s="134" t="s">
        <v>66</v>
      </c>
      <c r="I588" s="133" t="s">
        <v>119</v>
      </c>
      <c r="J588" s="111"/>
      <c r="K588" s="135">
        <v>45957</v>
      </c>
      <c r="L588" s="111"/>
      <c r="M588" s="196"/>
    </row>
    <row r="589" spans="1:14" customFormat="1" x14ac:dyDescent="0.35">
      <c r="A589" s="109">
        <v>45877</v>
      </c>
      <c r="B589" s="111" t="s">
        <v>65</v>
      </c>
      <c r="C589" s="111" t="s">
        <v>828</v>
      </c>
      <c r="D589" s="111"/>
      <c r="E589" s="111"/>
      <c r="F589" s="153">
        <v>-6109.46</v>
      </c>
      <c r="G589" s="135">
        <v>45986</v>
      </c>
      <c r="H589" s="133" t="s">
        <v>66</v>
      </c>
      <c r="I589" s="133" t="s">
        <v>829</v>
      </c>
      <c r="J589" s="111"/>
      <c r="K589" s="135">
        <v>45986</v>
      </c>
      <c r="L589" s="111"/>
      <c r="M589" s="179">
        <v>162770032001592</v>
      </c>
    </row>
    <row r="590" spans="1:14" customFormat="1" x14ac:dyDescent="0.35">
      <c r="A590" s="109">
        <v>45112</v>
      </c>
      <c r="B590" s="111" t="s">
        <v>65</v>
      </c>
      <c r="C590" s="111" t="s">
        <v>830</v>
      </c>
      <c r="D590" s="111"/>
      <c r="E590" s="111">
        <v>26</v>
      </c>
      <c r="F590" s="131">
        <v>-661.56</v>
      </c>
      <c r="G590" s="135"/>
      <c r="H590" s="133" t="s">
        <v>66</v>
      </c>
      <c r="I590" s="133"/>
      <c r="J590" s="111"/>
      <c r="K590" s="135"/>
      <c r="L590" s="153">
        <f t="shared" ref="L590:L595" si="26">F590</f>
        <v>-661.56</v>
      </c>
      <c r="M590" s="111" t="s">
        <v>665</v>
      </c>
    </row>
    <row r="591" spans="1:14" customFormat="1" x14ac:dyDescent="0.35">
      <c r="A591" s="109">
        <v>45211</v>
      </c>
      <c r="B591" s="111" t="s">
        <v>65</v>
      </c>
      <c r="C591" s="111" t="s">
        <v>830</v>
      </c>
      <c r="D591" s="111"/>
      <c r="E591" s="111" t="s">
        <v>831</v>
      </c>
      <c r="F591" s="131">
        <v>-41.51</v>
      </c>
      <c r="G591" s="135"/>
      <c r="H591" s="133" t="s">
        <v>66</v>
      </c>
      <c r="I591" s="133"/>
      <c r="J591" s="111"/>
      <c r="K591" s="135"/>
      <c r="L591" s="153">
        <f t="shared" si="26"/>
        <v>-41.51</v>
      </c>
      <c r="M591" s="111" t="s">
        <v>832</v>
      </c>
    </row>
    <row r="592" spans="1:14" customFormat="1" x14ac:dyDescent="0.35">
      <c r="A592" s="109">
        <v>45211</v>
      </c>
      <c r="B592" s="111" t="s">
        <v>65</v>
      </c>
      <c r="C592" s="111" t="s">
        <v>830</v>
      </c>
      <c r="D592" s="111"/>
      <c r="E592" s="111" t="s">
        <v>833</v>
      </c>
      <c r="F592" s="131">
        <v>-85.32</v>
      </c>
      <c r="G592" s="135"/>
      <c r="H592" s="133" t="s">
        <v>66</v>
      </c>
      <c r="I592" s="133"/>
      <c r="J592" s="111"/>
      <c r="K592" s="135"/>
      <c r="L592" s="153">
        <f t="shared" si="26"/>
        <v>-85.32</v>
      </c>
      <c r="M592" s="111" t="s">
        <v>834</v>
      </c>
    </row>
    <row r="593" spans="1:13" customFormat="1" x14ac:dyDescent="0.35">
      <c r="A593" s="109">
        <v>45149</v>
      </c>
      <c r="B593" s="111" t="s">
        <v>65</v>
      </c>
      <c r="C593" s="111" t="s">
        <v>835</v>
      </c>
      <c r="D593" s="111"/>
      <c r="E593" s="111" t="s">
        <v>836</v>
      </c>
      <c r="F593" s="131">
        <v>-91.93</v>
      </c>
      <c r="G593" s="135"/>
      <c r="H593" s="133" t="s">
        <v>66</v>
      </c>
      <c r="I593" s="133"/>
      <c r="J593" s="111"/>
      <c r="K593" s="135"/>
      <c r="L593" s="153">
        <f t="shared" si="26"/>
        <v>-91.93</v>
      </c>
      <c r="M593" s="111" t="s">
        <v>832</v>
      </c>
    </row>
    <row r="594" spans="1:13" customFormat="1" x14ac:dyDescent="0.35">
      <c r="A594" s="109">
        <v>45169</v>
      </c>
      <c r="B594" s="111" t="s">
        <v>65</v>
      </c>
      <c r="C594" s="111" t="s">
        <v>835</v>
      </c>
      <c r="D594" s="111"/>
      <c r="E594" s="111" t="s">
        <v>837</v>
      </c>
      <c r="F594" s="131">
        <v>-78.040000000000006</v>
      </c>
      <c r="G594" s="135"/>
      <c r="H594" s="133" t="s">
        <v>66</v>
      </c>
      <c r="I594" s="133"/>
      <c r="J594" s="111"/>
      <c r="K594" s="135"/>
      <c r="L594" s="153">
        <f t="shared" si="26"/>
        <v>-78.040000000000006</v>
      </c>
      <c r="M594" s="111" t="s">
        <v>832</v>
      </c>
    </row>
    <row r="595" spans="1:13" customFormat="1" x14ac:dyDescent="0.35">
      <c r="A595" s="109">
        <v>45181</v>
      </c>
      <c r="B595" s="111" t="s">
        <v>65</v>
      </c>
      <c r="C595" s="111" t="s">
        <v>835</v>
      </c>
      <c r="D595" s="111"/>
      <c r="E595" s="111" t="s">
        <v>833</v>
      </c>
      <c r="F595" s="131">
        <v>-370.94</v>
      </c>
      <c r="G595" s="135"/>
      <c r="H595" s="133" t="s">
        <v>66</v>
      </c>
      <c r="I595" s="133"/>
      <c r="J595" s="111"/>
      <c r="K595" s="135"/>
      <c r="L595" s="153">
        <f t="shared" si="26"/>
        <v>-370.94</v>
      </c>
      <c r="M595" s="111" t="s">
        <v>665</v>
      </c>
    </row>
    <row r="596" spans="1:13" customFormat="1" x14ac:dyDescent="0.35">
      <c r="A596" s="109">
        <v>45870</v>
      </c>
      <c r="B596" s="111" t="s">
        <v>65</v>
      </c>
      <c r="C596" s="111" t="s">
        <v>82</v>
      </c>
      <c r="D596" s="111"/>
      <c r="E596" s="121" t="s">
        <v>838</v>
      </c>
      <c r="F596" s="153">
        <v>-35</v>
      </c>
      <c r="G596" s="133"/>
      <c r="H596" s="134" t="s">
        <v>66</v>
      </c>
      <c r="I596" s="133" t="s">
        <v>119</v>
      </c>
      <c r="J596" s="111"/>
      <c r="K596" s="135">
        <v>45873</v>
      </c>
      <c r="L596" s="111"/>
      <c r="M596" s="196"/>
    </row>
    <row r="597" spans="1:13" customFormat="1" x14ac:dyDescent="0.35">
      <c r="A597" s="109">
        <v>45288</v>
      </c>
      <c r="B597" s="111" t="s">
        <v>65</v>
      </c>
      <c r="C597" s="111" t="s">
        <v>82</v>
      </c>
      <c r="D597" s="111"/>
      <c r="E597" s="111" t="s">
        <v>839</v>
      </c>
      <c r="F597" s="131">
        <v>-98.4</v>
      </c>
      <c r="G597" s="135"/>
      <c r="H597" s="133" t="s">
        <v>66</v>
      </c>
      <c r="I597" s="133"/>
      <c r="J597" s="111"/>
      <c r="K597" s="135"/>
      <c r="L597" s="153">
        <f t="shared" ref="L597:L604" si="27">F597</f>
        <v>-98.4</v>
      </c>
      <c r="M597" s="111" t="s">
        <v>840</v>
      </c>
    </row>
    <row r="598" spans="1:13" customFormat="1" x14ac:dyDescent="0.35">
      <c r="A598" s="109">
        <v>45375</v>
      </c>
      <c r="B598" s="111" t="s">
        <v>65</v>
      </c>
      <c r="C598" s="111" t="s">
        <v>82</v>
      </c>
      <c r="D598" s="111"/>
      <c r="E598" s="111" t="s">
        <v>841</v>
      </c>
      <c r="F598" s="131">
        <v>-53</v>
      </c>
      <c r="G598" s="135"/>
      <c r="H598" s="133" t="s">
        <v>66</v>
      </c>
      <c r="I598" s="133"/>
      <c r="J598" s="111"/>
      <c r="K598" s="135"/>
      <c r="L598" s="153">
        <f t="shared" si="27"/>
        <v>-53</v>
      </c>
      <c r="M598" s="111" t="s">
        <v>842</v>
      </c>
    </row>
    <row r="599" spans="1:13" customFormat="1" x14ac:dyDescent="0.35">
      <c r="A599" s="109">
        <v>45377</v>
      </c>
      <c r="B599" s="111" t="s">
        <v>65</v>
      </c>
      <c r="C599" s="111" t="s">
        <v>82</v>
      </c>
      <c r="D599" s="111"/>
      <c r="E599" s="111" t="s">
        <v>843</v>
      </c>
      <c r="F599" s="131">
        <v>-645.75</v>
      </c>
      <c r="G599" s="135"/>
      <c r="H599" s="133" t="s">
        <v>66</v>
      </c>
      <c r="I599" s="133"/>
      <c r="J599" s="111"/>
      <c r="K599" s="135"/>
      <c r="L599" s="153">
        <f t="shared" si="27"/>
        <v>-645.75</v>
      </c>
      <c r="M599" s="111" t="s">
        <v>844</v>
      </c>
    </row>
    <row r="600" spans="1:13" customFormat="1" x14ac:dyDescent="0.35">
      <c r="A600" s="109">
        <v>45503</v>
      </c>
      <c r="B600" s="111" t="s">
        <v>65</v>
      </c>
      <c r="C600" s="111" t="s">
        <v>82</v>
      </c>
      <c r="D600" s="111"/>
      <c r="E600" s="111" t="s">
        <v>845</v>
      </c>
      <c r="F600" s="131">
        <v>-645.75</v>
      </c>
      <c r="G600" s="135"/>
      <c r="H600" s="133" t="s">
        <v>66</v>
      </c>
      <c r="I600" s="133"/>
      <c r="J600" s="111"/>
      <c r="K600" s="135">
        <v>45481</v>
      </c>
      <c r="L600" s="153">
        <f t="shared" si="27"/>
        <v>-645.75</v>
      </c>
      <c r="M600" s="111" t="s">
        <v>846</v>
      </c>
    </row>
    <row r="601" spans="1:13" customFormat="1" x14ac:dyDescent="0.35">
      <c r="A601" s="109">
        <v>45566</v>
      </c>
      <c r="B601" s="111" t="s">
        <v>65</v>
      </c>
      <c r="C601" s="111" t="s">
        <v>82</v>
      </c>
      <c r="D601" s="111"/>
      <c r="E601" s="111" t="s">
        <v>847</v>
      </c>
      <c r="F601" s="131">
        <v>-59.15</v>
      </c>
      <c r="G601" s="135"/>
      <c r="H601" s="133" t="s">
        <v>66</v>
      </c>
      <c r="I601" s="133" t="s">
        <v>131</v>
      </c>
      <c r="J601" s="111"/>
      <c r="K601" s="135">
        <v>45423</v>
      </c>
      <c r="L601" s="153">
        <f t="shared" si="27"/>
        <v>-59.15</v>
      </c>
      <c r="M601" s="111" t="s">
        <v>848</v>
      </c>
    </row>
    <row r="602" spans="1:13" customFormat="1" x14ac:dyDescent="0.35">
      <c r="A602" s="109">
        <v>45657</v>
      </c>
      <c r="B602" s="111" t="s">
        <v>65</v>
      </c>
      <c r="C602" s="111" t="s">
        <v>82</v>
      </c>
      <c r="D602" s="111"/>
      <c r="E602" s="111" t="s">
        <v>849</v>
      </c>
      <c r="F602" s="131">
        <v>-98.4</v>
      </c>
      <c r="G602" s="135"/>
      <c r="H602" s="133" t="s">
        <v>66</v>
      </c>
      <c r="I602" s="133" t="s">
        <v>131</v>
      </c>
      <c r="J602" s="111"/>
      <c r="K602" s="135">
        <v>45901</v>
      </c>
      <c r="L602" s="153">
        <f t="shared" si="27"/>
        <v>-98.4</v>
      </c>
      <c r="M602" s="111"/>
    </row>
    <row r="603" spans="1:13" customFormat="1" x14ac:dyDescent="0.35">
      <c r="A603" s="109">
        <v>45712</v>
      </c>
      <c r="B603" s="111" t="s">
        <v>65</v>
      </c>
      <c r="C603" s="111" t="s">
        <v>82</v>
      </c>
      <c r="D603" s="111"/>
      <c r="E603" s="111" t="s">
        <v>850</v>
      </c>
      <c r="F603" s="153">
        <v>-35</v>
      </c>
      <c r="G603" s="135"/>
      <c r="H603" s="134" t="s">
        <v>66</v>
      </c>
      <c r="I603" s="134" t="s">
        <v>170</v>
      </c>
      <c r="J603" s="111"/>
      <c r="K603" s="135">
        <v>45726</v>
      </c>
      <c r="L603" s="153">
        <f t="shared" si="27"/>
        <v>-35</v>
      </c>
      <c r="M603" s="111" t="s">
        <v>851</v>
      </c>
    </row>
    <row r="604" spans="1:13" customFormat="1" x14ac:dyDescent="0.35">
      <c r="A604" s="109">
        <v>45722</v>
      </c>
      <c r="B604" s="111" t="s">
        <v>65</v>
      </c>
      <c r="C604" s="111" t="s">
        <v>82</v>
      </c>
      <c r="D604" s="111"/>
      <c r="E604" s="121" t="s">
        <v>852</v>
      </c>
      <c r="F604" s="153">
        <v>-140</v>
      </c>
      <c r="G604" s="135"/>
      <c r="H604" s="134" t="s">
        <v>853</v>
      </c>
      <c r="I604" s="133" t="s">
        <v>119</v>
      </c>
      <c r="J604" s="111"/>
      <c r="K604" s="135">
        <v>45726</v>
      </c>
      <c r="L604" s="153">
        <f t="shared" si="27"/>
        <v>-140</v>
      </c>
      <c r="M604" s="111"/>
    </row>
    <row r="605" spans="1:13" customFormat="1" x14ac:dyDescent="0.35">
      <c r="A605" s="109">
        <v>45838</v>
      </c>
      <c r="B605" s="111" t="s">
        <v>65</v>
      </c>
      <c r="C605" s="111" t="s">
        <v>82</v>
      </c>
      <c r="D605" s="111"/>
      <c r="E605" s="111" t="s">
        <v>854</v>
      </c>
      <c r="F605" s="153">
        <v>-70</v>
      </c>
      <c r="G605" s="133"/>
      <c r="H605" s="133" t="s">
        <v>66</v>
      </c>
      <c r="I605" s="133" t="s">
        <v>119</v>
      </c>
      <c r="J605" s="111"/>
      <c r="K605" s="135">
        <v>45842</v>
      </c>
      <c r="L605" s="111"/>
      <c r="M605" s="111" t="s">
        <v>855</v>
      </c>
    </row>
    <row r="606" spans="1:13" customFormat="1" x14ac:dyDescent="0.35">
      <c r="A606" s="109">
        <v>45989</v>
      </c>
      <c r="B606" s="111" t="s">
        <v>65</v>
      </c>
      <c r="C606" s="111" t="s">
        <v>82</v>
      </c>
      <c r="D606" s="111"/>
      <c r="E606" s="218" t="s">
        <v>856</v>
      </c>
      <c r="F606" s="153">
        <v>-35</v>
      </c>
      <c r="G606" s="135">
        <v>46019</v>
      </c>
      <c r="H606" s="133" t="s">
        <v>66</v>
      </c>
      <c r="I606" s="133" t="s">
        <v>170</v>
      </c>
      <c r="J606" s="111"/>
      <c r="K606" s="160">
        <v>46000</v>
      </c>
      <c r="L606" s="111"/>
      <c r="M606" s="196"/>
    </row>
    <row r="607" spans="1:13" customFormat="1" x14ac:dyDescent="0.35">
      <c r="A607" s="109">
        <v>46014</v>
      </c>
      <c r="B607" s="111" t="s">
        <v>65</v>
      </c>
      <c r="C607" s="121" t="s">
        <v>82</v>
      </c>
      <c r="D607" s="111"/>
      <c r="E607" s="121" t="s">
        <v>857</v>
      </c>
      <c r="F607" s="153">
        <v>-100.86</v>
      </c>
      <c r="G607" s="238">
        <f>A607+30</f>
        <v>46044</v>
      </c>
      <c r="H607" s="134" t="s">
        <v>66</v>
      </c>
      <c r="I607" s="134" t="s">
        <v>119</v>
      </c>
      <c r="J607" s="111"/>
      <c r="K607" s="160">
        <v>46052</v>
      </c>
      <c r="L607" s="111"/>
      <c r="M607" s="186" t="s">
        <v>858</v>
      </c>
    </row>
    <row r="608" spans="1:13" customFormat="1" x14ac:dyDescent="0.35">
      <c r="A608" s="109">
        <v>46014</v>
      </c>
      <c r="B608" s="111" t="s">
        <v>65</v>
      </c>
      <c r="C608" s="121" t="s">
        <v>82</v>
      </c>
      <c r="D608" s="111"/>
      <c r="E608" s="121" t="s">
        <v>859</v>
      </c>
      <c r="F608" s="153">
        <v>-100.86</v>
      </c>
      <c r="G608" s="238">
        <f>A608+30</f>
        <v>46044</v>
      </c>
      <c r="H608" s="134" t="s">
        <v>66</v>
      </c>
      <c r="I608" s="134" t="s">
        <v>170</v>
      </c>
      <c r="J608" s="111"/>
      <c r="K608" s="160">
        <v>46052</v>
      </c>
      <c r="L608" s="111"/>
      <c r="M608" s="186" t="s">
        <v>860</v>
      </c>
    </row>
    <row r="609" spans="1:14" customFormat="1" x14ac:dyDescent="0.35">
      <c r="A609" s="109">
        <v>45670</v>
      </c>
      <c r="B609" s="121" t="s">
        <v>65</v>
      </c>
      <c r="C609" s="121" t="s">
        <v>38</v>
      </c>
      <c r="D609" s="111"/>
      <c r="E609" s="111"/>
      <c r="F609" s="150">
        <v>-809</v>
      </c>
      <c r="G609" s="135">
        <v>45670</v>
      </c>
      <c r="H609" s="152" t="s">
        <v>332</v>
      </c>
      <c r="I609" s="134" t="s">
        <v>170</v>
      </c>
      <c r="J609" s="111"/>
      <c r="K609" s="135">
        <v>45670</v>
      </c>
      <c r="L609" s="153">
        <v>-809</v>
      </c>
      <c r="M609" s="111"/>
    </row>
    <row r="610" spans="1:14" customFormat="1" x14ac:dyDescent="0.35">
      <c r="A610" s="109">
        <v>45590</v>
      </c>
      <c r="B610" s="121" t="s">
        <v>57</v>
      </c>
      <c r="C610" s="111" t="s">
        <v>25</v>
      </c>
      <c r="D610" s="111" t="s">
        <v>715</v>
      </c>
      <c r="E610" s="111" t="s">
        <v>861</v>
      </c>
      <c r="F610" s="149">
        <v>44.31</v>
      </c>
      <c r="G610" s="135">
        <f>A610+30</f>
        <v>45620</v>
      </c>
      <c r="H610" s="133" t="s">
        <v>66</v>
      </c>
      <c r="I610" s="133" t="s">
        <v>135</v>
      </c>
      <c r="J610" s="111"/>
      <c r="K610" s="135"/>
      <c r="L610" s="153">
        <f>F610</f>
        <v>44.31</v>
      </c>
      <c r="M610" s="111">
        <v>517102854</v>
      </c>
    </row>
    <row r="611" spans="1:14" customFormat="1" x14ac:dyDescent="0.35">
      <c r="A611" s="109">
        <v>45625</v>
      </c>
      <c r="B611" s="121" t="s">
        <v>57</v>
      </c>
      <c r="C611" s="111" t="s">
        <v>25</v>
      </c>
      <c r="D611" s="111" t="s">
        <v>715</v>
      </c>
      <c r="E611" s="111" t="s">
        <v>862</v>
      </c>
      <c r="F611" s="149">
        <v>97.3</v>
      </c>
      <c r="G611" s="135">
        <f>A611+30</f>
        <v>45655</v>
      </c>
      <c r="H611" s="133" t="s">
        <v>66</v>
      </c>
      <c r="I611" s="133" t="s">
        <v>135</v>
      </c>
      <c r="J611" s="111"/>
      <c r="K611" s="135"/>
      <c r="L611" s="153">
        <f>F611</f>
        <v>97.3</v>
      </c>
      <c r="M611" s="111">
        <v>517102854</v>
      </c>
    </row>
    <row r="612" spans="1:14" customFormat="1" x14ac:dyDescent="0.35">
      <c r="A612" s="109">
        <v>45638</v>
      </c>
      <c r="B612" s="121" t="s">
        <v>57</v>
      </c>
      <c r="C612" s="111" t="s">
        <v>25</v>
      </c>
      <c r="D612" s="111" t="s">
        <v>715</v>
      </c>
      <c r="E612" s="111" t="s">
        <v>863</v>
      </c>
      <c r="F612" s="149">
        <v>115.16</v>
      </c>
      <c r="G612" s="135">
        <f>IF(OR(C612="Matosinhos",C612="Bolhão"),A612,A612+30)</f>
        <v>45668</v>
      </c>
      <c r="H612" s="133" t="s">
        <v>66</v>
      </c>
      <c r="I612" s="133" t="s">
        <v>135</v>
      </c>
      <c r="J612" s="111"/>
      <c r="K612" s="135"/>
      <c r="L612" s="153">
        <f>F612</f>
        <v>115.16</v>
      </c>
      <c r="M612" s="111">
        <v>517102854</v>
      </c>
    </row>
    <row r="613" spans="1:14" customFormat="1" x14ac:dyDescent="0.35">
      <c r="A613" s="109">
        <v>45643</v>
      </c>
      <c r="B613" s="121" t="s">
        <v>57</v>
      </c>
      <c r="C613" s="111" t="s">
        <v>25</v>
      </c>
      <c r="D613" s="111" t="s">
        <v>715</v>
      </c>
      <c r="E613" s="111" t="s">
        <v>864</v>
      </c>
      <c r="F613" s="149">
        <v>117.2</v>
      </c>
      <c r="G613" s="135">
        <f>IF(OR(C613="Matosinhos",C613="Bolhão"),A613,A613+30)</f>
        <v>45673</v>
      </c>
      <c r="H613" s="133" t="s">
        <v>66</v>
      </c>
      <c r="I613" s="133" t="s">
        <v>135</v>
      </c>
      <c r="J613" s="111"/>
      <c r="K613" s="135"/>
      <c r="L613" s="153">
        <f>F613</f>
        <v>117.2</v>
      </c>
      <c r="M613" s="111">
        <v>517102854</v>
      </c>
      <c r="N613" s="76"/>
    </row>
    <row r="614" spans="1:14" customFormat="1" x14ac:dyDescent="0.35">
      <c r="A614" s="109">
        <v>45819</v>
      </c>
      <c r="B614" s="111" t="s">
        <v>57</v>
      </c>
      <c r="C614" s="111" t="s">
        <v>25</v>
      </c>
      <c r="D614" s="111" t="s">
        <v>715</v>
      </c>
      <c r="E614" s="121" t="s">
        <v>865</v>
      </c>
      <c r="F614" s="153">
        <v>160.88</v>
      </c>
      <c r="G614" s="135">
        <f>A614+30</f>
        <v>45849</v>
      </c>
      <c r="H614" s="133" t="s">
        <v>66</v>
      </c>
      <c r="I614" s="133" t="s">
        <v>135</v>
      </c>
      <c r="J614" s="111"/>
      <c r="K614" s="135">
        <v>45880</v>
      </c>
      <c r="L614" s="169">
        <f>F614</f>
        <v>160.88</v>
      </c>
      <c r="M614" s="198">
        <v>517102854</v>
      </c>
    </row>
    <row r="615" spans="1:14" customFormat="1" x14ac:dyDescent="0.35">
      <c r="A615" s="109">
        <v>45838</v>
      </c>
      <c r="B615" s="121" t="s">
        <v>57</v>
      </c>
      <c r="C615" s="111" t="s">
        <v>25</v>
      </c>
      <c r="D615" s="111" t="s">
        <v>715</v>
      </c>
      <c r="E615" s="111" t="s">
        <v>866</v>
      </c>
      <c r="F615" s="153">
        <v>130.33000000000001</v>
      </c>
      <c r="G615" s="135">
        <f>A615+30</f>
        <v>45868</v>
      </c>
      <c r="H615" s="133" t="s">
        <v>66</v>
      </c>
      <c r="I615" s="133" t="s">
        <v>135</v>
      </c>
      <c r="J615" s="111"/>
      <c r="K615" s="135">
        <v>45880</v>
      </c>
      <c r="L615" s="111"/>
      <c r="M615" s="196"/>
    </row>
    <row r="616" spans="1:14" customFormat="1" x14ac:dyDescent="0.35">
      <c r="A616" s="109">
        <v>45850</v>
      </c>
      <c r="B616" s="111" t="s">
        <v>57</v>
      </c>
      <c r="C616" s="111" t="s">
        <v>25</v>
      </c>
      <c r="D616" s="111" t="s">
        <v>715</v>
      </c>
      <c r="E616" s="111" t="s">
        <v>867</v>
      </c>
      <c r="F616" s="207">
        <v>104.38</v>
      </c>
      <c r="G616" s="135">
        <f>A616+30</f>
        <v>45880</v>
      </c>
      <c r="H616" s="134" t="s">
        <v>66</v>
      </c>
      <c r="I616" s="133" t="s">
        <v>135</v>
      </c>
      <c r="J616" s="111"/>
      <c r="K616" s="135">
        <v>45910</v>
      </c>
      <c r="L616" s="111"/>
      <c r="M616" s="186" t="s">
        <v>868</v>
      </c>
    </row>
    <row r="617" spans="1:14" customFormat="1" x14ac:dyDescent="0.35">
      <c r="A617" s="109">
        <v>45701</v>
      </c>
      <c r="B617" s="121" t="s">
        <v>65</v>
      </c>
      <c r="C617" s="121" t="s">
        <v>38</v>
      </c>
      <c r="D617" s="111"/>
      <c r="E617" s="111"/>
      <c r="F617" s="139">
        <v>-809</v>
      </c>
      <c r="G617" s="135">
        <v>45701</v>
      </c>
      <c r="H617" s="166" t="s">
        <v>332</v>
      </c>
      <c r="I617" s="134" t="s">
        <v>170</v>
      </c>
      <c r="J617" s="111"/>
      <c r="K617" s="135">
        <v>45701</v>
      </c>
      <c r="L617" s="153">
        <v>-809</v>
      </c>
      <c r="M617" s="111"/>
    </row>
    <row r="618" spans="1:14" customFormat="1" x14ac:dyDescent="0.35">
      <c r="A618" s="109">
        <v>45729</v>
      </c>
      <c r="B618" s="121" t="s">
        <v>65</v>
      </c>
      <c r="C618" s="121" t="s">
        <v>38</v>
      </c>
      <c r="D618" s="111"/>
      <c r="E618" s="111"/>
      <c r="F618" s="139">
        <v>-809</v>
      </c>
      <c r="G618" s="135">
        <v>45729</v>
      </c>
      <c r="H618" s="166" t="s">
        <v>332</v>
      </c>
      <c r="I618" s="134" t="s">
        <v>170</v>
      </c>
      <c r="J618" s="111"/>
      <c r="K618" s="135">
        <v>45729</v>
      </c>
      <c r="L618" s="153">
        <v>-809</v>
      </c>
      <c r="M618" s="111"/>
    </row>
    <row r="619" spans="1:14" customFormat="1" x14ac:dyDescent="0.35">
      <c r="A619" s="109">
        <v>45760</v>
      </c>
      <c r="B619" s="121" t="s">
        <v>65</v>
      </c>
      <c r="C619" s="121" t="s">
        <v>38</v>
      </c>
      <c r="D619" s="111"/>
      <c r="E619" s="111"/>
      <c r="F619" s="139">
        <v>-809</v>
      </c>
      <c r="G619" s="135">
        <v>45760</v>
      </c>
      <c r="H619" s="166" t="s">
        <v>332</v>
      </c>
      <c r="I619" s="134" t="s">
        <v>170</v>
      </c>
      <c r="J619" s="111"/>
      <c r="K619" s="135">
        <v>45760</v>
      </c>
      <c r="L619" s="153">
        <v>-809</v>
      </c>
      <c r="M619" s="111"/>
    </row>
    <row r="620" spans="1:14" customFormat="1" x14ac:dyDescent="0.35">
      <c r="A620" s="109">
        <v>45790</v>
      </c>
      <c r="B620" s="121" t="s">
        <v>65</v>
      </c>
      <c r="C620" s="121" t="s">
        <v>38</v>
      </c>
      <c r="D620" s="111"/>
      <c r="E620" s="111"/>
      <c r="F620" s="139">
        <v>-809</v>
      </c>
      <c r="G620" s="135">
        <v>45790</v>
      </c>
      <c r="H620" s="166" t="s">
        <v>332</v>
      </c>
      <c r="I620" s="134" t="s">
        <v>170</v>
      </c>
      <c r="J620" s="111"/>
      <c r="K620" s="135">
        <v>45790</v>
      </c>
      <c r="L620" s="153">
        <v>-809</v>
      </c>
      <c r="M620" s="111"/>
    </row>
    <row r="621" spans="1:14" customFormat="1" x14ac:dyDescent="0.35">
      <c r="A621" s="109">
        <v>45821</v>
      </c>
      <c r="B621" s="121" t="s">
        <v>65</v>
      </c>
      <c r="C621" s="121" t="s">
        <v>38</v>
      </c>
      <c r="D621" s="111"/>
      <c r="E621" s="111"/>
      <c r="F621" s="139">
        <v>-809</v>
      </c>
      <c r="G621" s="135">
        <v>45821</v>
      </c>
      <c r="H621" s="166" t="s">
        <v>332</v>
      </c>
      <c r="I621" s="134" t="s">
        <v>170</v>
      </c>
      <c r="J621" s="111"/>
      <c r="K621" s="135">
        <v>45821</v>
      </c>
      <c r="L621" s="153">
        <v>-809</v>
      </c>
      <c r="M621" s="111"/>
    </row>
    <row r="622" spans="1:14" customFormat="1" x14ac:dyDescent="0.35">
      <c r="A622" s="109">
        <v>45851</v>
      </c>
      <c r="B622" s="121" t="s">
        <v>65</v>
      </c>
      <c r="C622" s="121" t="s">
        <v>38</v>
      </c>
      <c r="D622" s="111"/>
      <c r="E622" s="111"/>
      <c r="F622" s="139">
        <v>-809</v>
      </c>
      <c r="G622" s="135">
        <v>45851</v>
      </c>
      <c r="H622" s="166" t="s">
        <v>332</v>
      </c>
      <c r="I622" s="134" t="s">
        <v>170</v>
      </c>
      <c r="J622" s="111"/>
      <c r="K622" s="135">
        <v>45851</v>
      </c>
      <c r="L622" s="153">
        <v>-809</v>
      </c>
      <c r="M622" s="111"/>
    </row>
    <row r="623" spans="1:14" customFormat="1" x14ac:dyDescent="0.35">
      <c r="A623" s="109">
        <v>45882</v>
      </c>
      <c r="B623" s="121" t="s">
        <v>65</v>
      </c>
      <c r="C623" s="121" t="s">
        <v>38</v>
      </c>
      <c r="D623" s="111"/>
      <c r="E623" s="111"/>
      <c r="F623" s="139">
        <v>-809</v>
      </c>
      <c r="G623" s="135">
        <v>45882</v>
      </c>
      <c r="H623" s="166" t="s">
        <v>332</v>
      </c>
      <c r="I623" s="134" t="s">
        <v>170</v>
      </c>
      <c r="J623" s="111"/>
      <c r="K623" s="135">
        <v>45882</v>
      </c>
      <c r="L623" s="153">
        <v>-809</v>
      </c>
      <c r="M623" s="111"/>
    </row>
    <row r="624" spans="1:14" customFormat="1" x14ac:dyDescent="0.35">
      <c r="A624" s="109">
        <v>45913</v>
      </c>
      <c r="B624" s="121" t="s">
        <v>65</v>
      </c>
      <c r="C624" s="121" t="s">
        <v>38</v>
      </c>
      <c r="D624" s="111"/>
      <c r="E624" s="111"/>
      <c r="F624" s="139">
        <v>-809</v>
      </c>
      <c r="G624" s="135">
        <v>45913</v>
      </c>
      <c r="H624" s="166" t="s">
        <v>332</v>
      </c>
      <c r="I624" s="134" t="s">
        <v>170</v>
      </c>
      <c r="J624" s="111"/>
      <c r="K624" s="135">
        <v>45913</v>
      </c>
      <c r="L624" s="153">
        <v>-809</v>
      </c>
      <c r="M624" s="111"/>
    </row>
    <row r="625" spans="1:15" customFormat="1" x14ac:dyDescent="0.35">
      <c r="A625" s="109">
        <v>45943</v>
      </c>
      <c r="B625" s="121" t="s">
        <v>65</v>
      </c>
      <c r="C625" s="121" t="s">
        <v>38</v>
      </c>
      <c r="D625" s="111"/>
      <c r="E625" s="111"/>
      <c r="F625" s="139">
        <v>-809</v>
      </c>
      <c r="G625" s="135">
        <v>45943</v>
      </c>
      <c r="H625" s="166" t="s">
        <v>332</v>
      </c>
      <c r="I625" s="134" t="s">
        <v>170</v>
      </c>
      <c r="J625" s="111"/>
      <c r="K625" s="135">
        <v>45943</v>
      </c>
      <c r="L625" s="153">
        <v>-809</v>
      </c>
      <c r="M625" s="111"/>
    </row>
    <row r="626" spans="1:15" customFormat="1" x14ac:dyDescent="0.35">
      <c r="A626" s="109">
        <v>45974</v>
      </c>
      <c r="B626" s="121" t="s">
        <v>65</v>
      </c>
      <c r="C626" s="121" t="s">
        <v>38</v>
      </c>
      <c r="D626" s="111"/>
      <c r="E626" s="111"/>
      <c r="F626" s="139">
        <v>-809</v>
      </c>
      <c r="G626" s="135">
        <v>45974</v>
      </c>
      <c r="H626" s="166" t="s">
        <v>332</v>
      </c>
      <c r="I626" s="134" t="s">
        <v>170</v>
      </c>
      <c r="J626" s="111"/>
      <c r="K626" s="135">
        <v>45974</v>
      </c>
      <c r="L626" s="153">
        <v>-809</v>
      </c>
      <c r="M626" s="111"/>
    </row>
    <row r="627" spans="1:15" customFormat="1" x14ac:dyDescent="0.35">
      <c r="A627" s="109">
        <v>46004</v>
      </c>
      <c r="B627" s="121" t="s">
        <v>65</v>
      </c>
      <c r="C627" s="121" t="s">
        <v>38</v>
      </c>
      <c r="D627" s="111"/>
      <c r="E627" s="111"/>
      <c r="F627" s="139">
        <v>-809</v>
      </c>
      <c r="G627" s="135">
        <v>46004</v>
      </c>
      <c r="H627" s="166" t="s">
        <v>332</v>
      </c>
      <c r="I627" s="134" t="s">
        <v>170</v>
      </c>
      <c r="J627" s="111"/>
      <c r="K627" s="135">
        <v>46004</v>
      </c>
      <c r="L627" s="153">
        <v>-809</v>
      </c>
      <c r="M627" s="111"/>
    </row>
    <row r="628" spans="1:15" customFormat="1" x14ac:dyDescent="0.35">
      <c r="A628" s="109">
        <v>45662</v>
      </c>
      <c r="B628" s="121" t="s">
        <v>65</v>
      </c>
      <c r="C628" s="111" t="s">
        <v>27</v>
      </c>
      <c r="D628" s="111"/>
      <c r="E628" s="111"/>
      <c r="F628" s="150">
        <v>-1175</v>
      </c>
      <c r="G628" s="135">
        <v>45662</v>
      </c>
      <c r="H628" s="152" t="s">
        <v>332</v>
      </c>
      <c r="I628" s="134" t="s">
        <v>119</v>
      </c>
      <c r="J628" s="111"/>
      <c r="K628" s="135">
        <v>45662</v>
      </c>
      <c r="L628" s="153">
        <v>-1175</v>
      </c>
      <c r="M628" s="111"/>
    </row>
    <row r="629" spans="1:15" customFormat="1" x14ac:dyDescent="0.35">
      <c r="A629" s="109">
        <v>45693</v>
      </c>
      <c r="B629" s="121" t="s">
        <v>65</v>
      </c>
      <c r="C629" s="111" t="s">
        <v>27</v>
      </c>
      <c r="D629" s="111"/>
      <c r="E629" s="111"/>
      <c r="F629" s="139">
        <v>-1175</v>
      </c>
      <c r="G629" s="135">
        <v>45693</v>
      </c>
      <c r="H629" s="166" t="s">
        <v>332</v>
      </c>
      <c r="I629" s="134" t="s">
        <v>119</v>
      </c>
      <c r="J629" s="111"/>
      <c r="K629" s="135">
        <v>45693</v>
      </c>
      <c r="L629" s="153">
        <v>-1175</v>
      </c>
      <c r="M629" s="111"/>
    </row>
    <row r="630" spans="1:15" customFormat="1" x14ac:dyDescent="0.35">
      <c r="A630" s="109">
        <v>45721</v>
      </c>
      <c r="B630" s="121" t="s">
        <v>65</v>
      </c>
      <c r="C630" s="111" t="s">
        <v>27</v>
      </c>
      <c r="D630" s="111"/>
      <c r="E630" s="111"/>
      <c r="F630" s="139">
        <v>-1175</v>
      </c>
      <c r="G630" s="135">
        <v>45721</v>
      </c>
      <c r="H630" s="166" t="s">
        <v>332</v>
      </c>
      <c r="I630" s="134" t="s">
        <v>119</v>
      </c>
      <c r="J630" s="111"/>
      <c r="K630" s="135">
        <v>45721</v>
      </c>
      <c r="L630" s="153">
        <v>-1175</v>
      </c>
      <c r="M630" s="111"/>
    </row>
    <row r="631" spans="1:15" customFormat="1" x14ac:dyDescent="0.35">
      <c r="A631" s="109">
        <v>45752</v>
      </c>
      <c r="B631" s="121" t="s">
        <v>65</v>
      </c>
      <c r="C631" s="111" t="s">
        <v>27</v>
      </c>
      <c r="D631" s="111"/>
      <c r="E631" s="111"/>
      <c r="F631" s="139">
        <v>-1175</v>
      </c>
      <c r="G631" s="135">
        <v>45752</v>
      </c>
      <c r="H631" s="166" t="s">
        <v>332</v>
      </c>
      <c r="I631" s="134" t="s">
        <v>119</v>
      </c>
      <c r="J631" s="111"/>
      <c r="K631" s="135">
        <v>45752</v>
      </c>
      <c r="L631" s="153">
        <v>-1175</v>
      </c>
      <c r="M631" s="111"/>
    </row>
    <row r="632" spans="1:15" customFormat="1" x14ac:dyDescent="0.35">
      <c r="A632" s="109">
        <v>45782</v>
      </c>
      <c r="B632" s="121" t="s">
        <v>65</v>
      </c>
      <c r="C632" s="111" t="s">
        <v>27</v>
      </c>
      <c r="D632" s="111"/>
      <c r="E632" s="111"/>
      <c r="F632" s="139">
        <v>-1175</v>
      </c>
      <c r="G632" s="135">
        <v>45782</v>
      </c>
      <c r="H632" s="166" t="s">
        <v>332</v>
      </c>
      <c r="I632" s="134" t="s">
        <v>119</v>
      </c>
      <c r="J632" s="111"/>
      <c r="K632" s="135">
        <v>45782</v>
      </c>
      <c r="L632" s="153">
        <v>-1175</v>
      </c>
      <c r="M632" s="111"/>
    </row>
    <row r="633" spans="1:15" customFormat="1" x14ac:dyDescent="0.35">
      <c r="A633" s="109">
        <v>45813</v>
      </c>
      <c r="B633" s="121" t="s">
        <v>65</v>
      </c>
      <c r="C633" s="111" t="s">
        <v>27</v>
      </c>
      <c r="D633" s="111"/>
      <c r="E633" s="111"/>
      <c r="F633" s="139">
        <v>-1175</v>
      </c>
      <c r="G633" s="135">
        <v>45813</v>
      </c>
      <c r="H633" s="166" t="s">
        <v>332</v>
      </c>
      <c r="I633" s="134" t="s">
        <v>119</v>
      </c>
      <c r="J633" s="111"/>
      <c r="K633" s="135">
        <v>45813</v>
      </c>
      <c r="L633" s="153">
        <v>-1175</v>
      </c>
      <c r="M633" s="111"/>
    </row>
    <row r="634" spans="1:15" customFormat="1" x14ac:dyDescent="0.35">
      <c r="A634" s="109">
        <v>45843</v>
      </c>
      <c r="B634" s="121" t="s">
        <v>65</v>
      </c>
      <c r="C634" s="111" t="s">
        <v>27</v>
      </c>
      <c r="D634" s="111"/>
      <c r="E634" s="111"/>
      <c r="F634" s="139">
        <v>-1175</v>
      </c>
      <c r="G634" s="135">
        <v>45843</v>
      </c>
      <c r="H634" s="166" t="s">
        <v>332</v>
      </c>
      <c r="I634" s="134" t="s">
        <v>119</v>
      </c>
      <c r="J634" s="111"/>
      <c r="K634" s="135">
        <v>45843</v>
      </c>
      <c r="L634" s="153">
        <v>-1175</v>
      </c>
      <c r="M634" s="111"/>
    </row>
    <row r="635" spans="1:15" customFormat="1" x14ac:dyDescent="0.35">
      <c r="A635" s="109">
        <v>45874</v>
      </c>
      <c r="B635" s="121" t="s">
        <v>65</v>
      </c>
      <c r="C635" s="111" t="s">
        <v>27</v>
      </c>
      <c r="D635" s="111"/>
      <c r="E635" s="111"/>
      <c r="F635" s="139">
        <v>-1175</v>
      </c>
      <c r="G635" s="135">
        <v>45874</v>
      </c>
      <c r="H635" s="166" t="s">
        <v>332</v>
      </c>
      <c r="I635" s="134" t="s">
        <v>119</v>
      </c>
      <c r="J635" s="111"/>
      <c r="K635" s="135">
        <v>45874</v>
      </c>
      <c r="L635" s="153">
        <v>-1175</v>
      </c>
      <c r="M635" s="111"/>
    </row>
    <row r="636" spans="1:15" customFormat="1" x14ac:dyDescent="0.35">
      <c r="A636" s="109">
        <v>45905</v>
      </c>
      <c r="B636" s="121" t="s">
        <v>65</v>
      </c>
      <c r="C636" s="111" t="s">
        <v>27</v>
      </c>
      <c r="D636" s="111"/>
      <c r="E636" s="111"/>
      <c r="F636" s="139">
        <v>-1175</v>
      </c>
      <c r="G636" s="135">
        <v>45905</v>
      </c>
      <c r="H636" s="166" t="s">
        <v>332</v>
      </c>
      <c r="I636" s="134" t="s">
        <v>119</v>
      </c>
      <c r="J636" s="111"/>
      <c r="K636" s="135">
        <v>45905</v>
      </c>
      <c r="L636" s="153">
        <v>-1175</v>
      </c>
      <c r="M636" s="111"/>
      <c r="O636">
        <f>MONTH(A636)</f>
        <v>9</v>
      </c>
    </row>
    <row r="637" spans="1:15" customFormat="1" x14ac:dyDescent="0.35">
      <c r="A637" s="109">
        <v>45935</v>
      </c>
      <c r="B637" s="121" t="s">
        <v>65</v>
      </c>
      <c r="C637" s="111" t="s">
        <v>27</v>
      </c>
      <c r="D637" s="111"/>
      <c r="E637" s="111"/>
      <c r="F637" s="139">
        <v>-1175</v>
      </c>
      <c r="G637" s="135">
        <v>45935</v>
      </c>
      <c r="H637" s="166" t="s">
        <v>332</v>
      </c>
      <c r="I637" s="134" t="s">
        <v>119</v>
      </c>
      <c r="J637" s="111"/>
      <c r="K637" s="135">
        <v>45935</v>
      </c>
      <c r="L637" s="153">
        <v>-1175</v>
      </c>
      <c r="M637" s="111"/>
    </row>
    <row r="638" spans="1:15" customFormat="1" x14ac:dyDescent="0.35">
      <c r="A638" s="109">
        <v>45966</v>
      </c>
      <c r="B638" s="121" t="s">
        <v>65</v>
      </c>
      <c r="C638" s="111" t="s">
        <v>27</v>
      </c>
      <c r="D638" s="111"/>
      <c r="E638" s="111"/>
      <c r="F638" s="139">
        <v>-1175</v>
      </c>
      <c r="G638" s="135">
        <v>45966</v>
      </c>
      <c r="H638" s="166" t="s">
        <v>332</v>
      </c>
      <c r="I638" s="134" t="s">
        <v>119</v>
      </c>
      <c r="J638" s="111"/>
      <c r="K638" s="135">
        <v>45966</v>
      </c>
      <c r="L638" s="153">
        <v>-1175</v>
      </c>
      <c r="M638" s="111"/>
    </row>
    <row r="639" spans="1:15" customFormat="1" x14ac:dyDescent="0.35">
      <c r="A639" s="109">
        <v>45996</v>
      </c>
      <c r="B639" s="121" t="s">
        <v>65</v>
      </c>
      <c r="C639" s="111" t="s">
        <v>27</v>
      </c>
      <c r="D639" s="111"/>
      <c r="E639" s="111"/>
      <c r="F639" s="139">
        <v>-1175</v>
      </c>
      <c r="G639" s="135">
        <v>45996</v>
      </c>
      <c r="H639" s="166" t="s">
        <v>332</v>
      </c>
      <c r="I639" s="134" t="s">
        <v>119</v>
      </c>
      <c r="J639" s="111"/>
      <c r="K639" s="135">
        <v>45996</v>
      </c>
      <c r="L639" s="153">
        <v>-1175</v>
      </c>
      <c r="M639" s="111"/>
    </row>
    <row r="640" spans="1:15" customFormat="1" x14ac:dyDescent="0.35">
      <c r="A640" s="109">
        <v>45426</v>
      </c>
      <c r="B640" s="111" t="s">
        <v>65</v>
      </c>
      <c r="C640" s="111" t="s">
        <v>83</v>
      </c>
      <c r="D640" s="111"/>
      <c r="E640" s="111" t="s">
        <v>869</v>
      </c>
      <c r="F640" s="131">
        <v>-209.1</v>
      </c>
      <c r="G640" s="135"/>
      <c r="H640" s="133" t="s">
        <v>66</v>
      </c>
      <c r="I640" s="133"/>
      <c r="J640" s="111">
        <v>45434</v>
      </c>
      <c r="K640" s="135"/>
      <c r="L640" s="153">
        <f>F640</f>
        <v>-209.1</v>
      </c>
      <c r="M640" s="111" t="s">
        <v>870</v>
      </c>
    </row>
    <row r="641" spans="1:13" customFormat="1" x14ac:dyDescent="0.35">
      <c r="A641" s="109"/>
      <c r="B641" s="121"/>
      <c r="C641" s="111"/>
      <c r="D641" s="111"/>
      <c r="E641" s="111"/>
      <c r="F641" s="139"/>
      <c r="G641" s="135"/>
      <c r="H641" s="133"/>
      <c r="I641" s="134"/>
      <c r="J641" s="111"/>
      <c r="K641" s="135"/>
      <c r="L641" s="153"/>
      <c r="M641" s="121"/>
    </row>
    <row r="642" spans="1:13" customFormat="1" x14ac:dyDescent="0.35">
      <c r="A642" s="109">
        <v>45861</v>
      </c>
      <c r="B642" s="111" t="s">
        <v>57</v>
      </c>
      <c r="C642" s="111" t="s">
        <v>25</v>
      </c>
      <c r="D642" s="111" t="s">
        <v>715</v>
      </c>
      <c r="E642" s="111" t="s">
        <v>871</v>
      </c>
      <c r="F642" s="207">
        <v>120.73</v>
      </c>
      <c r="G642" s="135">
        <f>A642+30</f>
        <v>45891</v>
      </c>
      <c r="H642" s="134" t="s">
        <v>66</v>
      </c>
      <c r="I642" s="133" t="s">
        <v>135</v>
      </c>
      <c r="J642" s="111"/>
      <c r="K642" s="135">
        <v>45910</v>
      </c>
      <c r="L642" s="111"/>
      <c r="M642" s="186" t="s">
        <v>868</v>
      </c>
    </row>
    <row r="643" spans="1:13" customFormat="1" x14ac:dyDescent="0.35">
      <c r="A643" s="109">
        <v>45881</v>
      </c>
      <c r="B643" s="111" t="s">
        <v>57</v>
      </c>
      <c r="C643" s="111" t="s">
        <v>25</v>
      </c>
      <c r="D643" s="111" t="s">
        <v>715</v>
      </c>
      <c r="E643" s="111" t="s">
        <v>872</v>
      </c>
      <c r="F643" s="207">
        <v>118.13</v>
      </c>
      <c r="G643" s="135">
        <f>A643+30</f>
        <v>45911</v>
      </c>
      <c r="H643" s="134" t="s">
        <v>66</v>
      </c>
      <c r="I643" s="133" t="s">
        <v>135</v>
      </c>
      <c r="J643" s="111"/>
      <c r="K643" s="135">
        <v>45910</v>
      </c>
      <c r="L643" s="111"/>
      <c r="M643" s="186" t="s">
        <v>868</v>
      </c>
    </row>
    <row r="644" spans="1:13" customFormat="1" x14ac:dyDescent="0.35">
      <c r="A644" s="109">
        <v>45901</v>
      </c>
      <c r="B644" s="121" t="s">
        <v>57</v>
      </c>
      <c r="C644" s="121" t="s">
        <v>25</v>
      </c>
      <c r="D644" s="121" t="s">
        <v>715</v>
      </c>
      <c r="E644" s="121" t="s">
        <v>873</v>
      </c>
      <c r="F644" s="207">
        <v>159.59</v>
      </c>
      <c r="G644" s="135">
        <f>A644+30</f>
        <v>45931</v>
      </c>
      <c r="H644" s="134" t="s">
        <v>66</v>
      </c>
      <c r="I644" s="133" t="s">
        <v>135</v>
      </c>
      <c r="J644" s="111"/>
      <c r="K644" s="135">
        <v>45910</v>
      </c>
      <c r="L644" s="111"/>
      <c r="M644" s="186" t="s">
        <v>868</v>
      </c>
    </row>
    <row r="645" spans="1:13" customFormat="1" x14ac:dyDescent="0.35">
      <c r="A645" s="109">
        <v>45524</v>
      </c>
      <c r="B645" s="111" t="s">
        <v>65</v>
      </c>
      <c r="C645" s="111" t="s">
        <v>83</v>
      </c>
      <c r="D645" s="111"/>
      <c r="E645" s="111" t="s">
        <v>874</v>
      </c>
      <c r="F645" s="131">
        <v>-209.1</v>
      </c>
      <c r="G645" s="135"/>
      <c r="H645" s="133" t="s">
        <v>66</v>
      </c>
      <c r="I645" s="133" t="s">
        <v>131</v>
      </c>
      <c r="J645" s="111"/>
      <c r="K645" s="135"/>
      <c r="L645" s="153">
        <f>F645</f>
        <v>-209.1</v>
      </c>
      <c r="M645" s="111" t="s">
        <v>875</v>
      </c>
    </row>
    <row r="646" spans="1:13" customFormat="1" x14ac:dyDescent="0.35">
      <c r="A646" s="109">
        <v>45783</v>
      </c>
      <c r="B646" s="111" t="s">
        <v>65</v>
      </c>
      <c r="C646" s="111" t="s">
        <v>83</v>
      </c>
      <c r="D646" s="111"/>
      <c r="E646" s="111" t="s">
        <v>876</v>
      </c>
      <c r="F646" s="153">
        <v>-221.4</v>
      </c>
      <c r="G646" s="135"/>
      <c r="H646" s="133" t="s">
        <v>66</v>
      </c>
      <c r="I646" s="133" t="s">
        <v>119</v>
      </c>
      <c r="J646" s="109">
        <v>45796</v>
      </c>
      <c r="K646" s="135"/>
      <c r="L646" s="111"/>
      <c r="M646" s="111" t="s">
        <v>877</v>
      </c>
    </row>
    <row r="647" spans="1:13" customFormat="1" x14ac:dyDescent="0.35">
      <c r="A647" s="109">
        <v>45870</v>
      </c>
      <c r="B647" s="111" t="s">
        <v>65</v>
      </c>
      <c r="C647" s="111" t="s">
        <v>83</v>
      </c>
      <c r="D647" s="111"/>
      <c r="E647" s="121" t="s">
        <v>878</v>
      </c>
      <c r="F647" s="153">
        <v>-221.4</v>
      </c>
      <c r="G647" s="133"/>
      <c r="H647" s="133" t="s">
        <v>66</v>
      </c>
      <c r="I647" s="133" t="s">
        <v>170</v>
      </c>
      <c r="J647" s="111"/>
      <c r="K647" s="135">
        <v>45882</v>
      </c>
      <c r="L647" s="111"/>
      <c r="M647" s="111" t="s">
        <v>877</v>
      </c>
    </row>
    <row r="648" spans="1:13" customFormat="1" x14ac:dyDescent="0.35">
      <c r="A648" s="109">
        <v>45439</v>
      </c>
      <c r="B648" s="111" t="s">
        <v>65</v>
      </c>
      <c r="C648" s="111" t="s">
        <v>548</v>
      </c>
      <c r="D648" s="111"/>
      <c r="E648" s="111" t="s">
        <v>879</v>
      </c>
      <c r="F648" s="131">
        <v>-252.4</v>
      </c>
      <c r="G648" s="135"/>
      <c r="H648" s="133" t="s">
        <v>66</v>
      </c>
      <c r="I648" s="133"/>
      <c r="J648" s="111"/>
      <c r="K648" s="135"/>
      <c r="L648" s="153">
        <f t="shared" ref="L648:L658" si="28">F648</f>
        <v>-252.4</v>
      </c>
      <c r="M648" s="111" t="s">
        <v>880</v>
      </c>
    </row>
    <row r="649" spans="1:13" customFormat="1" x14ac:dyDescent="0.35">
      <c r="A649" s="109">
        <v>45440</v>
      </c>
      <c r="B649" s="111" t="s">
        <v>65</v>
      </c>
      <c r="C649" s="111" t="s">
        <v>548</v>
      </c>
      <c r="D649" s="111"/>
      <c r="E649" s="111" t="s">
        <v>881</v>
      </c>
      <c r="F649" s="131">
        <v>-17.34</v>
      </c>
      <c r="G649" s="135"/>
      <c r="H649" s="133" t="s">
        <v>66</v>
      </c>
      <c r="I649" s="133"/>
      <c r="J649" s="111"/>
      <c r="K649" s="135"/>
      <c r="L649" s="153">
        <f t="shared" si="28"/>
        <v>-17.34</v>
      </c>
      <c r="M649" s="111" t="s">
        <v>882</v>
      </c>
    </row>
    <row r="650" spans="1:13" customFormat="1" x14ac:dyDescent="0.35">
      <c r="A650" s="109">
        <v>45454</v>
      </c>
      <c r="B650" s="111" t="s">
        <v>65</v>
      </c>
      <c r="C650" s="111" t="s">
        <v>548</v>
      </c>
      <c r="D650" s="111"/>
      <c r="E650" s="111" t="s">
        <v>883</v>
      </c>
      <c r="F650" s="131">
        <v>-157.75</v>
      </c>
      <c r="G650" s="135"/>
      <c r="H650" s="133" t="s">
        <v>66</v>
      </c>
      <c r="I650" s="133"/>
      <c r="J650" s="111"/>
      <c r="K650" s="135"/>
      <c r="L650" s="153">
        <f t="shared" si="28"/>
        <v>-157.75</v>
      </c>
      <c r="M650" s="111" t="s">
        <v>884</v>
      </c>
    </row>
    <row r="651" spans="1:13" customFormat="1" x14ac:dyDescent="0.35">
      <c r="A651" s="109">
        <v>45610</v>
      </c>
      <c r="B651" s="111" t="s">
        <v>65</v>
      </c>
      <c r="C651" s="111" t="s">
        <v>548</v>
      </c>
      <c r="D651" s="111"/>
      <c r="E651" s="111" t="s">
        <v>885</v>
      </c>
      <c r="F651" s="131">
        <v>-98.89</v>
      </c>
      <c r="G651" s="135"/>
      <c r="H651" s="133" t="s">
        <v>66</v>
      </c>
      <c r="I651" s="133" t="s">
        <v>170</v>
      </c>
      <c r="J651" s="111"/>
      <c r="K651" s="135">
        <v>45394</v>
      </c>
      <c r="L651" s="153">
        <f t="shared" si="28"/>
        <v>-98.89</v>
      </c>
      <c r="M651" s="111" t="s">
        <v>886</v>
      </c>
    </row>
    <row r="652" spans="1:13" customFormat="1" x14ac:dyDescent="0.35">
      <c r="A652" s="109">
        <v>45469</v>
      </c>
      <c r="B652" s="111" t="s">
        <v>65</v>
      </c>
      <c r="C652" s="111" t="s">
        <v>548</v>
      </c>
      <c r="D652" s="111"/>
      <c r="E652" s="111" t="s">
        <v>887</v>
      </c>
      <c r="F652" s="131">
        <v>-163.84</v>
      </c>
      <c r="G652" s="135"/>
      <c r="H652" s="133" t="s">
        <v>66</v>
      </c>
      <c r="I652" s="133" t="s">
        <v>119</v>
      </c>
      <c r="J652" s="111"/>
      <c r="K652" s="135"/>
      <c r="L652" s="153">
        <f t="shared" si="28"/>
        <v>-163.84</v>
      </c>
      <c r="M652" s="111" t="s">
        <v>880</v>
      </c>
    </row>
    <row r="653" spans="1:13" customFormat="1" x14ac:dyDescent="0.35">
      <c r="A653" s="109">
        <v>45469</v>
      </c>
      <c r="B653" s="111" t="s">
        <v>65</v>
      </c>
      <c r="C653" s="111" t="s">
        <v>548</v>
      </c>
      <c r="D653" s="111"/>
      <c r="E653" s="111" t="s">
        <v>888</v>
      </c>
      <c r="F653" s="131">
        <v>-72.319999999999993</v>
      </c>
      <c r="G653" s="135"/>
      <c r="H653" s="133" t="s">
        <v>66</v>
      </c>
      <c r="I653" s="133" t="s">
        <v>119</v>
      </c>
      <c r="J653" s="111"/>
      <c r="K653" s="135"/>
      <c r="L653" s="153">
        <f t="shared" si="28"/>
        <v>-72.319999999999993</v>
      </c>
      <c r="M653" s="111" t="s">
        <v>889</v>
      </c>
    </row>
    <row r="654" spans="1:13" customFormat="1" x14ac:dyDescent="0.35">
      <c r="A654" s="109">
        <v>45469</v>
      </c>
      <c r="B654" s="111" t="s">
        <v>65</v>
      </c>
      <c r="C654" s="111" t="s">
        <v>548</v>
      </c>
      <c r="D654" s="111"/>
      <c r="E654" s="111" t="s">
        <v>890</v>
      </c>
      <c r="F654" s="131">
        <v>-52.4</v>
      </c>
      <c r="G654" s="135"/>
      <c r="H654" s="133" t="s">
        <v>66</v>
      </c>
      <c r="I654" s="133" t="s">
        <v>119</v>
      </c>
      <c r="J654" s="111"/>
      <c r="K654" s="135"/>
      <c r="L654" s="153">
        <f t="shared" si="28"/>
        <v>-52.4</v>
      </c>
      <c r="M654" s="111" t="s">
        <v>880</v>
      </c>
    </row>
    <row r="655" spans="1:13" customFormat="1" x14ac:dyDescent="0.35">
      <c r="A655" s="109">
        <v>45469</v>
      </c>
      <c r="B655" s="111" t="s">
        <v>65</v>
      </c>
      <c r="C655" s="111" t="s">
        <v>548</v>
      </c>
      <c r="D655" s="111"/>
      <c r="E655" s="111" t="s">
        <v>891</v>
      </c>
      <c r="F655" s="131">
        <v>-56.09</v>
      </c>
      <c r="G655" s="135"/>
      <c r="H655" s="133" t="s">
        <v>66</v>
      </c>
      <c r="I655" s="133" t="s">
        <v>119</v>
      </c>
      <c r="J655" s="111"/>
      <c r="K655" s="135"/>
      <c r="L655" s="153">
        <f t="shared" si="28"/>
        <v>-56.09</v>
      </c>
      <c r="M655" s="111" t="s">
        <v>889</v>
      </c>
    </row>
    <row r="656" spans="1:13" customFormat="1" x14ac:dyDescent="0.35">
      <c r="A656" s="109">
        <v>45471</v>
      </c>
      <c r="B656" s="111" t="s">
        <v>65</v>
      </c>
      <c r="C656" s="111" t="s">
        <v>548</v>
      </c>
      <c r="D656" s="111"/>
      <c r="E656" s="111" t="s">
        <v>892</v>
      </c>
      <c r="F656" s="131">
        <v>-157.75</v>
      </c>
      <c r="G656" s="135"/>
      <c r="H656" s="133" t="s">
        <v>66</v>
      </c>
      <c r="I656" s="133"/>
      <c r="J656" s="111"/>
      <c r="K656" s="135"/>
      <c r="L656" s="153">
        <f t="shared" si="28"/>
        <v>-157.75</v>
      </c>
      <c r="M656" s="111" t="s">
        <v>893</v>
      </c>
    </row>
    <row r="657" spans="1:13" customFormat="1" x14ac:dyDescent="0.35">
      <c r="A657" s="109">
        <v>45783</v>
      </c>
      <c r="B657" s="111" t="s">
        <v>65</v>
      </c>
      <c r="C657" s="121" t="s">
        <v>84</v>
      </c>
      <c r="D657" s="111"/>
      <c r="E657" s="121" t="s">
        <v>894</v>
      </c>
      <c r="F657" s="153">
        <v>-2067.0100000000002</v>
      </c>
      <c r="G657" s="135"/>
      <c r="H657" s="134" t="s">
        <v>66</v>
      </c>
      <c r="I657" s="133" t="s">
        <v>232</v>
      </c>
      <c r="J657" s="111"/>
      <c r="K657" s="135">
        <v>45784</v>
      </c>
      <c r="L657" s="153">
        <f t="shared" si="28"/>
        <v>-2067.0100000000002</v>
      </c>
      <c r="M657" s="121" t="s">
        <v>895</v>
      </c>
    </row>
    <row r="658" spans="1:13" customFormat="1" x14ac:dyDescent="0.35">
      <c r="A658" s="109">
        <v>45783</v>
      </c>
      <c r="B658" s="111" t="s">
        <v>65</v>
      </c>
      <c r="C658" s="121" t="s">
        <v>84</v>
      </c>
      <c r="D658" s="111"/>
      <c r="E658" s="121" t="s">
        <v>894</v>
      </c>
      <c r="F658" s="153">
        <v>-2362.2199999999998</v>
      </c>
      <c r="G658" s="135"/>
      <c r="H658" s="133" t="s">
        <v>66</v>
      </c>
      <c r="I658" s="133" t="s">
        <v>232</v>
      </c>
      <c r="J658" s="111"/>
      <c r="K658" s="135">
        <v>45817</v>
      </c>
      <c r="L658" s="153">
        <f t="shared" si="28"/>
        <v>-2362.2199999999998</v>
      </c>
      <c r="M658" s="121" t="s">
        <v>896</v>
      </c>
    </row>
    <row r="659" spans="1:13" customFormat="1" x14ac:dyDescent="0.35">
      <c r="A659" s="109">
        <v>45925</v>
      </c>
      <c r="B659" s="111" t="s">
        <v>65</v>
      </c>
      <c r="C659" s="121" t="s">
        <v>84</v>
      </c>
      <c r="D659" s="111"/>
      <c r="E659" s="111" t="s">
        <v>897</v>
      </c>
      <c r="F659" s="153">
        <v>-969.24</v>
      </c>
      <c r="G659" s="133"/>
      <c r="H659" s="134" t="s">
        <v>66</v>
      </c>
      <c r="I659" s="133" t="s">
        <v>232</v>
      </c>
      <c r="J659" s="111"/>
      <c r="K659" s="135">
        <v>45936</v>
      </c>
      <c r="L659" s="111"/>
      <c r="M659" s="196"/>
    </row>
    <row r="660" spans="1:13" customFormat="1" x14ac:dyDescent="0.35">
      <c r="A660" s="109">
        <v>45414</v>
      </c>
      <c r="B660" s="111" t="s">
        <v>65</v>
      </c>
      <c r="C660" s="111" t="s">
        <v>85</v>
      </c>
      <c r="D660" s="111"/>
      <c r="E660" s="111" t="s">
        <v>898</v>
      </c>
      <c r="F660" s="131">
        <v>-362.85</v>
      </c>
      <c r="G660" s="135"/>
      <c r="H660" s="133" t="s">
        <v>66</v>
      </c>
      <c r="I660" s="133" t="s">
        <v>119</v>
      </c>
      <c r="J660" s="111">
        <v>45434</v>
      </c>
      <c r="K660" s="135"/>
      <c r="L660" s="153">
        <f>F660</f>
        <v>-362.85</v>
      </c>
      <c r="M660" s="111" t="s">
        <v>899</v>
      </c>
    </row>
    <row r="661" spans="1:13" customFormat="1" x14ac:dyDescent="0.35">
      <c r="A661" s="109">
        <v>45509</v>
      </c>
      <c r="B661" s="111" t="s">
        <v>65</v>
      </c>
      <c r="C661" s="111" t="s">
        <v>85</v>
      </c>
      <c r="D661" s="111"/>
      <c r="E661" s="111" t="s">
        <v>900</v>
      </c>
      <c r="F661" s="131">
        <v>-172.2</v>
      </c>
      <c r="G661" s="135"/>
      <c r="H661" s="133" t="s">
        <v>66</v>
      </c>
      <c r="I661" s="133" t="s">
        <v>715</v>
      </c>
      <c r="J661" s="111"/>
      <c r="K661" s="135"/>
      <c r="L661" s="153">
        <f>F661</f>
        <v>-172.2</v>
      </c>
      <c r="M661" s="111" t="s">
        <v>901</v>
      </c>
    </row>
    <row r="662" spans="1:13" customFormat="1" x14ac:dyDescent="0.35">
      <c r="A662" s="109">
        <v>45511</v>
      </c>
      <c r="B662" s="111" t="s">
        <v>65</v>
      </c>
      <c r="C662" s="111" t="s">
        <v>85</v>
      </c>
      <c r="D662" s="111"/>
      <c r="E662" s="111" t="s">
        <v>226</v>
      </c>
      <c r="F662" s="131">
        <v>-270.60000000000002</v>
      </c>
      <c r="G662" s="135"/>
      <c r="H662" s="133" t="s">
        <v>66</v>
      </c>
      <c r="I662" s="133" t="s">
        <v>131</v>
      </c>
      <c r="J662" s="111"/>
      <c r="K662" s="135"/>
      <c r="L662" s="153">
        <f>F662</f>
        <v>-270.60000000000002</v>
      </c>
      <c r="M662" s="111" t="s">
        <v>902</v>
      </c>
    </row>
    <row r="663" spans="1:13" customFormat="1" x14ac:dyDescent="0.35">
      <c r="A663" s="109">
        <v>45780</v>
      </c>
      <c r="B663" s="111" t="s">
        <v>65</v>
      </c>
      <c r="C663" s="121" t="s">
        <v>85</v>
      </c>
      <c r="D663" s="111"/>
      <c r="E663" s="121" t="s">
        <v>903</v>
      </c>
      <c r="F663" s="153">
        <v>-362.85</v>
      </c>
      <c r="G663" s="135"/>
      <c r="H663" s="133" t="s">
        <v>66</v>
      </c>
      <c r="I663" s="133" t="s">
        <v>119</v>
      </c>
      <c r="J663" s="111"/>
      <c r="K663" s="135">
        <v>45789</v>
      </c>
      <c r="L663" s="153">
        <f>F663</f>
        <v>-362.85</v>
      </c>
      <c r="M663" s="121" t="s">
        <v>904</v>
      </c>
    </row>
    <row r="664" spans="1:13" customFormat="1" x14ac:dyDescent="0.35">
      <c r="A664" s="109">
        <v>45780</v>
      </c>
      <c r="B664" s="111" t="s">
        <v>65</v>
      </c>
      <c r="C664" s="121" t="s">
        <v>85</v>
      </c>
      <c r="D664" s="111"/>
      <c r="E664" s="121" t="s">
        <v>905</v>
      </c>
      <c r="F664" s="153">
        <v>-172.2</v>
      </c>
      <c r="G664" s="135"/>
      <c r="H664" s="133" t="s">
        <v>66</v>
      </c>
      <c r="I664" s="134" t="s">
        <v>906</v>
      </c>
      <c r="J664" s="111"/>
      <c r="K664" s="135">
        <v>45789</v>
      </c>
      <c r="L664" s="153">
        <f>F664</f>
        <v>-172.2</v>
      </c>
      <c r="M664" s="121" t="s">
        <v>904</v>
      </c>
    </row>
    <row r="665" spans="1:13" customFormat="1" x14ac:dyDescent="0.35">
      <c r="A665" s="109">
        <v>45840</v>
      </c>
      <c r="B665" s="111" t="s">
        <v>65</v>
      </c>
      <c r="C665" s="111" t="s">
        <v>85</v>
      </c>
      <c r="D665" s="111"/>
      <c r="E665" s="111" t="s">
        <v>907</v>
      </c>
      <c r="F665" s="153">
        <v>-123</v>
      </c>
      <c r="G665" s="133"/>
      <c r="H665" s="133" t="s">
        <v>66</v>
      </c>
      <c r="I665" s="133" t="s">
        <v>119</v>
      </c>
      <c r="J665" s="111"/>
      <c r="K665" s="135">
        <v>45854</v>
      </c>
      <c r="L665" s="111"/>
      <c r="M665" s="196"/>
    </row>
    <row r="666" spans="1:13" customFormat="1" x14ac:dyDescent="0.35">
      <c r="A666" s="109">
        <v>45840</v>
      </c>
      <c r="B666" s="111" t="s">
        <v>65</v>
      </c>
      <c r="C666" s="111" t="s">
        <v>85</v>
      </c>
      <c r="D666" s="111"/>
      <c r="E666" s="111" t="s">
        <v>908</v>
      </c>
      <c r="F666" s="153">
        <v>-270.60000000000002</v>
      </c>
      <c r="G666" s="133"/>
      <c r="H666" s="133" t="s">
        <v>66</v>
      </c>
      <c r="I666" s="133" t="s">
        <v>168</v>
      </c>
      <c r="J666" s="111"/>
      <c r="K666" s="135">
        <v>45854</v>
      </c>
      <c r="L666" s="111"/>
      <c r="M666" s="196" t="s">
        <v>909</v>
      </c>
    </row>
    <row r="667" spans="1:13" customFormat="1" x14ac:dyDescent="0.35">
      <c r="A667" s="109">
        <v>45110</v>
      </c>
      <c r="B667" s="111" t="s">
        <v>65</v>
      </c>
      <c r="C667" s="121" t="s">
        <v>47</v>
      </c>
      <c r="D667" s="111"/>
      <c r="E667" s="111">
        <v>33868</v>
      </c>
      <c r="F667" s="131">
        <v>-726.86</v>
      </c>
      <c r="G667" s="135"/>
      <c r="H667" s="133" t="s">
        <v>66</v>
      </c>
      <c r="I667" s="133"/>
      <c r="J667" s="111"/>
      <c r="K667" s="135"/>
      <c r="L667" s="153">
        <f t="shared" ref="L667:L683" si="29">F667</f>
        <v>-726.86</v>
      </c>
      <c r="M667" s="111"/>
    </row>
    <row r="668" spans="1:13" customFormat="1" x14ac:dyDescent="0.35">
      <c r="A668" s="109">
        <v>45139</v>
      </c>
      <c r="B668" s="111" t="s">
        <v>65</v>
      </c>
      <c r="C668" s="121" t="s">
        <v>47</v>
      </c>
      <c r="D668" s="111"/>
      <c r="E668" s="111" t="s">
        <v>910</v>
      </c>
      <c r="F668" s="131">
        <v>-692</v>
      </c>
      <c r="G668" s="135"/>
      <c r="H668" s="133" t="s">
        <v>66</v>
      </c>
      <c r="I668" s="133"/>
      <c r="J668" s="111"/>
      <c r="K668" s="135"/>
      <c r="L668" s="153">
        <f t="shared" si="29"/>
        <v>-692</v>
      </c>
      <c r="M668" s="111" t="s">
        <v>911</v>
      </c>
    </row>
    <row r="669" spans="1:13" customFormat="1" x14ac:dyDescent="0.35">
      <c r="A669" s="109">
        <v>45149</v>
      </c>
      <c r="B669" s="111" t="s">
        <v>65</v>
      </c>
      <c r="C669" s="121" t="s">
        <v>47</v>
      </c>
      <c r="D669" s="111"/>
      <c r="E669" s="111" t="s">
        <v>912</v>
      </c>
      <c r="F669" s="131">
        <v>-340.34</v>
      </c>
      <c r="G669" s="135"/>
      <c r="H669" s="133" t="s">
        <v>66</v>
      </c>
      <c r="I669" s="133"/>
      <c r="J669" s="111"/>
      <c r="K669" s="135"/>
      <c r="L669" s="153">
        <f t="shared" si="29"/>
        <v>-340.34</v>
      </c>
      <c r="M669" s="111" t="s">
        <v>913</v>
      </c>
    </row>
    <row r="670" spans="1:13" customFormat="1" x14ac:dyDescent="0.35">
      <c r="A670" s="109">
        <v>45163</v>
      </c>
      <c r="B670" s="111" t="s">
        <v>65</v>
      </c>
      <c r="C670" s="121" t="s">
        <v>47</v>
      </c>
      <c r="D670" s="111"/>
      <c r="E670" s="111" t="s">
        <v>914</v>
      </c>
      <c r="F670" s="131">
        <v>-380.98</v>
      </c>
      <c r="G670" s="135"/>
      <c r="H670" s="133" t="s">
        <v>66</v>
      </c>
      <c r="I670" s="133"/>
      <c r="J670" s="111"/>
      <c r="K670" s="135"/>
      <c r="L670" s="153">
        <f t="shared" si="29"/>
        <v>-380.98</v>
      </c>
      <c r="M670" s="111" t="s">
        <v>913</v>
      </c>
    </row>
    <row r="671" spans="1:13" customFormat="1" x14ac:dyDescent="0.35">
      <c r="A671" s="109">
        <v>45196</v>
      </c>
      <c r="B671" s="111" t="s">
        <v>65</v>
      </c>
      <c r="C671" s="121" t="s">
        <v>47</v>
      </c>
      <c r="D671" s="111"/>
      <c r="E671" s="111" t="s">
        <v>915</v>
      </c>
      <c r="F671" s="131">
        <v>-343.17</v>
      </c>
      <c r="G671" s="135"/>
      <c r="H671" s="133" t="s">
        <v>66</v>
      </c>
      <c r="I671" s="133"/>
      <c r="J671" s="111"/>
      <c r="K671" s="135"/>
      <c r="L671" s="153">
        <f t="shared" si="29"/>
        <v>-343.17</v>
      </c>
      <c r="M671" s="111" t="s">
        <v>916</v>
      </c>
    </row>
    <row r="672" spans="1:13" customFormat="1" x14ac:dyDescent="0.35">
      <c r="A672" s="109">
        <v>45236</v>
      </c>
      <c r="B672" s="111" t="s">
        <v>65</v>
      </c>
      <c r="C672" s="121" t="s">
        <v>47</v>
      </c>
      <c r="D672" s="111"/>
      <c r="E672" s="111" t="s">
        <v>917</v>
      </c>
      <c r="F672" s="131">
        <v>-404.92</v>
      </c>
      <c r="G672" s="135"/>
      <c r="H672" s="133" t="s">
        <v>66</v>
      </c>
      <c r="I672" s="133"/>
      <c r="J672" s="111"/>
      <c r="K672" s="135"/>
      <c r="L672" s="153">
        <f t="shared" si="29"/>
        <v>-404.92</v>
      </c>
      <c r="M672" s="111" t="s">
        <v>916</v>
      </c>
    </row>
    <row r="673" spans="1:14" customFormat="1" x14ac:dyDescent="0.35">
      <c r="A673" s="109">
        <v>45320</v>
      </c>
      <c r="B673" s="111" t="s">
        <v>65</v>
      </c>
      <c r="C673" s="121" t="s">
        <v>47</v>
      </c>
      <c r="D673" s="111"/>
      <c r="E673" s="111" t="s">
        <v>918</v>
      </c>
      <c r="F673" s="131">
        <v>-519.17999999999995</v>
      </c>
      <c r="G673" s="135"/>
      <c r="H673" s="133" t="s">
        <v>66</v>
      </c>
      <c r="I673" s="133"/>
      <c r="J673" s="111"/>
      <c r="K673" s="135"/>
      <c r="L673" s="153">
        <f t="shared" si="29"/>
        <v>-519.17999999999995</v>
      </c>
      <c r="M673" s="111" t="s">
        <v>913</v>
      </c>
    </row>
    <row r="674" spans="1:14" customFormat="1" x14ac:dyDescent="0.35">
      <c r="A674" s="109">
        <v>45356</v>
      </c>
      <c r="B674" s="111" t="s">
        <v>65</v>
      </c>
      <c r="C674" s="121" t="s">
        <v>47</v>
      </c>
      <c r="D674" s="111"/>
      <c r="E674" s="111" t="s">
        <v>919</v>
      </c>
      <c r="F674" s="131">
        <v>-827.3</v>
      </c>
      <c r="G674" s="135"/>
      <c r="H674" s="133" t="s">
        <v>66</v>
      </c>
      <c r="I674" s="133"/>
      <c r="J674" s="111"/>
      <c r="K674" s="135"/>
      <c r="L674" s="153">
        <f t="shared" si="29"/>
        <v>-827.3</v>
      </c>
      <c r="M674" s="111" t="s">
        <v>913</v>
      </c>
    </row>
    <row r="675" spans="1:14" customFormat="1" x14ac:dyDescent="0.35">
      <c r="A675" s="109">
        <v>45392</v>
      </c>
      <c r="B675" s="111" t="s">
        <v>65</v>
      </c>
      <c r="C675" s="121" t="s">
        <v>47</v>
      </c>
      <c r="D675" s="111"/>
      <c r="E675" s="111" t="s">
        <v>920</v>
      </c>
      <c r="F675" s="131">
        <v>-405.65</v>
      </c>
      <c r="G675" s="135"/>
      <c r="H675" s="133" t="s">
        <v>66</v>
      </c>
      <c r="I675" s="133"/>
      <c r="J675" s="111"/>
      <c r="K675" s="135"/>
      <c r="L675" s="153">
        <f t="shared" si="29"/>
        <v>-405.65</v>
      </c>
      <c r="M675" s="111" t="s">
        <v>913</v>
      </c>
    </row>
    <row r="676" spans="1:14" customFormat="1" x14ac:dyDescent="0.35">
      <c r="A676" s="109">
        <v>45406</v>
      </c>
      <c r="B676" s="111" t="s">
        <v>65</v>
      </c>
      <c r="C676" s="121" t="s">
        <v>47</v>
      </c>
      <c r="D676" s="111"/>
      <c r="E676" s="111" t="s">
        <v>921</v>
      </c>
      <c r="F676" s="131">
        <v>-344.03</v>
      </c>
      <c r="G676" s="135"/>
      <c r="H676" s="133" t="s">
        <v>66</v>
      </c>
      <c r="I676" s="133"/>
      <c r="J676" s="111"/>
      <c r="K676" s="135"/>
      <c r="L676" s="153">
        <f t="shared" si="29"/>
        <v>-344.03</v>
      </c>
      <c r="M676" s="111" t="s">
        <v>922</v>
      </c>
    </row>
    <row r="677" spans="1:14" customFormat="1" x14ac:dyDescent="0.35">
      <c r="A677" s="109">
        <v>45454</v>
      </c>
      <c r="B677" s="111" t="s">
        <v>65</v>
      </c>
      <c r="C677" s="121" t="s">
        <v>47</v>
      </c>
      <c r="D677" s="111"/>
      <c r="E677" s="111" t="s">
        <v>923</v>
      </c>
      <c r="F677" s="131">
        <v>-365.56</v>
      </c>
      <c r="G677" s="135"/>
      <c r="H677" s="133" t="s">
        <v>66</v>
      </c>
      <c r="I677" s="133"/>
      <c r="J677" s="111"/>
      <c r="K677" s="135"/>
      <c r="L677" s="153">
        <f t="shared" si="29"/>
        <v>-365.56</v>
      </c>
      <c r="M677" s="111" t="s">
        <v>913</v>
      </c>
    </row>
    <row r="678" spans="1:14" customFormat="1" x14ac:dyDescent="0.35">
      <c r="A678" s="109">
        <v>45457</v>
      </c>
      <c r="B678" s="111" t="s">
        <v>65</v>
      </c>
      <c r="C678" s="121" t="s">
        <v>47</v>
      </c>
      <c r="D678" s="111"/>
      <c r="E678" s="111" t="s">
        <v>924</v>
      </c>
      <c r="F678" s="131">
        <v>-773.47</v>
      </c>
      <c r="G678" s="135"/>
      <c r="H678" s="133" t="s">
        <v>66</v>
      </c>
      <c r="I678" s="133"/>
      <c r="J678" s="111"/>
      <c r="K678" s="135"/>
      <c r="L678" s="153">
        <f t="shared" si="29"/>
        <v>-773.47</v>
      </c>
      <c r="M678" s="111" t="s">
        <v>913</v>
      </c>
    </row>
    <row r="679" spans="1:14" customFormat="1" x14ac:dyDescent="0.35">
      <c r="A679" s="109">
        <v>45483</v>
      </c>
      <c r="B679" s="111" t="s">
        <v>65</v>
      </c>
      <c r="C679" s="121" t="s">
        <v>47</v>
      </c>
      <c r="D679" s="111"/>
      <c r="E679" s="111" t="s">
        <v>925</v>
      </c>
      <c r="F679" s="131">
        <v>-317.95999999999998</v>
      </c>
      <c r="G679" s="135"/>
      <c r="H679" s="133" t="s">
        <v>66</v>
      </c>
      <c r="I679" s="133"/>
      <c r="J679" s="111"/>
      <c r="K679" s="135">
        <v>45420</v>
      </c>
      <c r="L679" s="153">
        <f t="shared" si="29"/>
        <v>-317.95999999999998</v>
      </c>
      <c r="M679" s="111" t="s">
        <v>913</v>
      </c>
    </row>
    <row r="680" spans="1:14" customFormat="1" x14ac:dyDescent="0.35">
      <c r="A680" s="109">
        <v>45513</v>
      </c>
      <c r="B680" s="111" t="s">
        <v>65</v>
      </c>
      <c r="C680" s="121" t="s">
        <v>47</v>
      </c>
      <c r="D680" s="111"/>
      <c r="E680" s="111" t="s">
        <v>926</v>
      </c>
      <c r="F680" s="131">
        <v>-385.24</v>
      </c>
      <c r="G680" s="135"/>
      <c r="H680" s="133" t="s">
        <v>66</v>
      </c>
      <c r="I680" s="133" t="s">
        <v>119</v>
      </c>
      <c r="J680" s="111"/>
      <c r="K680" s="135"/>
      <c r="L680" s="153">
        <f t="shared" si="29"/>
        <v>-385.24</v>
      </c>
      <c r="M680" s="111" t="s">
        <v>913</v>
      </c>
    </row>
    <row r="681" spans="1:14" customFormat="1" x14ac:dyDescent="0.35">
      <c r="A681" s="109">
        <v>45551</v>
      </c>
      <c r="B681" s="111" t="s">
        <v>65</v>
      </c>
      <c r="C681" s="121" t="s">
        <v>47</v>
      </c>
      <c r="D681" s="111"/>
      <c r="E681" s="111" t="s">
        <v>927</v>
      </c>
      <c r="F681" s="131">
        <v>-385.36</v>
      </c>
      <c r="G681" s="135"/>
      <c r="H681" s="133" t="s">
        <v>66</v>
      </c>
      <c r="I681" s="133" t="s">
        <v>119</v>
      </c>
      <c r="J681" s="111"/>
      <c r="K681" s="135"/>
      <c r="L681" s="153">
        <f t="shared" si="29"/>
        <v>-385.36</v>
      </c>
      <c r="M681" s="111" t="s">
        <v>913</v>
      </c>
    </row>
    <row r="682" spans="1:14" customFormat="1" x14ac:dyDescent="0.35">
      <c r="A682" s="109">
        <v>45568</v>
      </c>
      <c r="B682" s="111" t="s">
        <v>65</v>
      </c>
      <c r="C682" s="121" t="s">
        <v>47</v>
      </c>
      <c r="D682" s="111"/>
      <c r="E682" s="111" t="s">
        <v>928</v>
      </c>
      <c r="F682" s="131">
        <v>-336.41</v>
      </c>
      <c r="G682" s="135"/>
      <c r="H682" s="133" t="s">
        <v>66</v>
      </c>
      <c r="I682" s="133" t="s">
        <v>119</v>
      </c>
      <c r="J682" s="111"/>
      <c r="K682" s="135">
        <v>45609</v>
      </c>
      <c r="L682" s="153">
        <f t="shared" si="29"/>
        <v>-336.41</v>
      </c>
      <c r="M682" s="111" t="s">
        <v>913</v>
      </c>
    </row>
    <row r="683" spans="1:14" customFormat="1" x14ac:dyDescent="0.35">
      <c r="A683" s="109">
        <v>45602</v>
      </c>
      <c r="B683" s="111" t="s">
        <v>65</v>
      </c>
      <c r="C683" s="121" t="s">
        <v>47</v>
      </c>
      <c r="D683" s="111"/>
      <c r="E683" s="111" t="s">
        <v>929</v>
      </c>
      <c r="F683" s="131">
        <v>-336.41</v>
      </c>
      <c r="G683" s="135"/>
      <c r="H683" s="133" t="s">
        <v>66</v>
      </c>
      <c r="I683" s="133" t="s">
        <v>119</v>
      </c>
      <c r="J683" s="111"/>
      <c r="K683" s="135"/>
      <c r="L683" s="153">
        <f t="shared" si="29"/>
        <v>-336.41</v>
      </c>
      <c r="M683" s="111"/>
    </row>
    <row r="684" spans="1:14" customFormat="1" x14ac:dyDescent="0.35">
      <c r="A684" s="109">
        <v>45918</v>
      </c>
      <c r="B684" s="121" t="s">
        <v>57</v>
      </c>
      <c r="C684" s="121" t="s">
        <v>25</v>
      </c>
      <c r="D684" s="121" t="s">
        <v>715</v>
      </c>
      <c r="E684" s="121" t="s">
        <v>930</v>
      </c>
      <c r="F684" s="153">
        <v>102.38</v>
      </c>
      <c r="G684" s="135">
        <f>A684+30</f>
        <v>45948</v>
      </c>
      <c r="H684" s="133" t="s">
        <v>66</v>
      </c>
      <c r="I684" s="133" t="s">
        <v>135</v>
      </c>
      <c r="J684" s="111"/>
      <c r="K684" s="135">
        <v>45974</v>
      </c>
      <c r="L684" s="111"/>
      <c r="M684" s="196"/>
    </row>
    <row r="685" spans="1:14" customFormat="1" x14ac:dyDescent="0.35">
      <c r="A685" s="109">
        <v>45930</v>
      </c>
      <c r="B685" s="121" t="s">
        <v>57</v>
      </c>
      <c r="C685" s="121" t="s">
        <v>25</v>
      </c>
      <c r="D685" s="121" t="s">
        <v>715</v>
      </c>
      <c r="E685" s="121" t="s">
        <v>931</v>
      </c>
      <c r="F685" s="153">
        <v>28.36</v>
      </c>
      <c r="G685" s="135">
        <f>A685+30</f>
        <v>45960</v>
      </c>
      <c r="H685" s="133" t="s">
        <v>66</v>
      </c>
      <c r="I685" s="133" t="s">
        <v>135</v>
      </c>
      <c r="J685" s="111"/>
      <c r="K685" s="135">
        <v>45974</v>
      </c>
      <c r="L685" s="111"/>
      <c r="M685" s="196"/>
    </row>
    <row r="686" spans="1:14" customFormat="1" x14ac:dyDescent="0.35">
      <c r="A686" s="109">
        <v>45945</v>
      </c>
      <c r="B686" s="111" t="s">
        <v>57</v>
      </c>
      <c r="C686" s="121" t="s">
        <v>25</v>
      </c>
      <c r="D686" s="121" t="s">
        <v>715</v>
      </c>
      <c r="E686" s="121" t="s">
        <v>932</v>
      </c>
      <c r="F686" s="153">
        <v>94.23</v>
      </c>
      <c r="G686" s="135">
        <f>A686+30</f>
        <v>45975</v>
      </c>
      <c r="H686" s="133" t="s">
        <v>66</v>
      </c>
      <c r="I686" s="133" t="s">
        <v>135</v>
      </c>
      <c r="J686" s="111"/>
      <c r="K686" s="135">
        <v>45974</v>
      </c>
      <c r="L686" s="111"/>
      <c r="M686" s="196"/>
      <c r="N686" s="76"/>
    </row>
    <row r="687" spans="1:14" customFormat="1" x14ac:dyDescent="0.35">
      <c r="A687" s="109">
        <v>45952</v>
      </c>
      <c r="B687" s="121" t="s">
        <v>57</v>
      </c>
      <c r="C687" s="111" t="s">
        <v>25</v>
      </c>
      <c r="D687" s="111" t="s">
        <v>715</v>
      </c>
      <c r="E687" s="121" t="s">
        <v>933</v>
      </c>
      <c r="F687" s="153">
        <v>99.93</v>
      </c>
      <c r="G687" s="135">
        <f>A687+30</f>
        <v>45982</v>
      </c>
      <c r="H687" s="133" t="s">
        <v>66</v>
      </c>
      <c r="I687" s="133" t="s">
        <v>135</v>
      </c>
      <c r="J687" s="111"/>
      <c r="K687" s="135">
        <v>45974</v>
      </c>
      <c r="L687" s="145"/>
      <c r="M687" s="198"/>
    </row>
    <row r="688" spans="1:14" customFormat="1" x14ac:dyDescent="0.35">
      <c r="A688" s="109">
        <v>45918</v>
      </c>
      <c r="B688" s="111" t="s">
        <v>57</v>
      </c>
      <c r="C688" s="111" t="s">
        <v>33</v>
      </c>
      <c r="D688" s="111" t="s">
        <v>473</v>
      </c>
      <c r="E688" s="121" t="s">
        <v>934</v>
      </c>
      <c r="F688" s="153">
        <v>-13.27</v>
      </c>
      <c r="G688" s="135"/>
      <c r="H688" s="133" t="s">
        <v>66</v>
      </c>
      <c r="I688" s="133" t="s">
        <v>135</v>
      </c>
      <c r="J688" s="111"/>
      <c r="K688" s="135">
        <v>46000</v>
      </c>
      <c r="L688" s="145"/>
      <c r="M688" s="233" t="s">
        <v>935</v>
      </c>
    </row>
    <row r="689" spans="1:14" customFormat="1" x14ac:dyDescent="0.35">
      <c r="A689" s="109">
        <v>46009</v>
      </c>
      <c r="B689" s="121" t="s">
        <v>57</v>
      </c>
      <c r="C689" s="111" t="s">
        <v>33</v>
      </c>
      <c r="D689" s="111" t="s">
        <v>473</v>
      </c>
      <c r="E689" s="121" t="s">
        <v>936</v>
      </c>
      <c r="F689" s="153">
        <v>82.9</v>
      </c>
      <c r="G689" s="133"/>
      <c r="H689" s="133" t="s">
        <v>66</v>
      </c>
      <c r="I689" s="133" t="s">
        <v>135</v>
      </c>
      <c r="J689" s="111"/>
      <c r="K689" s="160">
        <v>46044</v>
      </c>
      <c r="L689" s="111"/>
      <c r="M689" s="196" t="s">
        <v>937</v>
      </c>
    </row>
    <row r="690" spans="1:14" customFormat="1" x14ac:dyDescent="0.35">
      <c r="A690" s="109">
        <v>45854</v>
      </c>
      <c r="B690" s="111" t="s">
        <v>57</v>
      </c>
      <c r="C690" s="121" t="s">
        <v>62</v>
      </c>
      <c r="D690" s="111"/>
      <c r="E690" s="121" t="s">
        <v>938</v>
      </c>
      <c r="F690" s="153">
        <v>507</v>
      </c>
      <c r="G690" s="135">
        <f>A690+30</f>
        <v>45884</v>
      </c>
      <c r="H690" s="133" t="s">
        <v>59</v>
      </c>
      <c r="I690" s="133" t="s">
        <v>232</v>
      </c>
      <c r="J690" s="111"/>
      <c r="K690" s="135"/>
      <c r="L690" s="111"/>
      <c r="M690" s="196"/>
    </row>
    <row r="691" spans="1:14" customFormat="1" x14ac:dyDescent="0.35">
      <c r="A691" s="109">
        <v>46050</v>
      </c>
      <c r="B691" s="111" t="s">
        <v>57</v>
      </c>
      <c r="C691" s="111" t="s">
        <v>33</v>
      </c>
      <c r="D691" s="111" t="s">
        <v>473</v>
      </c>
      <c r="E691" s="218" t="s">
        <v>939</v>
      </c>
      <c r="F691" s="153">
        <v>18.12</v>
      </c>
      <c r="G691" s="135">
        <v>46080</v>
      </c>
      <c r="H691" s="133" t="s">
        <v>59</v>
      </c>
      <c r="I691" s="133" t="s">
        <v>135</v>
      </c>
      <c r="J691" s="111"/>
      <c r="K691" s="160"/>
      <c r="L691" s="111"/>
      <c r="M691" s="196"/>
    </row>
    <row r="692" spans="1:14" customFormat="1" x14ac:dyDescent="0.35">
      <c r="A692" s="109">
        <v>45866</v>
      </c>
      <c r="B692" s="111" t="s">
        <v>57</v>
      </c>
      <c r="C692" s="111" t="s">
        <v>940</v>
      </c>
      <c r="D692" s="111"/>
      <c r="E692" s="111" t="s">
        <v>941</v>
      </c>
      <c r="F692" s="153">
        <v>683.88</v>
      </c>
      <c r="G692" s="135">
        <f t="shared" ref="G692:G721" si="30">A692+30</f>
        <v>45896</v>
      </c>
      <c r="H692" s="133" t="s">
        <v>66</v>
      </c>
      <c r="I692" s="133" t="s">
        <v>232</v>
      </c>
      <c r="J692" s="111"/>
      <c r="K692" s="135"/>
      <c r="L692" s="111"/>
      <c r="M692" s="196"/>
      <c r="N692" s="76"/>
    </row>
    <row r="693" spans="1:14" customFormat="1" x14ac:dyDescent="0.35">
      <c r="A693" s="109">
        <v>45147</v>
      </c>
      <c r="B693" s="121" t="s">
        <v>57</v>
      </c>
      <c r="C693" s="111" t="s">
        <v>35</v>
      </c>
      <c r="D693" s="111" t="s">
        <v>942</v>
      </c>
      <c r="E693" s="111" t="s">
        <v>943</v>
      </c>
      <c r="F693" s="149">
        <v>1838.2062299999998</v>
      </c>
      <c r="G693" s="135">
        <f t="shared" si="30"/>
        <v>45177</v>
      </c>
      <c r="H693" s="134" t="s">
        <v>66</v>
      </c>
      <c r="I693" s="134" t="s">
        <v>944</v>
      </c>
      <c r="J693" s="111"/>
      <c r="K693" s="135"/>
      <c r="L693" s="153">
        <f t="shared" ref="L693:L724" si="31">F693</f>
        <v>1838.2062299999998</v>
      </c>
      <c r="M693" s="111"/>
      <c r="N693" s="76"/>
    </row>
    <row r="694" spans="1:14" customFormat="1" x14ac:dyDescent="0.35">
      <c r="A694" s="109">
        <v>45161</v>
      </c>
      <c r="B694" s="121" t="s">
        <v>57</v>
      </c>
      <c r="C694" s="111" t="s">
        <v>35</v>
      </c>
      <c r="D694" s="111" t="s">
        <v>942</v>
      </c>
      <c r="E694" s="111" t="s">
        <v>943</v>
      </c>
      <c r="F694" s="149">
        <v>2261.5300000000002</v>
      </c>
      <c r="G694" s="135">
        <f t="shared" si="30"/>
        <v>45191</v>
      </c>
      <c r="H694" s="133" t="s">
        <v>66</v>
      </c>
      <c r="I694" s="133"/>
      <c r="J694" s="111"/>
      <c r="K694" s="135"/>
      <c r="L694" s="153">
        <f t="shared" si="31"/>
        <v>2261.5300000000002</v>
      </c>
      <c r="M694" s="111">
        <v>510434606</v>
      </c>
      <c r="N694" s="76"/>
    </row>
    <row r="695" spans="1:14" customFormat="1" x14ac:dyDescent="0.35">
      <c r="A695" s="178">
        <v>45181</v>
      </c>
      <c r="B695" s="144" t="s">
        <v>57</v>
      </c>
      <c r="C695" s="145" t="s">
        <v>35</v>
      </c>
      <c r="D695" s="145" t="s">
        <v>942</v>
      </c>
      <c r="E695" s="145" t="s">
        <v>945</v>
      </c>
      <c r="F695" s="165">
        <v>615.34</v>
      </c>
      <c r="G695" s="138">
        <f t="shared" si="30"/>
        <v>45211</v>
      </c>
      <c r="H695" s="147" t="s">
        <v>66</v>
      </c>
      <c r="I695" s="147"/>
      <c r="J695" s="145"/>
      <c r="K695" s="135"/>
      <c r="L695" s="153">
        <f t="shared" si="31"/>
        <v>615.34</v>
      </c>
      <c r="M695" s="145">
        <v>510434606</v>
      </c>
    </row>
    <row r="696" spans="1:14" customFormat="1" x14ac:dyDescent="0.35">
      <c r="A696" s="109">
        <v>45181</v>
      </c>
      <c r="B696" s="121" t="s">
        <v>57</v>
      </c>
      <c r="C696" s="111" t="s">
        <v>35</v>
      </c>
      <c r="D696" s="111" t="s">
        <v>942</v>
      </c>
      <c r="E696" s="111" t="s">
        <v>945</v>
      </c>
      <c r="F696" s="149">
        <v>500.21558000000005</v>
      </c>
      <c r="G696" s="135">
        <f t="shared" si="30"/>
        <v>45211</v>
      </c>
      <c r="H696" s="134" t="s">
        <v>66</v>
      </c>
      <c r="I696" s="134" t="s">
        <v>944</v>
      </c>
      <c r="J696" s="111"/>
      <c r="K696" s="135"/>
      <c r="L696" s="153">
        <f t="shared" si="31"/>
        <v>500.21558000000005</v>
      </c>
      <c r="M696" s="111"/>
    </row>
    <row r="697" spans="1:14" customFormat="1" x14ac:dyDescent="0.35">
      <c r="A697" s="109">
        <v>45195</v>
      </c>
      <c r="B697" s="121" t="s">
        <v>57</v>
      </c>
      <c r="C697" s="111" t="s">
        <v>35</v>
      </c>
      <c r="D697" s="111" t="s">
        <v>942</v>
      </c>
      <c r="E697" s="111" t="s">
        <v>946</v>
      </c>
      <c r="F697" s="149">
        <v>858.7</v>
      </c>
      <c r="G697" s="135">
        <f t="shared" si="30"/>
        <v>45225</v>
      </c>
      <c r="H697" s="133" t="s">
        <v>66</v>
      </c>
      <c r="I697" s="133"/>
      <c r="J697" s="111"/>
      <c r="K697" s="135"/>
      <c r="L697" s="153">
        <f t="shared" si="31"/>
        <v>858.7</v>
      </c>
      <c r="M697" s="111">
        <v>510434606</v>
      </c>
    </row>
    <row r="698" spans="1:14" customFormat="1" x14ac:dyDescent="0.35">
      <c r="A698" s="109">
        <v>45195</v>
      </c>
      <c r="B698" s="121" t="s">
        <v>57</v>
      </c>
      <c r="C698" s="111" t="s">
        <v>35</v>
      </c>
      <c r="D698" s="111" t="s">
        <v>942</v>
      </c>
      <c r="E698" s="111" t="s">
        <v>946</v>
      </c>
      <c r="F698" s="149">
        <v>698.02639999999985</v>
      </c>
      <c r="G698" s="135">
        <f t="shared" si="30"/>
        <v>45225</v>
      </c>
      <c r="H698" s="134" t="s">
        <v>66</v>
      </c>
      <c r="I698" s="134" t="s">
        <v>944</v>
      </c>
      <c r="J698" s="111"/>
      <c r="K698" s="135"/>
      <c r="L698" s="153">
        <f t="shared" si="31"/>
        <v>698.02639999999985</v>
      </c>
      <c r="M698" s="111"/>
    </row>
    <row r="699" spans="1:14" customFormat="1" x14ac:dyDescent="0.35">
      <c r="A699" s="176">
        <v>45203</v>
      </c>
      <c r="B699" s="143" t="s">
        <v>57</v>
      </c>
      <c r="C699" s="140" t="s">
        <v>35</v>
      </c>
      <c r="D699" s="140" t="s">
        <v>942</v>
      </c>
      <c r="E699" s="140" t="s">
        <v>947</v>
      </c>
      <c r="F699" s="164">
        <v>578.29</v>
      </c>
      <c r="G699" s="177">
        <f t="shared" si="30"/>
        <v>45233</v>
      </c>
      <c r="H699" s="142" t="s">
        <v>66</v>
      </c>
      <c r="I699" s="142"/>
      <c r="J699" s="140"/>
      <c r="K699" s="135"/>
      <c r="L699" s="153">
        <f t="shared" si="31"/>
        <v>578.29</v>
      </c>
      <c r="M699" s="140">
        <v>510434606</v>
      </c>
    </row>
    <row r="700" spans="1:14" customFormat="1" x14ac:dyDescent="0.35">
      <c r="A700" s="109">
        <v>45203</v>
      </c>
      <c r="B700" s="121" t="s">
        <v>57</v>
      </c>
      <c r="C700" s="111" t="s">
        <v>35</v>
      </c>
      <c r="D700" s="111" t="s">
        <v>942</v>
      </c>
      <c r="E700" s="111" t="s">
        <v>947</v>
      </c>
      <c r="F700" s="149">
        <v>470.06578000000002</v>
      </c>
      <c r="G700" s="135">
        <f t="shared" si="30"/>
        <v>45233</v>
      </c>
      <c r="H700" s="134" t="s">
        <v>66</v>
      </c>
      <c r="I700" s="134" t="s">
        <v>944</v>
      </c>
      <c r="J700" s="111"/>
      <c r="K700" s="135"/>
      <c r="L700" s="153">
        <f t="shared" si="31"/>
        <v>470.06578000000002</v>
      </c>
      <c r="M700" s="111"/>
      <c r="N700" s="76"/>
    </row>
    <row r="701" spans="1:14" customFormat="1" x14ac:dyDescent="0.35">
      <c r="A701" s="178">
        <v>45209</v>
      </c>
      <c r="B701" s="144" t="s">
        <v>57</v>
      </c>
      <c r="C701" s="145" t="s">
        <v>35</v>
      </c>
      <c r="D701" s="145" t="s">
        <v>942</v>
      </c>
      <c r="E701" s="145" t="s">
        <v>948</v>
      </c>
      <c r="F701" s="165">
        <v>507.78</v>
      </c>
      <c r="G701" s="138">
        <f t="shared" si="30"/>
        <v>45239</v>
      </c>
      <c r="H701" s="147" t="s">
        <v>66</v>
      </c>
      <c r="I701" s="147"/>
      <c r="J701" s="145"/>
      <c r="K701" s="135"/>
      <c r="L701" s="153">
        <f t="shared" si="31"/>
        <v>507.78</v>
      </c>
      <c r="M701" s="145">
        <v>510434606</v>
      </c>
    </row>
    <row r="702" spans="1:14" customFormat="1" x14ac:dyDescent="0.35">
      <c r="A702" s="109">
        <v>45404</v>
      </c>
      <c r="B702" s="121" t="s">
        <v>57</v>
      </c>
      <c r="C702" s="111" t="s">
        <v>949</v>
      </c>
      <c r="D702" s="111" t="s">
        <v>942</v>
      </c>
      <c r="E702" s="111" t="s">
        <v>950</v>
      </c>
      <c r="F702" s="149">
        <v>642.41</v>
      </c>
      <c r="G702" s="135">
        <f t="shared" si="30"/>
        <v>45434</v>
      </c>
      <c r="H702" s="133" t="s">
        <v>66</v>
      </c>
      <c r="I702" s="133"/>
      <c r="J702" s="111"/>
      <c r="K702" s="135"/>
      <c r="L702" s="153">
        <f t="shared" si="31"/>
        <v>642.41</v>
      </c>
      <c r="M702" s="111">
        <v>510434606</v>
      </c>
    </row>
    <row r="703" spans="1:14" customFormat="1" x14ac:dyDescent="0.35">
      <c r="A703" s="109">
        <v>45404</v>
      </c>
      <c r="B703" s="121" t="s">
        <v>57</v>
      </c>
      <c r="C703" s="111" t="s">
        <v>35</v>
      </c>
      <c r="D703" s="111" t="s">
        <v>942</v>
      </c>
      <c r="E703" s="111" t="s">
        <v>950</v>
      </c>
      <c r="F703" s="149">
        <v>642.28699999999992</v>
      </c>
      <c r="G703" s="135">
        <f t="shared" si="30"/>
        <v>45434</v>
      </c>
      <c r="H703" s="134" t="s">
        <v>66</v>
      </c>
      <c r="I703" s="134" t="s">
        <v>944</v>
      </c>
      <c r="J703" s="111"/>
      <c r="K703" s="135"/>
      <c r="L703" s="153">
        <f t="shared" si="31"/>
        <v>642.28699999999992</v>
      </c>
      <c r="M703" s="111"/>
    </row>
    <row r="704" spans="1:14" customFormat="1" x14ac:dyDescent="0.35">
      <c r="A704" s="109">
        <v>45426</v>
      </c>
      <c r="B704" s="121" t="s">
        <v>57</v>
      </c>
      <c r="C704" s="111" t="s">
        <v>949</v>
      </c>
      <c r="D704" s="111" t="s">
        <v>942</v>
      </c>
      <c r="E704" s="111" t="s">
        <v>951</v>
      </c>
      <c r="F704" s="149">
        <v>679.93</v>
      </c>
      <c r="G704" s="135">
        <f t="shared" si="30"/>
        <v>45456</v>
      </c>
      <c r="H704" s="133" t="s">
        <v>66</v>
      </c>
      <c r="I704" s="133"/>
      <c r="J704" s="111"/>
      <c r="K704" s="135"/>
      <c r="L704" s="153">
        <f t="shared" si="31"/>
        <v>679.93</v>
      </c>
      <c r="M704" s="111">
        <v>510434606</v>
      </c>
    </row>
    <row r="705" spans="1:14" customFormat="1" x14ac:dyDescent="0.35">
      <c r="A705" s="109">
        <v>45426</v>
      </c>
      <c r="B705" s="121" t="s">
        <v>57</v>
      </c>
      <c r="C705" s="111" t="s">
        <v>35</v>
      </c>
      <c r="D705" s="111" t="s">
        <v>942</v>
      </c>
      <c r="E705" s="111" t="s">
        <v>951</v>
      </c>
      <c r="F705" s="149">
        <v>680.2025000000001</v>
      </c>
      <c r="G705" s="135">
        <f t="shared" si="30"/>
        <v>45456</v>
      </c>
      <c r="H705" s="134" t="s">
        <v>66</v>
      </c>
      <c r="I705" s="134" t="s">
        <v>944</v>
      </c>
      <c r="J705" s="111"/>
      <c r="K705" s="135"/>
      <c r="L705" s="153">
        <f t="shared" si="31"/>
        <v>680.2025000000001</v>
      </c>
      <c r="M705" s="111"/>
    </row>
    <row r="706" spans="1:14" customFormat="1" x14ac:dyDescent="0.35">
      <c r="A706" s="109">
        <v>45440</v>
      </c>
      <c r="B706" s="121" t="s">
        <v>57</v>
      </c>
      <c r="C706" s="111" t="s">
        <v>949</v>
      </c>
      <c r="D706" s="111" t="s">
        <v>942</v>
      </c>
      <c r="E706" s="111" t="s">
        <v>952</v>
      </c>
      <c r="F706" s="149">
        <v>669.27</v>
      </c>
      <c r="G706" s="135">
        <f t="shared" si="30"/>
        <v>45470</v>
      </c>
      <c r="H706" s="133" t="s">
        <v>66</v>
      </c>
      <c r="I706" s="133"/>
      <c r="J706" s="111"/>
      <c r="K706" s="135"/>
      <c r="L706" s="153">
        <f t="shared" si="31"/>
        <v>669.27</v>
      </c>
      <c r="M706" s="111">
        <v>510434606</v>
      </c>
    </row>
    <row r="707" spans="1:14" customFormat="1" x14ac:dyDescent="0.35">
      <c r="A707" s="109">
        <v>45440</v>
      </c>
      <c r="B707" s="121" t="s">
        <v>57</v>
      </c>
      <c r="C707" s="111" t="s">
        <v>35</v>
      </c>
      <c r="D707" s="111" t="s">
        <v>942</v>
      </c>
      <c r="E707" s="111" t="s">
        <v>952</v>
      </c>
      <c r="F707" s="149">
        <v>669.1892499999999</v>
      </c>
      <c r="G707" s="135">
        <f t="shared" si="30"/>
        <v>45470</v>
      </c>
      <c r="H707" s="134" t="s">
        <v>66</v>
      </c>
      <c r="I707" s="134" t="s">
        <v>944</v>
      </c>
      <c r="J707" s="111"/>
      <c r="K707" s="135"/>
      <c r="L707" s="153">
        <f t="shared" si="31"/>
        <v>669.1892499999999</v>
      </c>
      <c r="M707" s="111"/>
    </row>
    <row r="708" spans="1:14" customFormat="1" x14ac:dyDescent="0.35">
      <c r="A708" s="109">
        <v>45451</v>
      </c>
      <c r="B708" s="121" t="s">
        <v>57</v>
      </c>
      <c r="C708" s="111" t="s">
        <v>949</v>
      </c>
      <c r="D708" s="111" t="s">
        <v>942</v>
      </c>
      <c r="E708" s="111" t="s">
        <v>953</v>
      </c>
      <c r="F708" s="149">
        <v>952.17</v>
      </c>
      <c r="G708" s="135">
        <f t="shared" si="30"/>
        <v>45481</v>
      </c>
      <c r="H708" s="133" t="s">
        <v>66</v>
      </c>
      <c r="I708" s="133"/>
      <c r="J708" s="111"/>
      <c r="K708" s="135"/>
      <c r="L708" s="153">
        <f t="shared" si="31"/>
        <v>952.17</v>
      </c>
      <c r="M708" s="111">
        <v>510434606</v>
      </c>
    </row>
    <row r="709" spans="1:14" customFormat="1" x14ac:dyDescent="0.35">
      <c r="A709" s="109">
        <v>45454</v>
      </c>
      <c r="B709" s="121" t="s">
        <v>57</v>
      </c>
      <c r="C709" s="111" t="s">
        <v>35</v>
      </c>
      <c r="D709" s="111" t="s">
        <v>942</v>
      </c>
      <c r="E709" s="111" t="s">
        <v>953</v>
      </c>
      <c r="F709" s="153">
        <v>0</v>
      </c>
      <c r="G709" s="135">
        <f t="shared" si="30"/>
        <v>45484</v>
      </c>
      <c r="H709" s="134" t="s">
        <v>66</v>
      </c>
      <c r="I709" s="134" t="s">
        <v>944</v>
      </c>
      <c r="J709" s="111"/>
      <c r="K709" s="135"/>
      <c r="L709" s="153">
        <f t="shared" si="31"/>
        <v>0</v>
      </c>
      <c r="M709" s="111"/>
    </row>
    <row r="710" spans="1:14" customFormat="1" x14ac:dyDescent="0.35">
      <c r="A710" s="109">
        <v>45462</v>
      </c>
      <c r="B710" s="121" t="s">
        <v>57</v>
      </c>
      <c r="C710" s="111" t="s">
        <v>949</v>
      </c>
      <c r="D710" s="111" t="s">
        <v>942</v>
      </c>
      <c r="E710" s="111" t="s">
        <v>954</v>
      </c>
      <c r="F710" s="149">
        <v>491.58</v>
      </c>
      <c r="G710" s="135">
        <f t="shared" si="30"/>
        <v>45492</v>
      </c>
      <c r="H710" s="133" t="s">
        <v>66</v>
      </c>
      <c r="I710" s="133"/>
      <c r="J710" s="111"/>
      <c r="K710" s="135"/>
      <c r="L710" s="153">
        <f t="shared" si="31"/>
        <v>491.58</v>
      </c>
      <c r="M710" s="111">
        <v>510434606</v>
      </c>
    </row>
    <row r="711" spans="1:14" customFormat="1" x14ac:dyDescent="0.35">
      <c r="A711" s="109">
        <v>45476</v>
      </c>
      <c r="B711" s="121" t="s">
        <v>57</v>
      </c>
      <c r="C711" s="111" t="s">
        <v>949</v>
      </c>
      <c r="D711" s="111" t="s">
        <v>942</v>
      </c>
      <c r="E711" s="111" t="s">
        <v>955</v>
      </c>
      <c r="F711" s="149">
        <v>639.78</v>
      </c>
      <c r="G711" s="135">
        <f t="shared" si="30"/>
        <v>45506</v>
      </c>
      <c r="H711" s="133" t="s">
        <v>66</v>
      </c>
      <c r="I711" s="133"/>
      <c r="J711" s="111"/>
      <c r="K711" s="135"/>
      <c r="L711" s="153">
        <f t="shared" si="31"/>
        <v>639.78</v>
      </c>
      <c r="M711" s="111">
        <v>510434606</v>
      </c>
    </row>
    <row r="712" spans="1:14" customFormat="1" x14ac:dyDescent="0.35">
      <c r="A712" s="109">
        <v>45482</v>
      </c>
      <c r="B712" s="121" t="s">
        <v>57</v>
      </c>
      <c r="C712" s="111" t="s">
        <v>949</v>
      </c>
      <c r="D712" s="111" t="s">
        <v>942</v>
      </c>
      <c r="E712" s="111" t="s">
        <v>956</v>
      </c>
      <c r="F712" s="149">
        <v>962.27</v>
      </c>
      <c r="G712" s="135">
        <f t="shared" si="30"/>
        <v>45512</v>
      </c>
      <c r="H712" s="133" t="s">
        <v>66</v>
      </c>
      <c r="I712" s="133" t="s">
        <v>944</v>
      </c>
      <c r="J712" s="111"/>
      <c r="K712" s="135"/>
      <c r="L712" s="153">
        <f t="shared" si="31"/>
        <v>962.27</v>
      </c>
      <c r="M712" s="111">
        <v>510434606</v>
      </c>
    </row>
    <row r="713" spans="1:14" customFormat="1" x14ac:dyDescent="0.35">
      <c r="A713" s="109">
        <v>45499</v>
      </c>
      <c r="B713" s="121" t="s">
        <v>57</v>
      </c>
      <c r="C713" s="111" t="s">
        <v>949</v>
      </c>
      <c r="D713" s="111" t="s">
        <v>942</v>
      </c>
      <c r="E713" s="111" t="s">
        <v>957</v>
      </c>
      <c r="F713" s="149">
        <v>1071.42</v>
      </c>
      <c r="G713" s="135">
        <f t="shared" si="30"/>
        <v>45529</v>
      </c>
      <c r="H713" s="133" t="s">
        <v>66</v>
      </c>
      <c r="I713" s="133" t="s">
        <v>944</v>
      </c>
      <c r="J713" s="111"/>
      <c r="K713" s="135"/>
      <c r="L713" s="153">
        <f t="shared" si="31"/>
        <v>1071.42</v>
      </c>
      <c r="M713" s="111">
        <v>510434606</v>
      </c>
    </row>
    <row r="714" spans="1:14" customFormat="1" x14ac:dyDescent="0.35">
      <c r="A714" s="109">
        <v>45513</v>
      </c>
      <c r="B714" s="121" t="s">
        <v>57</v>
      </c>
      <c r="C714" s="111" t="s">
        <v>949</v>
      </c>
      <c r="D714" s="111" t="s">
        <v>942</v>
      </c>
      <c r="E714" s="111" t="s">
        <v>958</v>
      </c>
      <c r="F714" s="149">
        <v>1178.3</v>
      </c>
      <c r="G714" s="135">
        <f t="shared" si="30"/>
        <v>45543</v>
      </c>
      <c r="H714" s="133" t="s">
        <v>66</v>
      </c>
      <c r="I714" s="133" t="s">
        <v>944</v>
      </c>
      <c r="J714" s="111"/>
      <c r="K714" s="135"/>
      <c r="L714" s="153">
        <f t="shared" si="31"/>
        <v>1178.3</v>
      </c>
      <c r="M714" s="111">
        <v>510434606</v>
      </c>
      <c r="N714" s="76"/>
    </row>
    <row r="715" spans="1:14" customFormat="1" x14ac:dyDescent="0.35">
      <c r="A715" s="109">
        <v>45527</v>
      </c>
      <c r="B715" s="121" t="s">
        <v>57</v>
      </c>
      <c r="C715" s="111" t="s">
        <v>949</v>
      </c>
      <c r="D715" s="111" t="s">
        <v>942</v>
      </c>
      <c r="E715" s="111" t="s">
        <v>959</v>
      </c>
      <c r="F715" s="149">
        <v>1053.68</v>
      </c>
      <c r="G715" s="135">
        <f t="shared" si="30"/>
        <v>45557</v>
      </c>
      <c r="H715" s="133" t="s">
        <v>66</v>
      </c>
      <c r="I715" s="133" t="s">
        <v>135</v>
      </c>
      <c r="J715" s="111"/>
      <c r="K715" s="135"/>
      <c r="L715" s="169">
        <f t="shared" si="31"/>
        <v>1053.68</v>
      </c>
      <c r="M715" s="145">
        <v>510434606</v>
      </c>
    </row>
    <row r="716" spans="1:14" customFormat="1" x14ac:dyDescent="0.35">
      <c r="A716" s="176">
        <v>45527</v>
      </c>
      <c r="B716" s="143" t="s">
        <v>57</v>
      </c>
      <c r="C716" s="140" t="s">
        <v>949</v>
      </c>
      <c r="D716" s="140" t="s">
        <v>942</v>
      </c>
      <c r="E716" s="140" t="s">
        <v>960</v>
      </c>
      <c r="F716" s="164">
        <v>38.67</v>
      </c>
      <c r="G716" s="177">
        <f t="shared" si="30"/>
        <v>45557</v>
      </c>
      <c r="H716" s="142" t="s">
        <v>66</v>
      </c>
      <c r="I716" s="142" t="s">
        <v>135</v>
      </c>
      <c r="J716" s="140"/>
      <c r="K716" s="135"/>
      <c r="L716" s="153">
        <f t="shared" si="31"/>
        <v>38.67</v>
      </c>
      <c r="M716" s="140">
        <v>510434606</v>
      </c>
    </row>
    <row r="717" spans="1:14" customFormat="1" x14ac:dyDescent="0.35">
      <c r="A717" s="109">
        <v>45536</v>
      </c>
      <c r="B717" s="121" t="s">
        <v>57</v>
      </c>
      <c r="C717" s="111" t="s">
        <v>949</v>
      </c>
      <c r="D717" s="111" t="s">
        <v>942</v>
      </c>
      <c r="E717" s="111" t="s">
        <v>961</v>
      </c>
      <c r="F717" s="149">
        <v>816.39</v>
      </c>
      <c r="G717" s="135">
        <f t="shared" si="30"/>
        <v>45566</v>
      </c>
      <c r="H717" s="133" t="s">
        <v>66</v>
      </c>
      <c r="I717" s="133" t="s">
        <v>135</v>
      </c>
      <c r="J717" s="111"/>
      <c r="K717" s="135"/>
      <c r="L717" s="153">
        <f t="shared" si="31"/>
        <v>816.39</v>
      </c>
      <c r="M717" s="111">
        <v>510434606</v>
      </c>
      <c r="N717" s="76"/>
    </row>
    <row r="718" spans="1:14" customFormat="1" x14ac:dyDescent="0.35">
      <c r="A718" s="178">
        <v>45547</v>
      </c>
      <c r="B718" s="144" t="s">
        <v>57</v>
      </c>
      <c r="C718" s="145" t="s">
        <v>949</v>
      </c>
      <c r="D718" s="145" t="s">
        <v>942</v>
      </c>
      <c r="E718" s="145" t="s">
        <v>962</v>
      </c>
      <c r="F718" s="165">
        <v>1006.14</v>
      </c>
      <c r="G718" s="138">
        <f t="shared" si="30"/>
        <v>45577</v>
      </c>
      <c r="H718" s="147" t="s">
        <v>66</v>
      </c>
      <c r="I718" s="147" t="s">
        <v>135</v>
      </c>
      <c r="J718" s="145"/>
      <c r="K718" s="135"/>
      <c r="L718" s="153">
        <f t="shared" si="31"/>
        <v>1006.14</v>
      </c>
      <c r="M718" s="145">
        <v>510434606</v>
      </c>
    </row>
    <row r="719" spans="1:14" customFormat="1" x14ac:dyDescent="0.35">
      <c r="A719" s="109">
        <v>45558</v>
      </c>
      <c r="B719" s="121" t="s">
        <v>57</v>
      </c>
      <c r="C719" s="111" t="s">
        <v>949</v>
      </c>
      <c r="D719" s="111" t="s">
        <v>942</v>
      </c>
      <c r="E719" s="111" t="s">
        <v>963</v>
      </c>
      <c r="F719" s="149">
        <v>993.38</v>
      </c>
      <c r="G719" s="135">
        <f t="shared" si="30"/>
        <v>45588</v>
      </c>
      <c r="H719" s="133" t="s">
        <v>66</v>
      </c>
      <c r="I719" s="133" t="s">
        <v>135</v>
      </c>
      <c r="J719" s="111"/>
      <c r="K719" s="135"/>
      <c r="L719" s="153">
        <f t="shared" si="31"/>
        <v>993.38</v>
      </c>
      <c r="M719" s="111">
        <v>510434606</v>
      </c>
    </row>
    <row r="720" spans="1:14" customFormat="1" x14ac:dyDescent="0.35">
      <c r="A720" s="109">
        <v>45568</v>
      </c>
      <c r="B720" s="121" t="s">
        <v>57</v>
      </c>
      <c r="C720" s="111" t="s">
        <v>949</v>
      </c>
      <c r="D720" s="111" t="s">
        <v>942</v>
      </c>
      <c r="E720" s="111" t="s">
        <v>964</v>
      </c>
      <c r="F720" s="149">
        <v>735.02</v>
      </c>
      <c r="G720" s="135">
        <f t="shared" si="30"/>
        <v>45598</v>
      </c>
      <c r="H720" s="133" t="s">
        <v>66</v>
      </c>
      <c r="I720" s="133" t="s">
        <v>135</v>
      </c>
      <c r="J720" s="111"/>
      <c r="K720" s="135"/>
      <c r="L720" s="153">
        <f t="shared" si="31"/>
        <v>735.02</v>
      </c>
      <c r="M720" s="111">
        <v>510434606</v>
      </c>
    </row>
    <row r="721" spans="1:14" customFormat="1" x14ac:dyDescent="0.35">
      <c r="A721" s="109">
        <v>45568</v>
      </c>
      <c r="B721" s="121" t="s">
        <v>57</v>
      </c>
      <c r="C721" s="111" t="s">
        <v>949</v>
      </c>
      <c r="D721" s="111" t="s">
        <v>942</v>
      </c>
      <c r="E721" s="111" t="s">
        <v>965</v>
      </c>
      <c r="F721" s="149">
        <v>61.5</v>
      </c>
      <c r="G721" s="135">
        <f t="shared" si="30"/>
        <v>45598</v>
      </c>
      <c r="H721" s="133" t="s">
        <v>66</v>
      </c>
      <c r="I721" s="133" t="s">
        <v>135</v>
      </c>
      <c r="J721" s="111"/>
      <c r="K721" s="135"/>
      <c r="L721" s="153">
        <f t="shared" si="31"/>
        <v>61.5</v>
      </c>
      <c r="M721" s="111">
        <v>510434606</v>
      </c>
    </row>
    <row r="722" spans="1:14" customFormat="1" x14ac:dyDescent="0.35">
      <c r="A722" s="109">
        <v>45771</v>
      </c>
      <c r="B722" s="111" t="s">
        <v>57</v>
      </c>
      <c r="C722" s="111" t="s">
        <v>35</v>
      </c>
      <c r="D722" s="111" t="s">
        <v>942</v>
      </c>
      <c r="E722" s="111" t="s">
        <v>966</v>
      </c>
      <c r="F722" s="153">
        <v>1134.0899999999999</v>
      </c>
      <c r="G722" s="135">
        <v>45800</v>
      </c>
      <c r="H722" s="133" t="s">
        <v>66</v>
      </c>
      <c r="I722" s="133" t="s">
        <v>135</v>
      </c>
      <c r="J722" s="111"/>
      <c r="K722" s="135">
        <v>45797</v>
      </c>
      <c r="L722" s="153">
        <f t="shared" si="31"/>
        <v>1134.0899999999999</v>
      </c>
      <c r="M722" s="111">
        <v>510434606</v>
      </c>
    </row>
    <row r="723" spans="1:14" customFormat="1" x14ac:dyDescent="0.35">
      <c r="A723" s="109">
        <v>45784</v>
      </c>
      <c r="B723" s="111" t="s">
        <v>57</v>
      </c>
      <c r="C723" s="111" t="s">
        <v>35</v>
      </c>
      <c r="D723" s="111" t="s">
        <v>942</v>
      </c>
      <c r="E723" s="121" t="s">
        <v>967</v>
      </c>
      <c r="F723" s="153">
        <v>1620.65</v>
      </c>
      <c r="G723" s="135">
        <v>45814</v>
      </c>
      <c r="H723" s="133" t="s">
        <v>66</v>
      </c>
      <c r="I723" s="133" t="s">
        <v>135</v>
      </c>
      <c r="J723" s="111"/>
      <c r="K723" s="135">
        <v>45828</v>
      </c>
      <c r="L723" s="111">
        <f t="shared" si="31"/>
        <v>1620.65</v>
      </c>
      <c r="M723" s="111">
        <v>510434606</v>
      </c>
    </row>
    <row r="724" spans="1:14" customFormat="1" x14ac:dyDescent="0.35">
      <c r="A724" s="109">
        <v>45798</v>
      </c>
      <c r="B724" s="111" t="s">
        <v>57</v>
      </c>
      <c r="C724" s="111" t="s">
        <v>35</v>
      </c>
      <c r="D724" s="111" t="s">
        <v>942</v>
      </c>
      <c r="E724" s="121" t="s">
        <v>968</v>
      </c>
      <c r="F724" s="153">
        <v>687.24</v>
      </c>
      <c r="G724" s="135">
        <v>45828</v>
      </c>
      <c r="H724" s="133" t="s">
        <v>66</v>
      </c>
      <c r="I724" s="133" t="s">
        <v>135</v>
      </c>
      <c r="J724" s="111"/>
      <c r="K724" s="135">
        <v>45828</v>
      </c>
      <c r="L724" s="153">
        <f t="shared" si="31"/>
        <v>687.24</v>
      </c>
      <c r="M724" s="111">
        <v>510434606</v>
      </c>
    </row>
    <row r="725" spans="1:14" customFormat="1" x14ac:dyDescent="0.35">
      <c r="A725" s="109">
        <v>45854</v>
      </c>
      <c r="B725" s="111" t="s">
        <v>57</v>
      </c>
      <c r="C725" s="111" t="s">
        <v>35</v>
      </c>
      <c r="D725" s="121" t="s">
        <v>942</v>
      </c>
      <c r="E725" s="121" t="s">
        <v>969</v>
      </c>
      <c r="F725" s="153">
        <v>1512.64</v>
      </c>
      <c r="G725" s="135">
        <f t="shared" ref="G725:G735" si="32">A725+30</f>
        <v>45884</v>
      </c>
      <c r="H725" s="134" t="s">
        <v>66</v>
      </c>
      <c r="I725" s="133" t="s">
        <v>135</v>
      </c>
      <c r="J725" s="111"/>
      <c r="K725" s="135">
        <v>45889</v>
      </c>
      <c r="L725" s="111"/>
      <c r="M725" s="196"/>
    </row>
    <row r="726" spans="1:14" customFormat="1" x14ac:dyDescent="0.35">
      <c r="A726" s="109">
        <v>45903</v>
      </c>
      <c r="B726" s="121" t="s">
        <v>57</v>
      </c>
      <c r="C726" s="111" t="s">
        <v>35</v>
      </c>
      <c r="D726" s="111" t="s">
        <v>942</v>
      </c>
      <c r="E726" s="121" t="s">
        <v>970</v>
      </c>
      <c r="F726" s="153">
        <v>1550.9</v>
      </c>
      <c r="G726" s="135">
        <f t="shared" si="32"/>
        <v>45933</v>
      </c>
      <c r="H726" s="134" t="s">
        <v>66</v>
      </c>
      <c r="I726" s="133" t="s">
        <v>135</v>
      </c>
      <c r="J726" s="111"/>
      <c r="K726" s="135">
        <v>45919</v>
      </c>
      <c r="L726" s="111"/>
      <c r="M726" s="196"/>
    </row>
    <row r="727" spans="1:14" customFormat="1" x14ac:dyDescent="0.35">
      <c r="A727" s="109">
        <v>45918</v>
      </c>
      <c r="B727" s="121" t="s">
        <v>57</v>
      </c>
      <c r="C727" s="111" t="s">
        <v>35</v>
      </c>
      <c r="D727" s="111" t="s">
        <v>942</v>
      </c>
      <c r="E727" s="121" t="s">
        <v>971</v>
      </c>
      <c r="F727" s="153">
        <v>1264.07</v>
      </c>
      <c r="G727" s="135">
        <f t="shared" si="32"/>
        <v>45948</v>
      </c>
      <c r="H727" s="133" t="s">
        <v>66</v>
      </c>
      <c r="I727" s="133" t="s">
        <v>135</v>
      </c>
      <c r="J727" s="111"/>
      <c r="K727" s="135">
        <v>45950</v>
      </c>
      <c r="L727" s="111"/>
      <c r="M727" s="196"/>
    </row>
    <row r="728" spans="1:14" customFormat="1" x14ac:dyDescent="0.35">
      <c r="A728" s="109">
        <v>45939</v>
      </c>
      <c r="B728" s="121" t="s">
        <v>57</v>
      </c>
      <c r="C728" s="121" t="s">
        <v>35</v>
      </c>
      <c r="D728" s="121" t="s">
        <v>942</v>
      </c>
      <c r="E728" s="121" t="s">
        <v>972</v>
      </c>
      <c r="F728" s="153">
        <v>1047.81</v>
      </c>
      <c r="G728" s="135">
        <f t="shared" si="32"/>
        <v>45969</v>
      </c>
      <c r="H728" s="133" t="s">
        <v>66</v>
      </c>
      <c r="I728" s="133" t="s">
        <v>135</v>
      </c>
      <c r="J728" s="111"/>
      <c r="K728" s="135">
        <v>45950</v>
      </c>
      <c r="L728" s="111"/>
      <c r="M728" s="196"/>
    </row>
    <row r="729" spans="1:14" customFormat="1" x14ac:dyDescent="0.35">
      <c r="A729" s="109">
        <v>45814</v>
      </c>
      <c r="B729" s="111" t="s">
        <v>57</v>
      </c>
      <c r="C729" s="111" t="s">
        <v>35</v>
      </c>
      <c r="D729" s="111" t="s">
        <v>942</v>
      </c>
      <c r="E729" s="121" t="s">
        <v>973</v>
      </c>
      <c r="F729" s="153">
        <v>900.46</v>
      </c>
      <c r="G729" s="135">
        <f t="shared" si="32"/>
        <v>45844</v>
      </c>
      <c r="H729" s="133" t="s">
        <v>66</v>
      </c>
      <c r="I729" s="133" t="s">
        <v>135</v>
      </c>
      <c r="J729" s="111"/>
      <c r="K729" s="135">
        <v>45859</v>
      </c>
      <c r="L729" s="111"/>
      <c r="M729" s="196"/>
    </row>
    <row r="730" spans="1:14" customFormat="1" x14ac:dyDescent="0.35">
      <c r="A730" s="109">
        <v>45868</v>
      </c>
      <c r="B730" s="111" t="s">
        <v>57</v>
      </c>
      <c r="C730" s="111" t="s">
        <v>35</v>
      </c>
      <c r="D730" s="111" t="s">
        <v>942</v>
      </c>
      <c r="E730" s="121" t="s">
        <v>974</v>
      </c>
      <c r="F730" s="153">
        <v>1623.92</v>
      </c>
      <c r="G730" s="135">
        <f t="shared" si="32"/>
        <v>45898</v>
      </c>
      <c r="H730" s="133" t="s">
        <v>66</v>
      </c>
      <c r="I730" s="133" t="s">
        <v>135</v>
      </c>
      <c r="J730" s="111"/>
      <c r="K730" s="135">
        <v>45981</v>
      </c>
      <c r="L730" s="111"/>
      <c r="M730" s="196"/>
    </row>
    <row r="731" spans="1:14" customFormat="1" x14ac:dyDescent="0.35">
      <c r="A731" s="109">
        <v>45880</v>
      </c>
      <c r="B731" s="111" t="s">
        <v>57</v>
      </c>
      <c r="C731" s="111" t="s">
        <v>35</v>
      </c>
      <c r="D731" s="111" t="s">
        <v>942</v>
      </c>
      <c r="E731" s="121" t="s">
        <v>975</v>
      </c>
      <c r="F731" s="153">
        <v>1078.74</v>
      </c>
      <c r="G731" s="135">
        <f t="shared" si="32"/>
        <v>45910</v>
      </c>
      <c r="H731" s="133" t="s">
        <v>66</v>
      </c>
      <c r="I731" s="133" t="s">
        <v>135</v>
      </c>
      <c r="J731" s="111"/>
      <c r="K731" s="135">
        <v>45981</v>
      </c>
      <c r="L731" s="111"/>
      <c r="M731" s="196"/>
    </row>
    <row r="732" spans="1:14" customFormat="1" x14ac:dyDescent="0.35">
      <c r="A732" s="109">
        <v>45889</v>
      </c>
      <c r="B732" s="121" t="s">
        <v>57</v>
      </c>
      <c r="C732" s="111" t="s">
        <v>35</v>
      </c>
      <c r="D732" s="111" t="s">
        <v>942</v>
      </c>
      <c r="E732" s="121" t="s">
        <v>976</v>
      </c>
      <c r="F732" s="153">
        <v>1706.65</v>
      </c>
      <c r="G732" s="135">
        <f t="shared" si="32"/>
        <v>45919</v>
      </c>
      <c r="H732" s="133" t="s">
        <v>66</v>
      </c>
      <c r="I732" s="133" t="s">
        <v>135</v>
      </c>
      <c r="J732" s="111"/>
      <c r="K732" s="135">
        <v>45981</v>
      </c>
      <c r="L732" s="111"/>
      <c r="M732" s="196"/>
    </row>
    <row r="733" spans="1:14" customFormat="1" x14ac:dyDescent="0.35">
      <c r="A733" s="109">
        <v>45839</v>
      </c>
      <c r="B733" s="111" t="s">
        <v>57</v>
      </c>
      <c r="C733" s="111" t="s">
        <v>35</v>
      </c>
      <c r="D733" s="111" t="s">
        <v>942</v>
      </c>
      <c r="E733" s="121" t="s">
        <v>977</v>
      </c>
      <c r="F733" s="153">
        <v>1472.24</v>
      </c>
      <c r="G733" s="135">
        <f t="shared" si="32"/>
        <v>45869</v>
      </c>
      <c r="H733" s="133" t="s">
        <v>66</v>
      </c>
      <c r="I733" s="133" t="s">
        <v>135</v>
      </c>
      <c r="J733" s="111"/>
      <c r="K733" s="135">
        <v>45859</v>
      </c>
      <c r="L733" s="111"/>
      <c r="M733" s="196"/>
      <c r="N733" s="76"/>
    </row>
    <row r="734" spans="1:14" customFormat="1" x14ac:dyDescent="0.35">
      <c r="A734" s="109">
        <v>45821</v>
      </c>
      <c r="B734" s="111" t="s">
        <v>57</v>
      </c>
      <c r="C734" s="111" t="s">
        <v>35</v>
      </c>
      <c r="D734" s="111" t="s">
        <v>942</v>
      </c>
      <c r="E734" s="121" t="s">
        <v>978</v>
      </c>
      <c r="F734" s="153">
        <v>1491.31</v>
      </c>
      <c r="G734" s="135">
        <f t="shared" si="32"/>
        <v>45851</v>
      </c>
      <c r="H734" s="133" t="s">
        <v>66</v>
      </c>
      <c r="I734" s="133" t="s">
        <v>135</v>
      </c>
      <c r="J734" s="111"/>
      <c r="K734" s="135">
        <v>45859</v>
      </c>
      <c r="L734" s="153">
        <f>F734</f>
        <v>1491.31</v>
      </c>
      <c r="M734" s="196">
        <v>510434606</v>
      </c>
      <c r="N734" s="76"/>
    </row>
    <row r="735" spans="1:14" customFormat="1" x14ac:dyDescent="0.35">
      <c r="A735" s="109">
        <v>45925</v>
      </c>
      <c r="B735" s="111" t="s">
        <v>57</v>
      </c>
      <c r="C735" s="111" t="s">
        <v>35</v>
      </c>
      <c r="D735" s="111" t="s">
        <v>942</v>
      </c>
      <c r="E735" s="121" t="s">
        <v>979</v>
      </c>
      <c r="F735" s="153">
        <v>1521.92</v>
      </c>
      <c r="G735" s="135">
        <f t="shared" si="32"/>
        <v>45955</v>
      </c>
      <c r="H735" s="133" t="s">
        <v>66</v>
      </c>
      <c r="I735" s="133" t="s">
        <v>135</v>
      </c>
      <c r="J735" s="111"/>
      <c r="K735" s="135">
        <v>45950</v>
      </c>
      <c r="L735" s="111"/>
      <c r="M735" s="196"/>
      <c r="N735" s="76"/>
    </row>
    <row r="736" spans="1:14" customFormat="1" x14ac:dyDescent="0.35">
      <c r="A736" s="109">
        <v>45887</v>
      </c>
      <c r="B736" s="111" t="s">
        <v>57</v>
      </c>
      <c r="C736" s="121" t="s">
        <v>980</v>
      </c>
      <c r="D736" s="121" t="s">
        <v>980</v>
      </c>
      <c r="E736" s="121" t="s">
        <v>981</v>
      </c>
      <c r="F736" s="153">
        <v>338</v>
      </c>
      <c r="G736" s="133"/>
      <c r="H736" s="134" t="s">
        <v>66</v>
      </c>
      <c r="I736" s="134" t="s">
        <v>232</v>
      </c>
      <c r="J736" s="111"/>
      <c r="K736" s="135">
        <v>45889</v>
      </c>
      <c r="L736" s="145"/>
      <c r="M736" s="198"/>
    </row>
    <row r="737" spans="1:13" customFormat="1" x14ac:dyDescent="0.35">
      <c r="A737" s="109">
        <v>45638</v>
      </c>
      <c r="B737" s="121" t="s">
        <v>57</v>
      </c>
      <c r="C737" s="111" t="s">
        <v>982</v>
      </c>
      <c r="D737" s="111" t="s">
        <v>982</v>
      </c>
      <c r="E737" s="111" t="s">
        <v>983</v>
      </c>
      <c r="F737" s="149">
        <v>83.35</v>
      </c>
      <c r="G737" s="135">
        <f>IF(OR(C737="Matosinhos",C737="Bolhão"),A737,A737+30)</f>
        <v>45668</v>
      </c>
      <c r="H737" s="133" t="s">
        <v>66</v>
      </c>
      <c r="I737" s="133" t="s">
        <v>135</v>
      </c>
      <c r="J737" s="111"/>
      <c r="K737" s="135"/>
      <c r="L737" s="153">
        <f>F737</f>
        <v>83.35</v>
      </c>
      <c r="M737" s="111">
        <v>517127075</v>
      </c>
    </row>
    <row r="738" spans="1:13" customFormat="1" x14ac:dyDescent="0.35">
      <c r="A738" s="109">
        <v>45265</v>
      </c>
      <c r="B738" s="121" t="s">
        <v>57</v>
      </c>
      <c r="C738" s="111" t="s">
        <v>984</v>
      </c>
      <c r="D738" s="111" t="s">
        <v>985</v>
      </c>
      <c r="E738" s="111" t="s">
        <v>986</v>
      </c>
      <c r="F738" s="149">
        <v>15.88</v>
      </c>
      <c r="G738" s="135">
        <f t="shared" ref="G738:G747" si="33">A738+30</f>
        <v>45295</v>
      </c>
      <c r="H738" s="133" t="s">
        <v>66</v>
      </c>
      <c r="I738" s="133"/>
      <c r="J738" s="111"/>
      <c r="K738" s="135"/>
      <c r="L738" s="153">
        <f>F738</f>
        <v>15.88</v>
      </c>
      <c r="M738" s="111">
        <v>503342718</v>
      </c>
    </row>
    <row r="739" spans="1:13" customFormat="1" x14ac:dyDescent="0.35">
      <c r="A739" s="109">
        <v>45266</v>
      </c>
      <c r="B739" s="121" t="s">
        <v>57</v>
      </c>
      <c r="C739" s="111" t="s">
        <v>984</v>
      </c>
      <c r="D739" s="111" t="s">
        <v>985</v>
      </c>
      <c r="E739" s="111" t="s">
        <v>987</v>
      </c>
      <c r="F739" s="149">
        <v>86.97</v>
      </c>
      <c r="G739" s="135">
        <f t="shared" si="33"/>
        <v>45296</v>
      </c>
      <c r="H739" s="133" t="s">
        <v>66</v>
      </c>
      <c r="I739" s="133"/>
      <c r="J739" s="111"/>
      <c r="K739" s="135"/>
      <c r="L739" s="153">
        <f>F739</f>
        <v>86.97</v>
      </c>
      <c r="M739" s="111">
        <v>503342718</v>
      </c>
    </row>
    <row r="740" spans="1:13" customFormat="1" x14ac:dyDescent="0.35">
      <c r="A740" s="109">
        <v>45447</v>
      </c>
      <c r="B740" s="121" t="s">
        <v>57</v>
      </c>
      <c r="C740" s="111" t="s">
        <v>984</v>
      </c>
      <c r="D740" s="111" t="s">
        <v>985</v>
      </c>
      <c r="E740" s="111" t="s">
        <v>988</v>
      </c>
      <c r="F740" s="149">
        <v>84.77</v>
      </c>
      <c r="G740" s="135">
        <f t="shared" si="33"/>
        <v>45477</v>
      </c>
      <c r="H740" s="133" t="s">
        <v>66</v>
      </c>
      <c r="I740" s="133"/>
      <c r="J740" s="111"/>
      <c r="K740" s="135"/>
      <c r="L740" s="153">
        <f>F740</f>
        <v>84.77</v>
      </c>
      <c r="M740" s="111">
        <v>503342718</v>
      </c>
    </row>
    <row r="741" spans="1:13" customFormat="1" x14ac:dyDescent="0.35">
      <c r="A741" s="109">
        <v>45341</v>
      </c>
      <c r="B741" s="121" t="s">
        <v>57</v>
      </c>
      <c r="C741" s="111" t="s">
        <v>984</v>
      </c>
      <c r="D741" s="111" t="s">
        <v>985</v>
      </c>
      <c r="E741" s="111" t="s">
        <v>989</v>
      </c>
      <c r="F741" s="149">
        <v>57.39</v>
      </c>
      <c r="G741" s="135">
        <f t="shared" si="33"/>
        <v>45371</v>
      </c>
      <c r="H741" s="133" t="s">
        <v>66</v>
      </c>
      <c r="I741" s="133"/>
      <c r="J741" s="111"/>
      <c r="K741" s="135"/>
      <c r="L741" s="153">
        <f>F741</f>
        <v>57.39</v>
      </c>
      <c r="M741" s="111">
        <v>503342718</v>
      </c>
    </row>
    <row r="742" spans="1:13" customFormat="1" x14ac:dyDescent="0.35">
      <c r="A742" s="109">
        <v>44949</v>
      </c>
      <c r="B742" s="121" t="s">
        <v>57</v>
      </c>
      <c r="C742" s="111" t="s">
        <v>984</v>
      </c>
      <c r="D742" s="111" t="s">
        <v>985</v>
      </c>
      <c r="E742" s="111" t="s">
        <v>990</v>
      </c>
      <c r="F742" s="149">
        <v>52.52</v>
      </c>
      <c r="G742" s="135">
        <f t="shared" si="33"/>
        <v>44979</v>
      </c>
      <c r="H742" s="133" t="s">
        <v>66</v>
      </c>
      <c r="I742" s="133"/>
      <c r="J742" s="111"/>
      <c r="K742" s="135"/>
      <c r="L742" s="153"/>
      <c r="M742" s="111">
        <v>503342718</v>
      </c>
    </row>
    <row r="743" spans="1:13" customFormat="1" x14ac:dyDescent="0.35">
      <c r="A743" s="109">
        <v>45406</v>
      </c>
      <c r="B743" s="121" t="s">
        <v>57</v>
      </c>
      <c r="C743" s="111" t="s">
        <v>984</v>
      </c>
      <c r="D743" s="111" t="s">
        <v>985</v>
      </c>
      <c r="E743" s="111" t="s">
        <v>991</v>
      </c>
      <c r="F743" s="149">
        <v>57.15</v>
      </c>
      <c r="G743" s="135">
        <f t="shared" si="33"/>
        <v>45436</v>
      </c>
      <c r="H743" s="133" t="s">
        <v>66</v>
      </c>
      <c r="I743" s="133"/>
      <c r="J743" s="111"/>
      <c r="K743" s="135"/>
      <c r="L743" s="153">
        <f>F743</f>
        <v>57.15</v>
      </c>
      <c r="M743" s="111">
        <v>503342718</v>
      </c>
    </row>
    <row r="744" spans="1:13" customFormat="1" x14ac:dyDescent="0.35">
      <c r="A744" s="109">
        <v>45414</v>
      </c>
      <c r="B744" s="121" t="s">
        <v>57</v>
      </c>
      <c r="C744" s="111" t="s">
        <v>984</v>
      </c>
      <c r="D744" s="111" t="s">
        <v>985</v>
      </c>
      <c r="E744" s="111" t="s">
        <v>992</v>
      </c>
      <c r="F744" s="149">
        <v>28.88</v>
      </c>
      <c r="G744" s="135">
        <f t="shared" si="33"/>
        <v>45444</v>
      </c>
      <c r="H744" s="133" t="s">
        <v>66</v>
      </c>
      <c r="I744" s="133"/>
      <c r="J744" s="111"/>
      <c r="K744" s="135"/>
      <c r="L744" s="153">
        <f>F744</f>
        <v>28.88</v>
      </c>
      <c r="M744" s="111">
        <v>503342718</v>
      </c>
    </row>
    <row r="745" spans="1:13" customFormat="1" x14ac:dyDescent="0.35">
      <c r="A745" s="109">
        <v>45134</v>
      </c>
      <c r="B745" s="121" t="s">
        <v>57</v>
      </c>
      <c r="C745" s="111" t="s">
        <v>984</v>
      </c>
      <c r="D745" s="111" t="s">
        <v>985</v>
      </c>
      <c r="E745" s="111" t="s">
        <v>993</v>
      </c>
      <c r="F745" s="149">
        <v>144.85</v>
      </c>
      <c r="G745" s="135">
        <f t="shared" si="33"/>
        <v>45164</v>
      </c>
      <c r="H745" s="133" t="s">
        <v>66</v>
      </c>
      <c r="I745" s="133"/>
      <c r="J745" s="111"/>
      <c r="K745" s="135"/>
      <c r="L745" s="153">
        <f>F745</f>
        <v>144.85</v>
      </c>
      <c r="M745" s="111">
        <v>503342718</v>
      </c>
    </row>
    <row r="746" spans="1:13" customFormat="1" x14ac:dyDescent="0.35">
      <c r="A746" s="109">
        <v>45378</v>
      </c>
      <c r="B746" s="121" t="s">
        <v>57</v>
      </c>
      <c r="C746" s="111" t="s">
        <v>984</v>
      </c>
      <c r="D746" s="111" t="s">
        <v>985</v>
      </c>
      <c r="E746" s="111" t="s">
        <v>994</v>
      </c>
      <c r="F746" s="149">
        <v>135.16</v>
      </c>
      <c r="G746" s="135">
        <f t="shared" si="33"/>
        <v>45408</v>
      </c>
      <c r="H746" s="133" t="s">
        <v>66</v>
      </c>
      <c r="I746" s="133"/>
      <c r="J746" s="111"/>
      <c r="K746" s="135"/>
      <c r="L746" s="153">
        <f>F746</f>
        <v>135.16</v>
      </c>
      <c r="M746" s="111">
        <v>503342718</v>
      </c>
    </row>
    <row r="747" spans="1:13" customFormat="1" x14ac:dyDescent="0.35">
      <c r="A747" s="109">
        <v>45499</v>
      </c>
      <c r="B747" s="121" t="s">
        <v>57</v>
      </c>
      <c r="C747" s="111" t="s">
        <v>995</v>
      </c>
      <c r="D747" s="111" t="s">
        <v>996</v>
      </c>
      <c r="E747" s="111" t="s">
        <v>997</v>
      </c>
      <c r="F747" s="149">
        <v>472.5</v>
      </c>
      <c r="G747" s="135">
        <f t="shared" si="33"/>
        <v>45529</v>
      </c>
      <c r="H747" s="133" t="s">
        <v>66</v>
      </c>
      <c r="I747" s="133" t="s">
        <v>232</v>
      </c>
      <c r="J747" s="111"/>
      <c r="K747" s="135"/>
      <c r="L747" s="153">
        <f>F747</f>
        <v>472.5</v>
      </c>
      <c r="M747" s="111">
        <v>504441361</v>
      </c>
    </row>
    <row r="748" spans="1:13" customFormat="1" x14ac:dyDescent="0.35">
      <c r="A748" s="109">
        <v>45854</v>
      </c>
      <c r="B748" s="111" t="s">
        <v>57</v>
      </c>
      <c r="C748" s="121" t="s">
        <v>995</v>
      </c>
      <c r="D748" s="121" t="s">
        <v>995</v>
      </c>
      <c r="E748" s="121" t="s">
        <v>998</v>
      </c>
      <c r="F748" s="153">
        <v>810</v>
      </c>
      <c r="G748" s="133"/>
      <c r="H748" s="133" t="s">
        <v>66</v>
      </c>
      <c r="I748" s="133" t="s">
        <v>232</v>
      </c>
      <c r="J748" s="111"/>
      <c r="K748" s="135">
        <v>45862</v>
      </c>
      <c r="L748" s="111"/>
      <c r="M748" s="196"/>
    </row>
    <row r="749" spans="1:13" customFormat="1" x14ac:dyDescent="0.35">
      <c r="A749" s="109">
        <v>45867</v>
      </c>
      <c r="B749" s="121" t="s">
        <v>57</v>
      </c>
      <c r="C749" s="121" t="s">
        <v>995</v>
      </c>
      <c r="D749" s="121" t="s">
        <v>999</v>
      </c>
      <c r="E749" s="121" t="s">
        <v>1000</v>
      </c>
      <c r="F749" s="153">
        <v>630</v>
      </c>
      <c r="G749" s="133"/>
      <c r="H749" s="133" t="s">
        <v>66</v>
      </c>
      <c r="I749" s="133" t="s">
        <v>232</v>
      </c>
      <c r="J749" s="111"/>
      <c r="K749" s="135">
        <v>45876</v>
      </c>
      <c r="L749" s="111">
        <f t="shared" ref="L749:L763" si="34">F749</f>
        <v>630</v>
      </c>
      <c r="M749" s="196"/>
    </row>
    <row r="750" spans="1:13" customFormat="1" x14ac:dyDescent="0.35">
      <c r="A750" s="109">
        <v>45132</v>
      </c>
      <c r="B750" s="121" t="s">
        <v>57</v>
      </c>
      <c r="C750" s="111" t="s">
        <v>995</v>
      </c>
      <c r="D750" s="111" t="s">
        <v>996</v>
      </c>
      <c r="E750" s="111" t="s">
        <v>1001</v>
      </c>
      <c r="F750" s="149">
        <v>795</v>
      </c>
      <c r="G750" s="135">
        <f t="shared" ref="G750:G761" si="35">A750+30</f>
        <v>45162</v>
      </c>
      <c r="H750" s="133" t="s">
        <v>66</v>
      </c>
      <c r="I750" s="133"/>
      <c r="J750" s="111"/>
      <c r="K750" s="135"/>
      <c r="L750" s="153">
        <f t="shared" si="34"/>
        <v>795</v>
      </c>
      <c r="M750" s="111">
        <v>504441361</v>
      </c>
    </row>
    <row r="751" spans="1:13" customFormat="1" x14ac:dyDescent="0.35">
      <c r="A751" s="109">
        <v>45492</v>
      </c>
      <c r="B751" s="121" t="s">
        <v>57</v>
      </c>
      <c r="C751" s="111" t="s">
        <v>995</v>
      </c>
      <c r="D751" s="111" t="s">
        <v>1002</v>
      </c>
      <c r="E751" s="111" t="s">
        <v>1003</v>
      </c>
      <c r="F751" s="149">
        <v>578</v>
      </c>
      <c r="G751" s="135">
        <f t="shared" si="35"/>
        <v>45522</v>
      </c>
      <c r="H751" s="133" t="s">
        <v>66</v>
      </c>
      <c r="I751" s="133" t="s">
        <v>232</v>
      </c>
      <c r="J751" s="111"/>
      <c r="K751" s="135"/>
      <c r="L751" s="153">
        <f t="shared" si="34"/>
        <v>578</v>
      </c>
      <c r="M751" s="111">
        <v>504441361</v>
      </c>
    </row>
    <row r="752" spans="1:13" customFormat="1" x14ac:dyDescent="0.35">
      <c r="A752" s="109">
        <v>45096</v>
      </c>
      <c r="B752" s="121" t="s">
        <v>57</v>
      </c>
      <c r="C752" s="111" t="s">
        <v>1004</v>
      </c>
      <c r="D752" s="111" t="s">
        <v>1005</v>
      </c>
      <c r="E752" s="111" t="s">
        <v>1006</v>
      </c>
      <c r="F752" s="149">
        <v>25.08</v>
      </c>
      <c r="G752" s="135">
        <f t="shared" si="35"/>
        <v>45126</v>
      </c>
      <c r="H752" s="133" t="s">
        <v>66</v>
      </c>
      <c r="I752" s="133"/>
      <c r="J752" s="111"/>
      <c r="K752" s="135"/>
      <c r="L752" s="153">
        <f t="shared" si="34"/>
        <v>25.08</v>
      </c>
      <c r="M752" s="111">
        <v>510763235</v>
      </c>
    </row>
    <row r="753" spans="1:13" customFormat="1" x14ac:dyDescent="0.35">
      <c r="A753" s="109">
        <v>45144</v>
      </c>
      <c r="B753" s="121" t="s">
        <v>57</v>
      </c>
      <c r="C753" s="111" t="s">
        <v>1004</v>
      </c>
      <c r="D753" s="111" t="s">
        <v>1005</v>
      </c>
      <c r="E753" s="111" t="s">
        <v>1007</v>
      </c>
      <c r="F753" s="149">
        <v>25.08</v>
      </c>
      <c r="G753" s="135">
        <f t="shared" si="35"/>
        <v>45174</v>
      </c>
      <c r="H753" s="133" t="s">
        <v>66</v>
      </c>
      <c r="I753" s="133"/>
      <c r="J753" s="111"/>
      <c r="K753" s="135"/>
      <c r="L753" s="153">
        <f t="shared" si="34"/>
        <v>25.08</v>
      </c>
      <c r="M753" s="111">
        <v>510763235</v>
      </c>
    </row>
    <row r="754" spans="1:13" customFormat="1" x14ac:dyDescent="0.35">
      <c r="A754" s="109">
        <v>45191</v>
      </c>
      <c r="B754" s="121" t="s">
        <v>57</v>
      </c>
      <c r="C754" s="111" t="s">
        <v>1004</v>
      </c>
      <c r="D754" s="111" t="s">
        <v>1005</v>
      </c>
      <c r="E754" s="111" t="s">
        <v>1008</v>
      </c>
      <c r="F754" s="149">
        <v>25.08</v>
      </c>
      <c r="G754" s="135">
        <f t="shared" si="35"/>
        <v>45221</v>
      </c>
      <c r="H754" s="133" t="s">
        <v>66</v>
      </c>
      <c r="I754" s="133"/>
      <c r="J754" s="111"/>
      <c r="K754" s="135"/>
      <c r="L754" s="153">
        <f t="shared" si="34"/>
        <v>25.08</v>
      </c>
      <c r="M754" s="111">
        <v>510763235</v>
      </c>
    </row>
    <row r="755" spans="1:13" customFormat="1" x14ac:dyDescent="0.35">
      <c r="A755" s="109">
        <v>45225</v>
      </c>
      <c r="B755" s="121" t="s">
        <v>57</v>
      </c>
      <c r="C755" s="111" t="s">
        <v>1004</v>
      </c>
      <c r="D755" s="111" t="s">
        <v>1005</v>
      </c>
      <c r="E755" s="111" t="s">
        <v>1009</v>
      </c>
      <c r="F755" s="149">
        <v>33.44</v>
      </c>
      <c r="G755" s="135">
        <f t="shared" si="35"/>
        <v>45255</v>
      </c>
      <c r="H755" s="133" t="s">
        <v>66</v>
      </c>
      <c r="I755" s="133"/>
      <c r="J755" s="111"/>
      <c r="K755" s="135"/>
      <c r="L755" s="153">
        <f t="shared" si="34"/>
        <v>33.44</v>
      </c>
      <c r="M755" s="111">
        <v>510763235</v>
      </c>
    </row>
    <row r="756" spans="1:13" customFormat="1" x14ac:dyDescent="0.35">
      <c r="A756" s="109">
        <v>45252</v>
      </c>
      <c r="B756" s="121" t="s">
        <v>57</v>
      </c>
      <c r="C756" s="111" t="s">
        <v>1004</v>
      </c>
      <c r="D756" s="111" t="s">
        <v>1005</v>
      </c>
      <c r="E756" s="111" t="s">
        <v>1010</v>
      </c>
      <c r="F756" s="149">
        <v>16.72</v>
      </c>
      <c r="G756" s="135">
        <f t="shared" si="35"/>
        <v>45282</v>
      </c>
      <c r="H756" s="133" t="s">
        <v>66</v>
      </c>
      <c r="I756" s="133"/>
      <c r="J756" s="111"/>
      <c r="K756" s="135"/>
      <c r="L756" s="153">
        <f t="shared" si="34"/>
        <v>16.72</v>
      </c>
      <c r="M756" s="111">
        <v>510763235</v>
      </c>
    </row>
    <row r="757" spans="1:13" x14ac:dyDescent="0.35">
      <c r="A757" s="109">
        <v>45265</v>
      </c>
      <c r="B757" s="121" t="s">
        <v>57</v>
      </c>
      <c r="C757" s="111" t="s">
        <v>1004</v>
      </c>
      <c r="D757" s="111" t="s">
        <v>1005</v>
      </c>
      <c r="E757" s="111" t="s">
        <v>1011</v>
      </c>
      <c r="F757" s="149">
        <v>16.72</v>
      </c>
      <c r="G757" s="135">
        <f t="shared" si="35"/>
        <v>45295</v>
      </c>
      <c r="H757" s="133" t="s">
        <v>66</v>
      </c>
      <c r="K757" s="135"/>
      <c r="L757" s="153">
        <f t="shared" si="34"/>
        <v>16.72</v>
      </c>
      <c r="M757" s="111">
        <v>510763235</v>
      </c>
    </row>
    <row r="758" spans="1:13" x14ac:dyDescent="0.35">
      <c r="A758" s="109">
        <v>45075</v>
      </c>
      <c r="B758" s="121" t="s">
        <v>57</v>
      </c>
      <c r="C758" s="111" t="s">
        <v>1004</v>
      </c>
      <c r="D758" s="111" t="s">
        <v>1005</v>
      </c>
      <c r="E758" s="111" t="s">
        <v>1012</v>
      </c>
      <c r="F758" s="149">
        <v>189.66</v>
      </c>
      <c r="G758" s="135">
        <f t="shared" si="35"/>
        <v>45105</v>
      </c>
      <c r="H758" s="133" t="s">
        <v>66</v>
      </c>
      <c r="K758" s="135"/>
      <c r="L758" s="153">
        <f t="shared" si="34"/>
        <v>189.66</v>
      </c>
      <c r="M758" s="111">
        <v>510763235</v>
      </c>
    </row>
    <row r="759" spans="1:13" x14ac:dyDescent="0.35">
      <c r="A759" s="109">
        <v>45112</v>
      </c>
      <c r="B759" s="121" t="s">
        <v>57</v>
      </c>
      <c r="C759" s="111" t="s">
        <v>1004</v>
      </c>
      <c r="D759" s="111" t="s">
        <v>1005</v>
      </c>
      <c r="F759" s="149">
        <v>25.08</v>
      </c>
      <c r="G759" s="135">
        <f t="shared" si="35"/>
        <v>45142</v>
      </c>
      <c r="H759" s="133" t="s">
        <v>66</v>
      </c>
      <c r="K759" s="135"/>
      <c r="L759" s="153">
        <f t="shared" si="34"/>
        <v>25.08</v>
      </c>
      <c r="M759" s="111">
        <v>510763235</v>
      </c>
    </row>
    <row r="760" spans="1:13" x14ac:dyDescent="0.35">
      <c r="A760" s="109">
        <v>45124</v>
      </c>
      <c r="B760" s="121" t="s">
        <v>57</v>
      </c>
      <c r="C760" s="111" t="s">
        <v>1004</v>
      </c>
      <c r="D760" s="111" t="s">
        <v>1005</v>
      </c>
      <c r="F760" s="149">
        <v>25.08</v>
      </c>
      <c r="G760" s="135">
        <f t="shared" si="35"/>
        <v>45154</v>
      </c>
      <c r="H760" s="133" t="s">
        <v>66</v>
      </c>
      <c r="K760" s="135"/>
      <c r="L760" s="153">
        <f t="shared" si="34"/>
        <v>25.08</v>
      </c>
      <c r="M760" s="111">
        <v>510763235</v>
      </c>
    </row>
    <row r="761" spans="1:13" x14ac:dyDescent="0.35">
      <c r="A761" s="109">
        <v>45531</v>
      </c>
      <c r="B761" s="121" t="s">
        <v>57</v>
      </c>
      <c r="C761" s="111" t="s">
        <v>1013</v>
      </c>
      <c r="D761" s="111" t="s">
        <v>236</v>
      </c>
      <c r="E761" s="111" t="s">
        <v>1014</v>
      </c>
      <c r="F761" s="149">
        <v>714</v>
      </c>
      <c r="G761" s="135">
        <f t="shared" si="35"/>
        <v>45561</v>
      </c>
      <c r="H761" s="133" t="s">
        <v>66</v>
      </c>
      <c r="I761" s="133" t="s">
        <v>232</v>
      </c>
      <c r="K761" s="135"/>
      <c r="L761" s="153">
        <f t="shared" si="34"/>
        <v>714</v>
      </c>
      <c r="M761" s="111">
        <v>104210184</v>
      </c>
    </row>
    <row r="762" spans="1:13" x14ac:dyDescent="0.35">
      <c r="A762" s="109">
        <v>45688</v>
      </c>
      <c r="B762" s="121" t="s">
        <v>57</v>
      </c>
      <c r="C762" s="121" t="s">
        <v>51</v>
      </c>
      <c r="D762" s="121" t="s">
        <v>51</v>
      </c>
      <c r="E762" s="121" t="s">
        <v>1015</v>
      </c>
      <c r="F762" s="149">
        <v>30.37</v>
      </c>
      <c r="G762" s="135">
        <v>45716</v>
      </c>
      <c r="H762" s="134" t="s">
        <v>66</v>
      </c>
      <c r="I762" s="133" t="s">
        <v>135</v>
      </c>
      <c r="K762" s="135">
        <v>45769</v>
      </c>
      <c r="L762" s="153">
        <f t="shared" si="34"/>
        <v>30.37</v>
      </c>
      <c r="M762" s="111">
        <v>515191760</v>
      </c>
    </row>
    <row r="763" spans="1:13" s="76" customFormat="1" x14ac:dyDescent="0.35">
      <c r="A763" s="109">
        <v>45735</v>
      </c>
      <c r="B763" s="145" t="s">
        <v>65</v>
      </c>
      <c r="C763" s="144" t="s">
        <v>47</v>
      </c>
      <c r="D763" s="145"/>
      <c r="E763" s="145" t="s">
        <v>1016</v>
      </c>
      <c r="F763" s="169">
        <v>-132.84</v>
      </c>
      <c r="G763" s="138"/>
      <c r="H763" s="134" t="s">
        <v>66</v>
      </c>
      <c r="I763" s="147" t="s">
        <v>119</v>
      </c>
      <c r="J763" s="145"/>
      <c r="K763" s="135">
        <v>45782</v>
      </c>
      <c r="L763" s="153">
        <f t="shared" si="34"/>
        <v>-132.84</v>
      </c>
      <c r="M763" s="145"/>
    </row>
    <row r="764" spans="1:13" s="76" customFormat="1" x14ac:dyDescent="0.35">
      <c r="A764" s="109">
        <v>45819</v>
      </c>
      <c r="B764" s="145" t="s">
        <v>65</v>
      </c>
      <c r="C764" s="144" t="s">
        <v>47</v>
      </c>
      <c r="D764" s="145"/>
      <c r="E764" s="145" t="s">
        <v>1017</v>
      </c>
      <c r="F764" s="169">
        <v>-199.26</v>
      </c>
      <c r="G764" s="147"/>
      <c r="H764" s="133" t="s">
        <v>66</v>
      </c>
      <c r="I764" s="147" t="s">
        <v>119</v>
      </c>
      <c r="J764" s="145"/>
      <c r="K764" s="135">
        <v>45842</v>
      </c>
      <c r="L764" s="111"/>
      <c r="M764" s="145"/>
    </row>
    <row r="765" spans="1:13" customFormat="1" x14ac:dyDescent="0.35">
      <c r="A765" s="109">
        <v>45705</v>
      </c>
      <c r="B765" s="121" t="s">
        <v>65</v>
      </c>
      <c r="C765" s="121" t="s">
        <v>47</v>
      </c>
      <c r="D765" s="111"/>
      <c r="E765" s="121" t="s">
        <v>1018</v>
      </c>
      <c r="F765" s="153">
        <v>-199.26</v>
      </c>
      <c r="G765" s="135">
        <v>45733</v>
      </c>
      <c r="H765" s="134" t="s">
        <v>66</v>
      </c>
      <c r="I765" s="133" t="s">
        <v>119</v>
      </c>
      <c r="J765" s="111"/>
      <c r="K765" s="135">
        <v>45733</v>
      </c>
      <c r="L765" s="153">
        <f>F765</f>
        <v>-199.26</v>
      </c>
      <c r="M765" s="111"/>
    </row>
    <row r="766" spans="1:13" customFormat="1" x14ac:dyDescent="0.35">
      <c r="A766" s="109">
        <v>45046</v>
      </c>
      <c r="B766" s="111" t="s">
        <v>65</v>
      </c>
      <c r="C766" s="111" t="s">
        <v>86</v>
      </c>
      <c r="D766" s="111"/>
      <c r="E766" s="111" t="s">
        <v>1019</v>
      </c>
      <c r="F766" s="131">
        <v>-177</v>
      </c>
      <c r="G766" s="135"/>
      <c r="H766" s="133" t="s">
        <v>66</v>
      </c>
      <c r="I766" s="133"/>
      <c r="J766" s="111"/>
      <c r="K766" s="135"/>
      <c r="L766" s="153">
        <f>F766</f>
        <v>-177</v>
      </c>
      <c r="M766" s="111" t="s">
        <v>1020</v>
      </c>
    </row>
    <row r="767" spans="1:13" customFormat="1" x14ac:dyDescent="0.35">
      <c r="A767" s="109">
        <v>45138</v>
      </c>
      <c r="B767" s="111" t="s">
        <v>65</v>
      </c>
      <c r="C767" s="111" t="s">
        <v>86</v>
      </c>
      <c r="D767" s="111"/>
      <c r="E767" s="111" t="s">
        <v>1021</v>
      </c>
      <c r="F767" s="131">
        <v>-396</v>
      </c>
      <c r="G767" s="135"/>
      <c r="H767" s="133" t="s">
        <v>66</v>
      </c>
      <c r="I767" s="133"/>
      <c r="J767" s="111"/>
      <c r="K767" s="135"/>
      <c r="L767" s="153">
        <f>F767</f>
        <v>-396</v>
      </c>
      <c r="M767" s="111" t="s">
        <v>1022</v>
      </c>
    </row>
    <row r="768" spans="1:13" x14ac:dyDescent="0.35">
      <c r="A768" s="109">
        <v>45735</v>
      </c>
      <c r="B768" s="111" t="s">
        <v>57</v>
      </c>
      <c r="C768" s="121" t="s">
        <v>51</v>
      </c>
      <c r="D768" s="121" t="s">
        <v>51</v>
      </c>
      <c r="E768" s="121" t="s">
        <v>1023</v>
      </c>
      <c r="F768" s="153">
        <v>46.26</v>
      </c>
      <c r="G768" s="135">
        <v>45765</v>
      </c>
      <c r="H768" s="133" t="s">
        <v>66</v>
      </c>
      <c r="I768" s="133" t="s">
        <v>135</v>
      </c>
      <c r="K768" s="135">
        <v>45789</v>
      </c>
      <c r="L768" s="153">
        <f>F768</f>
        <v>46.26</v>
      </c>
      <c r="M768" s="111">
        <v>515191760</v>
      </c>
    </row>
    <row r="769" spans="1:13" x14ac:dyDescent="0.35">
      <c r="A769" s="109">
        <v>45735</v>
      </c>
      <c r="B769" s="111" t="s">
        <v>57</v>
      </c>
      <c r="C769" s="121" t="s">
        <v>51</v>
      </c>
      <c r="D769" s="121" t="s">
        <v>51</v>
      </c>
      <c r="E769" s="121" t="s">
        <v>1024</v>
      </c>
      <c r="F769" s="153">
        <v>26.7</v>
      </c>
      <c r="G769" s="135">
        <v>45765</v>
      </c>
      <c r="H769" s="133" t="s">
        <v>66</v>
      </c>
      <c r="I769" s="133" t="s">
        <v>135</v>
      </c>
      <c r="K769" s="135">
        <v>45789</v>
      </c>
      <c r="L769" s="153">
        <f>F769</f>
        <v>26.7</v>
      </c>
      <c r="M769" s="111">
        <v>515191760</v>
      </c>
    </row>
    <row r="770" spans="1:13" x14ac:dyDescent="0.35">
      <c r="A770" s="109">
        <v>46002</v>
      </c>
      <c r="B770" s="121" t="s">
        <v>57</v>
      </c>
      <c r="C770" s="111" t="s">
        <v>22</v>
      </c>
      <c r="D770" s="111" t="s">
        <v>550</v>
      </c>
      <c r="E770" s="121" t="s">
        <v>1025</v>
      </c>
      <c r="F770" s="153">
        <v>122.34</v>
      </c>
      <c r="G770" s="135">
        <f>A770+30</f>
        <v>46032</v>
      </c>
      <c r="H770" s="133" t="s">
        <v>66</v>
      </c>
      <c r="I770" s="133" t="s">
        <v>135</v>
      </c>
      <c r="K770" s="160">
        <v>46031</v>
      </c>
    </row>
    <row r="771" spans="1:13" x14ac:dyDescent="0.35">
      <c r="A771" s="109">
        <v>45086</v>
      </c>
      <c r="B771" s="121" t="s">
        <v>57</v>
      </c>
      <c r="C771" s="111" t="s">
        <v>1026</v>
      </c>
      <c r="D771" s="111" t="s">
        <v>1026</v>
      </c>
      <c r="E771" s="111" t="s">
        <v>1027</v>
      </c>
      <c r="F771" s="149">
        <v>356</v>
      </c>
      <c r="G771" s="135">
        <f>A771+30</f>
        <v>45116</v>
      </c>
      <c r="H771" s="133" t="s">
        <v>66</v>
      </c>
      <c r="K771" s="135"/>
      <c r="L771" s="153">
        <f>F771</f>
        <v>356</v>
      </c>
      <c r="M771" s="111">
        <v>60915196471</v>
      </c>
    </row>
    <row r="772" spans="1:13" s="76" customFormat="1" x14ac:dyDescent="0.35">
      <c r="A772" s="109">
        <v>45842</v>
      </c>
      <c r="B772" s="154" t="s">
        <v>57</v>
      </c>
      <c r="C772" s="154" t="s">
        <v>1028</v>
      </c>
      <c r="D772" s="154" t="s">
        <v>1028</v>
      </c>
      <c r="E772" s="154" t="s">
        <v>1029</v>
      </c>
      <c r="F772" s="201">
        <v>664</v>
      </c>
      <c r="G772" s="147"/>
      <c r="H772" s="159" t="s">
        <v>66</v>
      </c>
      <c r="I772" s="159" t="s">
        <v>232</v>
      </c>
      <c r="J772" s="154"/>
      <c r="K772" s="135">
        <v>45842</v>
      </c>
      <c r="L772" s="111"/>
      <c r="M772" s="203">
        <v>213169592</v>
      </c>
    </row>
    <row r="773" spans="1:13" customFormat="1" x14ac:dyDescent="0.35">
      <c r="A773" s="109">
        <v>45866</v>
      </c>
      <c r="B773" s="111" t="s">
        <v>57</v>
      </c>
      <c r="C773" s="111" t="s">
        <v>1030</v>
      </c>
      <c r="D773" s="111"/>
      <c r="E773" s="111" t="s">
        <v>1031</v>
      </c>
      <c r="F773" s="153">
        <v>660</v>
      </c>
      <c r="G773" s="135">
        <f>A773+30</f>
        <v>45896</v>
      </c>
      <c r="H773" s="134" t="s">
        <v>66</v>
      </c>
      <c r="I773" s="133" t="s">
        <v>232</v>
      </c>
      <c r="J773" s="111"/>
      <c r="K773" s="135">
        <v>45887</v>
      </c>
      <c r="L773" s="111"/>
      <c r="M773" s="196">
        <v>223952036</v>
      </c>
    </row>
    <row r="774" spans="1:13" customFormat="1" x14ac:dyDescent="0.35">
      <c r="A774" s="109">
        <v>45783</v>
      </c>
      <c r="B774" s="145" t="s">
        <v>57</v>
      </c>
      <c r="C774" s="145" t="s">
        <v>34</v>
      </c>
      <c r="D774" s="145" t="s">
        <v>1032</v>
      </c>
      <c r="E774" s="144" t="s">
        <v>1033</v>
      </c>
      <c r="F774" s="169">
        <v>410</v>
      </c>
      <c r="G774" s="135">
        <v>45813</v>
      </c>
      <c r="H774" s="147" t="s">
        <v>66</v>
      </c>
      <c r="I774" s="147" t="s">
        <v>135</v>
      </c>
      <c r="J774" s="145"/>
      <c r="K774" s="135">
        <v>45819</v>
      </c>
      <c r="L774" s="153">
        <f t="shared" ref="L774:L781" si="36">F774</f>
        <v>410</v>
      </c>
      <c r="M774" s="145">
        <v>513404724</v>
      </c>
    </row>
    <row r="775" spans="1:13" customFormat="1" x14ac:dyDescent="0.35">
      <c r="A775" s="109">
        <v>45204</v>
      </c>
      <c r="B775" s="121" t="s">
        <v>57</v>
      </c>
      <c r="C775" s="111" t="s">
        <v>1034</v>
      </c>
      <c r="D775" s="111" t="s">
        <v>1035</v>
      </c>
      <c r="E775" s="111" t="s">
        <v>1036</v>
      </c>
      <c r="F775" s="149">
        <v>85.47</v>
      </c>
      <c r="G775" s="135">
        <f>A775+30</f>
        <v>45234</v>
      </c>
      <c r="H775" s="133" t="s">
        <v>66</v>
      </c>
      <c r="I775" s="133"/>
      <c r="J775" s="111"/>
      <c r="K775" s="135"/>
      <c r="L775" s="153">
        <f t="shared" si="36"/>
        <v>85.47</v>
      </c>
      <c r="M775" s="111">
        <v>516893718</v>
      </c>
    </row>
    <row r="776" spans="1:13" customFormat="1" x14ac:dyDescent="0.35">
      <c r="A776" s="109">
        <v>45477</v>
      </c>
      <c r="B776" s="121" t="s">
        <v>57</v>
      </c>
      <c r="C776" s="111" t="s">
        <v>1034</v>
      </c>
      <c r="D776" s="111" t="s">
        <v>1035</v>
      </c>
      <c r="E776" s="111" t="s">
        <v>1037</v>
      </c>
      <c r="F776" s="149">
        <v>19.91</v>
      </c>
      <c r="G776" s="135">
        <f>A776+30</f>
        <v>45507</v>
      </c>
      <c r="H776" s="133" t="s">
        <v>66</v>
      </c>
      <c r="I776" s="133" t="s">
        <v>135</v>
      </c>
      <c r="J776" s="111"/>
      <c r="K776" s="135"/>
      <c r="L776" s="153">
        <f t="shared" si="36"/>
        <v>19.91</v>
      </c>
      <c r="M776" s="111">
        <v>516893718</v>
      </c>
    </row>
    <row r="777" spans="1:13" customFormat="1" x14ac:dyDescent="0.35">
      <c r="A777" s="109">
        <v>45199</v>
      </c>
      <c r="B777" s="111" t="s">
        <v>65</v>
      </c>
      <c r="C777" s="111" t="s">
        <v>86</v>
      </c>
      <c r="D777" s="111"/>
      <c r="E777" s="111" t="s">
        <v>1038</v>
      </c>
      <c r="F777" s="131">
        <v>-189</v>
      </c>
      <c r="G777" s="135"/>
      <c r="H777" s="133" t="s">
        <v>66</v>
      </c>
      <c r="I777" s="133"/>
      <c r="J777" s="111"/>
      <c r="K777" s="135"/>
      <c r="L777" s="153">
        <f t="shared" si="36"/>
        <v>-189</v>
      </c>
      <c r="M777" s="111" t="s">
        <v>1039</v>
      </c>
    </row>
    <row r="778" spans="1:13" customFormat="1" x14ac:dyDescent="0.35">
      <c r="A778" s="109">
        <v>45504</v>
      </c>
      <c r="B778" s="111" t="s">
        <v>65</v>
      </c>
      <c r="C778" s="111" t="s">
        <v>86</v>
      </c>
      <c r="D778" s="111"/>
      <c r="E778" s="111" t="s">
        <v>1040</v>
      </c>
      <c r="F778" s="131">
        <v>-437.5</v>
      </c>
      <c r="G778" s="135"/>
      <c r="H778" s="133" t="s">
        <v>66</v>
      </c>
      <c r="I778" s="133" t="s">
        <v>119</v>
      </c>
      <c r="J778" s="111"/>
      <c r="K778" s="135"/>
      <c r="L778" s="153">
        <f t="shared" si="36"/>
        <v>-437.5</v>
      </c>
      <c r="M778" s="111" t="s">
        <v>692</v>
      </c>
    </row>
    <row r="779" spans="1:13" customFormat="1" x14ac:dyDescent="0.35">
      <c r="A779" s="109">
        <v>45203</v>
      </c>
      <c r="B779" s="121" t="s">
        <v>57</v>
      </c>
      <c r="C779" s="111" t="s">
        <v>1034</v>
      </c>
      <c r="D779" s="111" t="s">
        <v>1035</v>
      </c>
      <c r="E779" s="111" t="s">
        <v>1041</v>
      </c>
      <c r="F779" s="149">
        <v>132.97999999999999</v>
      </c>
      <c r="G779" s="135">
        <f>A779+30</f>
        <v>45233</v>
      </c>
      <c r="H779" s="133" t="s">
        <v>66</v>
      </c>
      <c r="I779" s="133"/>
      <c r="J779" s="111"/>
      <c r="K779" s="135"/>
      <c r="L779" s="153">
        <f t="shared" si="36"/>
        <v>132.97999999999999</v>
      </c>
      <c r="M779" s="111">
        <v>516893718</v>
      </c>
    </row>
    <row r="780" spans="1:13" customFormat="1" x14ac:dyDescent="0.35">
      <c r="A780" s="109">
        <v>45596</v>
      </c>
      <c r="B780" s="111" t="s">
        <v>65</v>
      </c>
      <c r="C780" s="111" t="s">
        <v>86</v>
      </c>
      <c r="D780" s="111"/>
      <c r="E780" s="111" t="s">
        <v>1042</v>
      </c>
      <c r="F780" s="131">
        <v>-152.52000000000001</v>
      </c>
      <c r="G780" s="135"/>
      <c r="H780" s="133" t="s">
        <v>66</v>
      </c>
      <c r="I780" s="133" t="s">
        <v>119</v>
      </c>
      <c r="J780" s="111"/>
      <c r="K780" s="135">
        <v>45901</v>
      </c>
      <c r="L780" s="153">
        <f t="shared" si="36"/>
        <v>-152.52000000000001</v>
      </c>
      <c r="M780" s="111"/>
    </row>
    <row r="781" spans="1:13" customFormat="1" x14ac:dyDescent="0.35">
      <c r="A781" s="109">
        <v>45716</v>
      </c>
      <c r="B781" s="111" t="s">
        <v>65</v>
      </c>
      <c r="C781" s="121" t="s">
        <v>86</v>
      </c>
      <c r="D781" s="111"/>
      <c r="E781" s="111" t="s">
        <v>624</v>
      </c>
      <c r="F781" s="151">
        <v>-164.98</v>
      </c>
      <c r="G781" s="135"/>
      <c r="H781" s="134" t="s">
        <v>66</v>
      </c>
      <c r="I781" s="133" t="s">
        <v>119</v>
      </c>
      <c r="J781" s="111"/>
      <c r="K781" s="135">
        <v>45783</v>
      </c>
      <c r="L781" s="153">
        <f t="shared" si="36"/>
        <v>-164.98</v>
      </c>
      <c r="M781" s="111"/>
    </row>
    <row r="782" spans="1:13" customFormat="1" x14ac:dyDescent="0.35">
      <c r="A782" s="109">
        <v>45808</v>
      </c>
      <c r="B782" s="111" t="s">
        <v>65</v>
      </c>
      <c r="C782" s="111" t="s">
        <v>86</v>
      </c>
      <c r="D782" s="111"/>
      <c r="E782" s="111" t="s">
        <v>419</v>
      </c>
      <c r="F782" s="153">
        <v>-100</v>
      </c>
      <c r="G782" s="133"/>
      <c r="H782" s="133" t="s">
        <v>66</v>
      </c>
      <c r="I782" s="133" t="s">
        <v>119</v>
      </c>
      <c r="J782" s="111"/>
      <c r="K782" s="135">
        <v>45840</v>
      </c>
      <c r="L782" s="111"/>
      <c r="M782" s="111"/>
    </row>
    <row r="783" spans="1:13" customFormat="1" x14ac:dyDescent="0.35">
      <c r="A783" s="109">
        <v>45838</v>
      </c>
      <c r="B783" s="111" t="s">
        <v>65</v>
      </c>
      <c r="C783" s="111" t="s">
        <v>86</v>
      </c>
      <c r="D783" s="111"/>
      <c r="E783" s="121" t="s">
        <v>1043</v>
      </c>
      <c r="F783" s="153">
        <v>-115.2</v>
      </c>
      <c r="G783" s="133"/>
      <c r="H783" s="134" t="s">
        <v>66</v>
      </c>
      <c r="I783" s="133" t="s">
        <v>119</v>
      </c>
      <c r="J783" s="111"/>
      <c r="K783" s="135">
        <v>45868</v>
      </c>
      <c r="L783" s="111"/>
      <c r="M783" s="196"/>
    </row>
    <row r="784" spans="1:13" customFormat="1" x14ac:dyDescent="0.35">
      <c r="A784" s="109">
        <v>45867</v>
      </c>
      <c r="B784" s="111" t="s">
        <v>65</v>
      </c>
      <c r="C784" s="121" t="s">
        <v>86</v>
      </c>
      <c r="D784" s="111"/>
      <c r="E784" s="121" t="s">
        <v>1044</v>
      </c>
      <c r="F784" s="153">
        <v>-88</v>
      </c>
      <c r="G784" s="135">
        <v>45898</v>
      </c>
      <c r="H784" s="134" t="s">
        <v>66</v>
      </c>
      <c r="I784" s="133" t="s">
        <v>119</v>
      </c>
      <c r="J784" s="111"/>
      <c r="K784" s="135">
        <v>45898</v>
      </c>
      <c r="L784" s="111"/>
      <c r="M784" s="196"/>
    </row>
    <row r="785" spans="1:13" customFormat="1" x14ac:dyDescent="0.35">
      <c r="A785" s="109">
        <v>45930</v>
      </c>
      <c r="B785" s="143" t="s">
        <v>65</v>
      </c>
      <c r="C785" s="143" t="s">
        <v>86</v>
      </c>
      <c r="D785" s="140"/>
      <c r="E785" s="143" t="s">
        <v>1045</v>
      </c>
      <c r="F785" s="174">
        <v>-243</v>
      </c>
      <c r="G785" s="133"/>
      <c r="H785" s="175" t="s">
        <v>66</v>
      </c>
      <c r="I785" s="175" t="s">
        <v>633</v>
      </c>
      <c r="J785" s="140"/>
      <c r="K785" s="135">
        <v>45961</v>
      </c>
      <c r="L785" s="111"/>
      <c r="M785" s="235"/>
    </row>
    <row r="786" spans="1:13" customFormat="1" x14ac:dyDescent="0.35">
      <c r="A786" s="176">
        <v>45959</v>
      </c>
      <c r="B786" s="140" t="s">
        <v>65</v>
      </c>
      <c r="C786" s="140" t="s">
        <v>86</v>
      </c>
      <c r="D786" s="140"/>
      <c r="E786" s="140" t="s">
        <v>1046</v>
      </c>
      <c r="F786" s="174">
        <v>-2578</v>
      </c>
      <c r="G786" s="250">
        <f>A786+30</f>
        <v>45989</v>
      </c>
      <c r="H786" s="142" t="s">
        <v>66</v>
      </c>
      <c r="I786" s="142" t="s">
        <v>633</v>
      </c>
      <c r="J786" s="111"/>
      <c r="K786" s="135">
        <v>45964</v>
      </c>
      <c r="L786" s="111"/>
      <c r="M786" s="196"/>
    </row>
    <row r="787" spans="1:13" customFormat="1" x14ac:dyDescent="0.35">
      <c r="A787" s="109">
        <v>46038</v>
      </c>
      <c r="B787" s="111" t="s">
        <v>65</v>
      </c>
      <c r="C787" s="111" t="s">
        <v>767</v>
      </c>
      <c r="D787" s="111"/>
      <c r="E787" s="218" t="s">
        <v>1047</v>
      </c>
      <c r="F787" s="153">
        <v>-130.71</v>
      </c>
      <c r="G787" s="226">
        <v>46038</v>
      </c>
      <c r="H787" s="133" t="s">
        <v>66</v>
      </c>
      <c r="I787" s="133" t="s">
        <v>1048</v>
      </c>
      <c r="J787" s="111"/>
      <c r="K787" s="160">
        <v>46091</v>
      </c>
      <c r="L787" s="111"/>
      <c r="M787" s="196"/>
    </row>
    <row r="788" spans="1:13" customFormat="1" x14ac:dyDescent="0.35">
      <c r="A788" s="109">
        <v>45131</v>
      </c>
      <c r="B788" s="145" t="s">
        <v>65</v>
      </c>
      <c r="C788" s="145" t="s">
        <v>23</v>
      </c>
      <c r="D788" s="145"/>
      <c r="E788" s="145">
        <v>554</v>
      </c>
      <c r="F788" s="146">
        <v>-207.8</v>
      </c>
      <c r="G788" s="135"/>
      <c r="H788" s="147" t="s">
        <v>66</v>
      </c>
      <c r="I788" s="147"/>
      <c r="J788" s="145"/>
      <c r="K788" s="135"/>
      <c r="L788" s="153">
        <f t="shared" ref="L788:L795" si="37">F788</f>
        <v>-207.8</v>
      </c>
      <c r="M788" s="145"/>
    </row>
    <row r="789" spans="1:13" customFormat="1" x14ac:dyDescent="0.35">
      <c r="A789" s="109">
        <v>45279</v>
      </c>
      <c r="B789" s="111" t="s">
        <v>65</v>
      </c>
      <c r="C789" s="111" t="s">
        <v>23</v>
      </c>
      <c r="D789" s="111"/>
      <c r="E789" s="111" t="s">
        <v>1049</v>
      </c>
      <c r="F789" s="131">
        <v>-184.25</v>
      </c>
      <c r="G789" s="135"/>
      <c r="H789" s="133" t="s">
        <v>66</v>
      </c>
      <c r="I789" s="133" t="s">
        <v>119</v>
      </c>
      <c r="J789" s="111"/>
      <c r="K789" s="135"/>
      <c r="L789" s="153">
        <f t="shared" si="37"/>
        <v>-184.25</v>
      </c>
      <c r="M789" s="111" t="s">
        <v>1050</v>
      </c>
    </row>
    <row r="790" spans="1:13" customFormat="1" x14ac:dyDescent="0.35">
      <c r="A790" s="109">
        <v>45388</v>
      </c>
      <c r="B790" s="140" t="s">
        <v>65</v>
      </c>
      <c r="C790" s="140" t="s">
        <v>23</v>
      </c>
      <c r="D790" s="140"/>
      <c r="E790" s="140" t="s">
        <v>1051</v>
      </c>
      <c r="F790" s="141">
        <v>-231.34</v>
      </c>
      <c r="G790" s="135"/>
      <c r="H790" s="142" t="s">
        <v>66</v>
      </c>
      <c r="I790" s="142" t="s">
        <v>119</v>
      </c>
      <c r="J790" s="140"/>
      <c r="K790" s="135"/>
      <c r="L790" s="153">
        <f t="shared" si="37"/>
        <v>-231.34</v>
      </c>
      <c r="M790" s="140" t="s">
        <v>1052</v>
      </c>
    </row>
    <row r="791" spans="1:13" customFormat="1" x14ac:dyDescent="0.35">
      <c r="A791" s="109">
        <v>45414</v>
      </c>
      <c r="B791" s="111" t="s">
        <v>65</v>
      </c>
      <c r="C791" s="111" t="s">
        <v>23</v>
      </c>
      <c r="D791" s="111"/>
      <c r="E791" s="111" t="s">
        <v>1053</v>
      </c>
      <c r="F791" s="131">
        <v>-60.400000000000006</v>
      </c>
      <c r="G791" s="135"/>
      <c r="H791" s="133" t="s">
        <v>66</v>
      </c>
      <c r="I791" s="133" t="s">
        <v>119</v>
      </c>
      <c r="J791" s="111">
        <v>45450</v>
      </c>
      <c r="K791" s="135"/>
      <c r="L791" s="153">
        <f t="shared" si="37"/>
        <v>-60.400000000000006</v>
      </c>
      <c r="M791" s="111" t="s">
        <v>1054</v>
      </c>
    </row>
    <row r="792" spans="1:13" customFormat="1" x14ac:dyDescent="0.35">
      <c r="A792" s="109">
        <v>45422</v>
      </c>
      <c r="B792" s="145" t="s">
        <v>65</v>
      </c>
      <c r="C792" s="145" t="s">
        <v>23</v>
      </c>
      <c r="D792" s="145"/>
      <c r="E792" s="145" t="s">
        <v>1055</v>
      </c>
      <c r="F792" s="146">
        <v>-368.51</v>
      </c>
      <c r="G792" s="135"/>
      <c r="H792" s="147" t="s">
        <v>66</v>
      </c>
      <c r="I792" s="147" t="s">
        <v>119</v>
      </c>
      <c r="J792" s="145">
        <v>45450</v>
      </c>
      <c r="K792" s="135"/>
      <c r="L792" s="153">
        <f t="shared" si="37"/>
        <v>-368.51</v>
      </c>
      <c r="M792" s="145" t="s">
        <v>1056</v>
      </c>
    </row>
    <row r="793" spans="1:13" customFormat="1" x14ac:dyDescent="0.35">
      <c r="A793" s="109">
        <v>45448</v>
      </c>
      <c r="B793" s="111" t="s">
        <v>65</v>
      </c>
      <c r="C793" s="111" t="s">
        <v>23</v>
      </c>
      <c r="D793" s="111"/>
      <c r="E793" s="111" t="s">
        <v>1057</v>
      </c>
      <c r="F793" s="131">
        <v>-380.28</v>
      </c>
      <c r="G793" s="135"/>
      <c r="H793" s="133" t="s">
        <v>66</v>
      </c>
      <c r="I793" s="133"/>
      <c r="J793" s="111"/>
      <c r="K793" s="135"/>
      <c r="L793" s="153">
        <f t="shared" si="37"/>
        <v>-380.28</v>
      </c>
      <c r="M793" s="111" t="s">
        <v>1058</v>
      </c>
    </row>
    <row r="794" spans="1:13" customFormat="1" x14ac:dyDescent="0.35">
      <c r="A794" s="109">
        <v>45457</v>
      </c>
      <c r="B794" s="111" t="s">
        <v>65</v>
      </c>
      <c r="C794" s="111" t="s">
        <v>23</v>
      </c>
      <c r="D794" s="111"/>
      <c r="E794" s="111" t="s">
        <v>1059</v>
      </c>
      <c r="F794" s="131">
        <v>-35.31</v>
      </c>
      <c r="G794" s="135"/>
      <c r="H794" s="133" t="s">
        <v>66</v>
      </c>
      <c r="I794" s="133"/>
      <c r="J794" s="111"/>
      <c r="K794" s="135"/>
      <c r="L794" s="153">
        <f t="shared" si="37"/>
        <v>-35.31</v>
      </c>
      <c r="M794" s="111" t="s">
        <v>1060</v>
      </c>
    </row>
    <row r="795" spans="1:13" customFormat="1" x14ac:dyDescent="0.35">
      <c r="A795" s="109">
        <v>45506</v>
      </c>
      <c r="B795" s="111" t="s">
        <v>65</v>
      </c>
      <c r="C795" s="111" t="s">
        <v>23</v>
      </c>
      <c r="D795" s="111"/>
      <c r="E795" s="111" t="s">
        <v>1061</v>
      </c>
      <c r="F795" s="131">
        <v>-285.54000000000002</v>
      </c>
      <c r="G795" s="135"/>
      <c r="H795" s="133" t="s">
        <v>66</v>
      </c>
      <c r="I795" s="133" t="s">
        <v>131</v>
      </c>
      <c r="J795" s="111"/>
      <c r="K795" s="135"/>
      <c r="L795" s="153">
        <f t="shared" si="37"/>
        <v>-285.54000000000002</v>
      </c>
      <c r="M795" s="111" t="s">
        <v>1062</v>
      </c>
    </row>
    <row r="796" spans="1:13" customFormat="1" x14ac:dyDescent="0.35">
      <c r="A796" s="109">
        <v>45844</v>
      </c>
      <c r="B796" s="121" t="s">
        <v>65</v>
      </c>
      <c r="C796" s="111" t="s">
        <v>31</v>
      </c>
      <c r="D796" s="111"/>
      <c r="E796" s="111"/>
      <c r="F796" s="139">
        <v>-246</v>
      </c>
      <c r="G796" s="135">
        <v>45844</v>
      </c>
      <c r="H796" s="133"/>
      <c r="I796" s="134" t="s">
        <v>119</v>
      </c>
      <c r="J796" s="111"/>
      <c r="K796" s="135">
        <v>45844</v>
      </c>
      <c r="L796" s="153">
        <v>-246</v>
      </c>
      <c r="M796" s="111"/>
    </row>
    <row r="797" spans="1:13" customFormat="1" x14ac:dyDescent="0.35">
      <c r="A797" s="109">
        <v>45875</v>
      </c>
      <c r="B797" s="121" t="s">
        <v>65</v>
      </c>
      <c r="C797" s="111" t="s">
        <v>31</v>
      </c>
      <c r="D797" s="111"/>
      <c r="E797" s="111"/>
      <c r="F797" s="139">
        <v>-246</v>
      </c>
      <c r="G797" s="135">
        <v>45875</v>
      </c>
      <c r="H797" s="133"/>
      <c r="I797" s="134" t="s">
        <v>119</v>
      </c>
      <c r="J797" s="111"/>
      <c r="K797" s="135">
        <v>45875</v>
      </c>
      <c r="L797" s="153">
        <v>-246</v>
      </c>
      <c r="M797" s="111"/>
    </row>
    <row r="798" spans="1:13" customFormat="1" x14ac:dyDescent="0.35">
      <c r="A798" s="109">
        <v>45906</v>
      </c>
      <c r="B798" s="121" t="s">
        <v>65</v>
      </c>
      <c r="C798" s="111" t="s">
        <v>31</v>
      </c>
      <c r="D798" s="111"/>
      <c r="E798" s="111"/>
      <c r="F798" s="139">
        <v>-246</v>
      </c>
      <c r="G798" s="135">
        <v>45906</v>
      </c>
      <c r="H798" s="133"/>
      <c r="I798" s="134" t="s">
        <v>119</v>
      </c>
      <c r="J798" s="111"/>
      <c r="K798" s="135">
        <v>45906</v>
      </c>
      <c r="L798" s="153">
        <v>-246</v>
      </c>
      <c r="M798" s="111"/>
    </row>
    <row r="799" spans="1:13" customFormat="1" x14ac:dyDescent="0.35">
      <c r="A799" s="109">
        <v>45936</v>
      </c>
      <c r="B799" s="121" t="s">
        <v>65</v>
      </c>
      <c r="C799" s="111" t="s">
        <v>31</v>
      </c>
      <c r="D799" s="111"/>
      <c r="E799" s="111"/>
      <c r="F799" s="139">
        <v>-246</v>
      </c>
      <c r="G799" s="135">
        <v>45936</v>
      </c>
      <c r="H799" s="133"/>
      <c r="I799" s="134" t="s">
        <v>119</v>
      </c>
      <c r="J799" s="111"/>
      <c r="K799" s="135">
        <v>45936</v>
      </c>
      <c r="L799" s="153">
        <v>-246</v>
      </c>
      <c r="M799" s="111"/>
    </row>
    <row r="800" spans="1:13" customFormat="1" x14ac:dyDescent="0.35">
      <c r="A800" s="109">
        <v>45967</v>
      </c>
      <c r="B800" s="121" t="s">
        <v>65</v>
      </c>
      <c r="C800" s="111" t="s">
        <v>31</v>
      </c>
      <c r="D800" s="111"/>
      <c r="E800" s="111"/>
      <c r="F800" s="139">
        <v>-246</v>
      </c>
      <c r="G800" s="135">
        <v>45967</v>
      </c>
      <c r="H800" s="133"/>
      <c r="I800" s="134" t="s">
        <v>119</v>
      </c>
      <c r="J800" s="111"/>
      <c r="K800" s="135">
        <v>45967</v>
      </c>
      <c r="L800" s="153">
        <v>-246</v>
      </c>
      <c r="M800" s="111"/>
    </row>
    <row r="801" spans="1:13" customFormat="1" x14ac:dyDescent="0.35">
      <c r="A801" s="109">
        <v>45997</v>
      </c>
      <c r="B801" s="121" t="s">
        <v>65</v>
      </c>
      <c r="C801" s="111" t="s">
        <v>31</v>
      </c>
      <c r="D801" s="111"/>
      <c r="E801" s="111"/>
      <c r="F801" s="139">
        <v>-246</v>
      </c>
      <c r="G801" s="135">
        <v>45997</v>
      </c>
      <c r="H801" s="133"/>
      <c r="I801" s="134" t="s">
        <v>119</v>
      </c>
      <c r="J801" s="111"/>
      <c r="K801" s="135">
        <v>45997</v>
      </c>
      <c r="L801" s="153">
        <v>-246</v>
      </c>
      <c r="M801" s="111"/>
    </row>
    <row r="802" spans="1:13" customFormat="1" x14ac:dyDescent="0.35">
      <c r="A802" s="109">
        <v>45506</v>
      </c>
      <c r="B802" s="111" t="s">
        <v>65</v>
      </c>
      <c r="C802" s="111" t="s">
        <v>23</v>
      </c>
      <c r="D802" s="111"/>
      <c r="E802" s="111" t="s">
        <v>1063</v>
      </c>
      <c r="F802" s="131">
        <v>-184.25</v>
      </c>
      <c r="G802" s="135"/>
      <c r="H802" s="133" t="s">
        <v>66</v>
      </c>
      <c r="I802" s="133" t="s">
        <v>119</v>
      </c>
      <c r="J802" s="111"/>
      <c r="K802" s="135"/>
      <c r="L802" s="153">
        <f t="shared" ref="L802:L814" si="38">F802</f>
        <v>-184.25</v>
      </c>
      <c r="M802" s="111" t="s">
        <v>1064</v>
      </c>
    </row>
    <row r="803" spans="1:13" customFormat="1" x14ac:dyDescent="0.35">
      <c r="A803" s="109">
        <v>45513</v>
      </c>
      <c r="B803" s="111" t="s">
        <v>65</v>
      </c>
      <c r="C803" s="111" t="s">
        <v>23</v>
      </c>
      <c r="D803" s="111"/>
      <c r="E803" s="111" t="s">
        <v>1065</v>
      </c>
      <c r="F803" s="131">
        <v>-219.57</v>
      </c>
      <c r="G803" s="135"/>
      <c r="H803" s="133" t="s">
        <v>66</v>
      </c>
      <c r="I803" s="133" t="s">
        <v>119</v>
      </c>
      <c r="J803" s="111"/>
      <c r="K803" s="135"/>
      <c r="L803" s="153">
        <f t="shared" si="38"/>
        <v>-219.57</v>
      </c>
      <c r="M803" s="111" t="s">
        <v>1064</v>
      </c>
    </row>
    <row r="804" spans="1:13" customFormat="1" x14ac:dyDescent="0.35">
      <c r="A804" s="109">
        <v>45518</v>
      </c>
      <c r="B804" s="111" t="s">
        <v>65</v>
      </c>
      <c r="C804" s="111" t="s">
        <v>23</v>
      </c>
      <c r="D804" s="111"/>
      <c r="E804" s="111" t="s">
        <v>1066</v>
      </c>
      <c r="F804" s="131">
        <v>-380.8</v>
      </c>
      <c r="G804" s="135"/>
      <c r="H804" s="133" t="s">
        <v>66</v>
      </c>
      <c r="I804" s="133" t="s">
        <v>119</v>
      </c>
      <c r="J804" s="111"/>
      <c r="K804" s="135"/>
      <c r="L804" s="153">
        <f t="shared" si="38"/>
        <v>-380.8</v>
      </c>
      <c r="M804" s="111" t="s">
        <v>1064</v>
      </c>
    </row>
    <row r="805" spans="1:13" customFormat="1" x14ac:dyDescent="0.35">
      <c r="A805" s="109">
        <v>45601</v>
      </c>
      <c r="B805" s="111" t="s">
        <v>65</v>
      </c>
      <c r="C805" s="111" t="s">
        <v>23</v>
      </c>
      <c r="D805" s="111"/>
      <c r="E805" s="111" t="s">
        <v>1067</v>
      </c>
      <c r="F805" s="131">
        <v>-184.25</v>
      </c>
      <c r="G805" s="135"/>
      <c r="H805" s="133" t="s">
        <v>66</v>
      </c>
      <c r="I805" s="133" t="s">
        <v>119</v>
      </c>
      <c r="J805" s="111"/>
      <c r="K805" s="135">
        <v>45363</v>
      </c>
      <c r="L805" s="153">
        <f t="shared" si="38"/>
        <v>-184.25</v>
      </c>
      <c r="M805" s="111"/>
    </row>
    <row r="806" spans="1:13" customFormat="1" x14ac:dyDescent="0.35">
      <c r="A806" s="109">
        <v>45616</v>
      </c>
      <c r="B806" s="111" t="s">
        <v>65</v>
      </c>
      <c r="C806" s="111" t="s">
        <v>23</v>
      </c>
      <c r="D806" s="111"/>
      <c r="E806" s="111" t="s">
        <v>1068</v>
      </c>
      <c r="F806" s="131">
        <v>-184.25</v>
      </c>
      <c r="G806" s="135">
        <v>45617</v>
      </c>
      <c r="H806" s="133" t="s">
        <v>66</v>
      </c>
      <c r="I806" s="133" t="s">
        <v>119</v>
      </c>
      <c r="J806" s="111"/>
      <c r="K806" s="135">
        <v>45363</v>
      </c>
      <c r="L806" s="153">
        <f t="shared" si="38"/>
        <v>-184.25</v>
      </c>
      <c r="M806" s="111"/>
    </row>
    <row r="807" spans="1:13" customFormat="1" x14ac:dyDescent="0.35">
      <c r="A807" s="109">
        <v>45637</v>
      </c>
      <c r="B807" s="111" t="s">
        <v>65</v>
      </c>
      <c r="C807" s="111" t="s">
        <v>23</v>
      </c>
      <c r="D807" s="111"/>
      <c r="E807" s="111" t="s">
        <v>1069</v>
      </c>
      <c r="F807" s="131">
        <v>-184.25</v>
      </c>
      <c r="G807" s="135">
        <f>IF(OR(C807="Matosinhos",C807="Bolhão"),A807,A807+30)</f>
        <v>45667</v>
      </c>
      <c r="H807" s="133" t="s">
        <v>66</v>
      </c>
      <c r="I807" s="133" t="s">
        <v>119</v>
      </c>
      <c r="J807" s="111"/>
      <c r="K807" s="135">
        <v>45901</v>
      </c>
      <c r="L807" s="153">
        <f t="shared" si="38"/>
        <v>-184.25</v>
      </c>
      <c r="M807" s="111"/>
    </row>
    <row r="808" spans="1:13" customFormat="1" x14ac:dyDescent="0.35">
      <c r="A808" s="109">
        <v>45660</v>
      </c>
      <c r="B808" s="111" t="s">
        <v>65</v>
      </c>
      <c r="C808" s="111" t="s">
        <v>23</v>
      </c>
      <c r="D808" s="111"/>
      <c r="E808" s="111" t="s">
        <v>623</v>
      </c>
      <c r="F808" s="149">
        <v>-184.25</v>
      </c>
      <c r="G808" s="135">
        <f>IF(OR(C808="Matosinhos",C808="Bolhão"),A808,A808+30)</f>
        <v>45690</v>
      </c>
      <c r="H808" s="133" t="s">
        <v>66</v>
      </c>
      <c r="I808" s="133" t="s">
        <v>119</v>
      </c>
      <c r="J808" s="111"/>
      <c r="K808" s="135">
        <v>45695</v>
      </c>
      <c r="L808" s="153">
        <f t="shared" si="38"/>
        <v>-184.25</v>
      </c>
      <c r="M808" s="111"/>
    </row>
    <row r="809" spans="1:13" customFormat="1" x14ac:dyDescent="0.35">
      <c r="A809" s="109">
        <v>45681</v>
      </c>
      <c r="B809" s="111" t="s">
        <v>65</v>
      </c>
      <c r="C809" s="111" t="s">
        <v>23</v>
      </c>
      <c r="D809" s="111"/>
      <c r="E809" s="111" t="s">
        <v>1070</v>
      </c>
      <c r="F809" s="149">
        <v>-23.54</v>
      </c>
      <c r="G809" s="135">
        <v>45681</v>
      </c>
      <c r="H809" s="133" t="s">
        <v>66</v>
      </c>
      <c r="I809" s="133" t="s">
        <v>119</v>
      </c>
      <c r="J809" s="111"/>
      <c r="K809" s="135">
        <v>45695</v>
      </c>
      <c r="L809" s="153">
        <f t="shared" si="38"/>
        <v>-23.54</v>
      </c>
      <c r="M809" s="111"/>
    </row>
    <row r="810" spans="1:13" customFormat="1" x14ac:dyDescent="0.35">
      <c r="A810" s="109">
        <v>45693</v>
      </c>
      <c r="B810" s="111" t="s">
        <v>65</v>
      </c>
      <c r="C810" s="111" t="s">
        <v>23</v>
      </c>
      <c r="D810" s="111"/>
      <c r="E810" s="111" t="s">
        <v>1071</v>
      </c>
      <c r="F810" s="153">
        <v>-196.03</v>
      </c>
      <c r="G810" s="135">
        <v>45694</v>
      </c>
      <c r="H810" s="134" t="s">
        <v>66</v>
      </c>
      <c r="I810" s="133" t="s">
        <v>119</v>
      </c>
      <c r="J810" s="111"/>
      <c r="K810" s="135">
        <v>45723</v>
      </c>
      <c r="L810" s="153">
        <f t="shared" si="38"/>
        <v>-196.03</v>
      </c>
      <c r="M810" s="111"/>
    </row>
    <row r="811" spans="1:13" customFormat="1" x14ac:dyDescent="0.35">
      <c r="A811" s="109">
        <v>45707</v>
      </c>
      <c r="B811" s="121" t="s">
        <v>65</v>
      </c>
      <c r="C811" s="121" t="s">
        <v>23</v>
      </c>
      <c r="D811" s="111"/>
      <c r="E811" s="121" t="s">
        <v>1072</v>
      </c>
      <c r="F811" s="153">
        <v>-184.25</v>
      </c>
      <c r="G811" s="135"/>
      <c r="H811" s="134" t="s">
        <v>66</v>
      </c>
      <c r="I811" s="133" t="s">
        <v>119</v>
      </c>
      <c r="J811" s="111"/>
      <c r="K811" s="135">
        <v>45723</v>
      </c>
      <c r="L811" s="153">
        <f t="shared" si="38"/>
        <v>-184.25</v>
      </c>
      <c r="M811" s="111"/>
    </row>
    <row r="812" spans="1:13" customFormat="1" x14ac:dyDescent="0.35">
      <c r="A812" s="109">
        <v>45726</v>
      </c>
      <c r="B812" s="111" t="s">
        <v>65</v>
      </c>
      <c r="C812" s="111" t="s">
        <v>23</v>
      </c>
      <c r="D812" s="111"/>
      <c r="E812" s="111" t="s">
        <v>1073</v>
      </c>
      <c r="F812" s="153">
        <v>-207.8</v>
      </c>
      <c r="G812" s="135"/>
      <c r="H812" s="133" t="s">
        <v>66</v>
      </c>
      <c r="I812" s="133" t="s">
        <v>119</v>
      </c>
      <c r="J812" s="111"/>
      <c r="K812" s="135">
        <v>45756</v>
      </c>
      <c r="L812" s="153">
        <f t="shared" si="38"/>
        <v>-207.8</v>
      </c>
      <c r="M812" s="111"/>
    </row>
    <row r="813" spans="1:13" customFormat="1" x14ac:dyDescent="0.35">
      <c r="A813" s="109">
        <v>45741</v>
      </c>
      <c r="B813" s="121" t="s">
        <v>65</v>
      </c>
      <c r="C813" s="121" t="s">
        <v>23</v>
      </c>
      <c r="D813" s="111"/>
      <c r="E813" s="121" t="s">
        <v>163</v>
      </c>
      <c r="F813" s="153">
        <v>-184.25</v>
      </c>
      <c r="G813" s="135"/>
      <c r="H813" s="133" t="s">
        <v>66</v>
      </c>
      <c r="I813" s="133" t="s">
        <v>119</v>
      </c>
      <c r="J813" s="111"/>
      <c r="K813" s="135">
        <v>45756</v>
      </c>
      <c r="L813" s="153">
        <f t="shared" si="38"/>
        <v>-184.25</v>
      </c>
      <c r="M813" s="111"/>
    </row>
    <row r="814" spans="1:13" customFormat="1" x14ac:dyDescent="0.35">
      <c r="A814" s="109">
        <v>45756</v>
      </c>
      <c r="B814" s="111" t="s">
        <v>65</v>
      </c>
      <c r="C814" s="111" t="s">
        <v>23</v>
      </c>
      <c r="D814" s="111"/>
      <c r="E814" s="111" t="s">
        <v>1074</v>
      </c>
      <c r="F814" s="153">
        <v>-207.8</v>
      </c>
      <c r="G814" s="135"/>
      <c r="H814" s="134" t="s">
        <v>66</v>
      </c>
      <c r="I814" s="133" t="s">
        <v>119</v>
      </c>
      <c r="J814" s="111"/>
      <c r="K814" s="135">
        <v>45783</v>
      </c>
      <c r="L814" s="153">
        <f t="shared" si="38"/>
        <v>-207.8</v>
      </c>
      <c r="M814" s="111"/>
    </row>
    <row r="815" spans="1:13" customFormat="1" x14ac:dyDescent="0.35">
      <c r="A815" s="109">
        <v>45769</v>
      </c>
      <c r="B815" s="111" t="s">
        <v>65</v>
      </c>
      <c r="C815" s="111" t="s">
        <v>23</v>
      </c>
      <c r="D815" s="111"/>
      <c r="E815" s="121" t="s">
        <v>1075</v>
      </c>
      <c r="F815" s="153">
        <v>-207.8</v>
      </c>
      <c r="G815" s="135"/>
      <c r="H815" s="134" t="s">
        <v>66</v>
      </c>
      <c r="I815" s="133" t="s">
        <v>119</v>
      </c>
      <c r="J815" s="111"/>
      <c r="K815" s="135">
        <v>45783</v>
      </c>
      <c r="L815" s="153"/>
      <c r="M815" s="111"/>
    </row>
    <row r="816" spans="1:13" customFormat="1" x14ac:dyDescent="0.35">
      <c r="A816" s="109">
        <v>45779</v>
      </c>
      <c r="B816" s="111" t="s">
        <v>65</v>
      </c>
      <c r="C816" s="111" t="s">
        <v>23</v>
      </c>
      <c r="D816" s="111"/>
      <c r="E816" s="121" t="s">
        <v>1076</v>
      </c>
      <c r="F816" s="153">
        <v>-184.25</v>
      </c>
      <c r="G816" s="135">
        <v>45809</v>
      </c>
      <c r="H816" s="133" t="s">
        <v>66</v>
      </c>
      <c r="I816" s="133" t="s">
        <v>119</v>
      </c>
      <c r="J816" s="111"/>
      <c r="K816" s="135">
        <v>45813</v>
      </c>
      <c r="L816" s="153">
        <f>F816</f>
        <v>-184.25</v>
      </c>
      <c r="M816" s="111"/>
    </row>
    <row r="817" spans="1:13" customFormat="1" x14ac:dyDescent="0.35">
      <c r="A817" s="109">
        <v>45797</v>
      </c>
      <c r="B817" s="111" t="s">
        <v>65</v>
      </c>
      <c r="C817" s="111" t="s">
        <v>23</v>
      </c>
      <c r="D817" s="111"/>
      <c r="E817" s="111" t="s">
        <v>169</v>
      </c>
      <c r="F817" s="153">
        <v>-184.25</v>
      </c>
      <c r="G817" s="135">
        <v>45798</v>
      </c>
      <c r="H817" s="133" t="s">
        <v>66</v>
      </c>
      <c r="I817" s="133" t="s">
        <v>119</v>
      </c>
      <c r="J817" s="111"/>
      <c r="K817" s="135">
        <v>45813</v>
      </c>
      <c r="L817" s="153">
        <f>F817</f>
        <v>-184.25</v>
      </c>
      <c r="M817" s="111"/>
    </row>
    <row r="818" spans="1:13" customFormat="1" x14ac:dyDescent="0.35">
      <c r="A818" s="109">
        <v>45789</v>
      </c>
      <c r="B818" s="111" t="s">
        <v>65</v>
      </c>
      <c r="C818" s="111" t="s">
        <v>23</v>
      </c>
      <c r="D818" s="111"/>
      <c r="E818" s="111" t="s">
        <v>1077</v>
      </c>
      <c r="F818" s="153">
        <v>-184.25</v>
      </c>
      <c r="G818" s="133"/>
      <c r="H818" s="133" t="s">
        <v>66</v>
      </c>
      <c r="I818" s="133" t="s">
        <v>119</v>
      </c>
      <c r="J818" s="111"/>
      <c r="K818" s="135">
        <v>45813</v>
      </c>
      <c r="L818" s="111">
        <f>F818</f>
        <v>-184.25</v>
      </c>
      <c r="M818" s="111"/>
    </row>
    <row r="819" spans="1:13" customFormat="1" x14ac:dyDescent="0.35">
      <c r="A819" s="109">
        <v>45819</v>
      </c>
      <c r="B819" s="111" t="s">
        <v>65</v>
      </c>
      <c r="C819" s="111" t="s">
        <v>23</v>
      </c>
      <c r="D819" s="111"/>
      <c r="E819" s="111" t="s">
        <v>1078</v>
      </c>
      <c r="F819" s="153">
        <v>-184.25</v>
      </c>
      <c r="G819" s="133"/>
      <c r="H819" s="133" t="s">
        <v>66</v>
      </c>
      <c r="I819" s="133" t="s">
        <v>119</v>
      </c>
      <c r="J819" s="111"/>
      <c r="K819" s="135">
        <v>45840</v>
      </c>
      <c r="L819" s="111"/>
      <c r="M819" s="111"/>
    </row>
    <row r="820" spans="1:13" customFormat="1" x14ac:dyDescent="0.35">
      <c r="A820" s="109">
        <v>45828</v>
      </c>
      <c r="B820" s="111" t="s">
        <v>65</v>
      </c>
      <c r="C820" s="111" t="s">
        <v>23</v>
      </c>
      <c r="D820" s="111"/>
      <c r="E820" s="111" t="s">
        <v>1079</v>
      </c>
      <c r="F820" s="153">
        <v>-304.77</v>
      </c>
      <c r="G820" s="135">
        <v>45829</v>
      </c>
      <c r="H820" s="133" t="s">
        <v>66</v>
      </c>
      <c r="I820" s="133" t="s">
        <v>119</v>
      </c>
      <c r="J820" s="111"/>
      <c r="K820" s="135">
        <v>45840</v>
      </c>
      <c r="L820" s="111"/>
      <c r="M820" s="111"/>
    </row>
    <row r="821" spans="1:13" customFormat="1" x14ac:dyDescent="0.35">
      <c r="A821" s="109">
        <v>45833</v>
      </c>
      <c r="B821" s="111" t="s">
        <v>65</v>
      </c>
      <c r="C821" s="111" t="s">
        <v>23</v>
      </c>
      <c r="D821" s="111"/>
      <c r="E821" s="111" t="s">
        <v>1080</v>
      </c>
      <c r="F821" s="153">
        <v>-242.24</v>
      </c>
      <c r="G821" s="135">
        <v>45834</v>
      </c>
      <c r="H821" s="134" t="s">
        <v>66</v>
      </c>
      <c r="I821" s="133" t="s">
        <v>119</v>
      </c>
      <c r="J821" s="111"/>
      <c r="K821" s="135">
        <v>45862</v>
      </c>
      <c r="L821" s="111"/>
      <c r="M821" s="111"/>
    </row>
    <row r="822" spans="1:13" customFormat="1" x14ac:dyDescent="0.35">
      <c r="A822" s="109">
        <v>45846</v>
      </c>
      <c r="B822" s="111" t="s">
        <v>65</v>
      </c>
      <c r="C822" s="111" t="s">
        <v>23</v>
      </c>
      <c r="D822" s="111"/>
      <c r="E822" s="111" t="s">
        <v>1081</v>
      </c>
      <c r="F822" s="153">
        <v>-242.24</v>
      </c>
      <c r="G822" s="133"/>
      <c r="H822" s="133" t="s">
        <v>66</v>
      </c>
      <c r="I822" s="133" t="s">
        <v>119</v>
      </c>
      <c r="J822" s="111"/>
      <c r="K822" s="135">
        <v>45876</v>
      </c>
      <c r="L822" s="111"/>
      <c r="M822" s="196"/>
    </row>
    <row r="823" spans="1:13" customFormat="1" x14ac:dyDescent="0.35">
      <c r="A823" s="109">
        <v>45863</v>
      </c>
      <c r="B823" s="111" t="s">
        <v>65</v>
      </c>
      <c r="C823" s="111" t="s">
        <v>23</v>
      </c>
      <c r="D823" s="111"/>
      <c r="E823" s="111" t="s">
        <v>1082</v>
      </c>
      <c r="F823" s="153">
        <v>-242.24</v>
      </c>
      <c r="G823" s="133"/>
      <c r="H823" s="133" t="s">
        <v>66</v>
      </c>
      <c r="I823" s="133" t="s">
        <v>119</v>
      </c>
      <c r="J823" s="111"/>
      <c r="K823" s="135">
        <v>45876</v>
      </c>
      <c r="L823" s="111"/>
      <c r="M823" s="196"/>
    </row>
    <row r="824" spans="1:13" customFormat="1" x14ac:dyDescent="0.35">
      <c r="A824" s="109">
        <v>45852</v>
      </c>
      <c r="B824" s="111" t="s">
        <v>65</v>
      </c>
      <c r="C824" s="111" t="s">
        <v>23</v>
      </c>
      <c r="D824" s="111"/>
      <c r="E824" s="111" t="s">
        <v>1083</v>
      </c>
      <c r="F824" s="153">
        <v>-430.65</v>
      </c>
      <c r="G824" s="133"/>
      <c r="H824" s="133" t="s">
        <v>66</v>
      </c>
      <c r="I824" s="133" t="s">
        <v>119</v>
      </c>
      <c r="J824" s="111"/>
      <c r="K824" s="135">
        <v>45876</v>
      </c>
      <c r="L824" s="111"/>
      <c r="M824" s="196"/>
    </row>
    <row r="825" spans="1:13" customFormat="1" x14ac:dyDescent="0.35">
      <c r="A825" s="109">
        <v>45881</v>
      </c>
      <c r="B825" s="111" t="s">
        <v>65</v>
      </c>
      <c r="C825" s="121" t="s">
        <v>23</v>
      </c>
      <c r="D825" s="111"/>
      <c r="E825" s="121" t="s">
        <v>1084</v>
      </c>
      <c r="F825" s="153">
        <v>-215.32</v>
      </c>
      <c r="G825" s="135">
        <v>45911</v>
      </c>
      <c r="H825" s="133" t="s">
        <v>66</v>
      </c>
      <c r="I825" s="133" t="s">
        <v>119</v>
      </c>
      <c r="J825" s="111"/>
      <c r="K825" s="135">
        <v>45911</v>
      </c>
      <c r="L825" s="111"/>
      <c r="M825" s="196"/>
    </row>
    <row r="826" spans="1:13" customFormat="1" x14ac:dyDescent="0.35">
      <c r="A826" s="109">
        <v>374606</v>
      </c>
      <c r="B826" s="111" t="s">
        <v>65</v>
      </c>
      <c r="C826" s="111" t="s">
        <v>23</v>
      </c>
      <c r="D826" s="111"/>
      <c r="E826" s="111" t="s">
        <v>1085</v>
      </c>
      <c r="F826" s="153">
        <v>-255.69</v>
      </c>
      <c r="G826" s="135">
        <v>45918</v>
      </c>
      <c r="H826" s="134" t="s">
        <v>66</v>
      </c>
      <c r="I826" s="133" t="s">
        <v>119</v>
      </c>
      <c r="J826" s="111"/>
      <c r="K826" s="135">
        <v>45918</v>
      </c>
      <c r="L826" s="111"/>
      <c r="M826" s="196"/>
    </row>
    <row r="827" spans="1:13" customFormat="1" x14ac:dyDescent="0.35">
      <c r="A827" s="109">
        <v>45911</v>
      </c>
      <c r="B827" s="121" t="s">
        <v>65</v>
      </c>
      <c r="C827" s="121" t="s">
        <v>23</v>
      </c>
      <c r="D827" s="111"/>
      <c r="E827" s="121" t="s">
        <v>1086</v>
      </c>
      <c r="F827" s="153">
        <v>-430.65</v>
      </c>
      <c r="G827" s="135">
        <f>A827+30</f>
        <v>45941</v>
      </c>
      <c r="H827" s="134" t="s">
        <v>66</v>
      </c>
      <c r="I827" s="133" t="s">
        <v>119</v>
      </c>
      <c r="J827" s="111"/>
      <c r="K827" s="135">
        <v>45940</v>
      </c>
      <c r="L827" s="111"/>
      <c r="M827" s="196"/>
    </row>
    <row r="828" spans="1:13" customFormat="1" x14ac:dyDescent="0.35">
      <c r="A828" s="109">
        <v>45931</v>
      </c>
      <c r="B828" s="121" t="s">
        <v>65</v>
      </c>
      <c r="C828" s="121" t="s">
        <v>23</v>
      </c>
      <c r="D828" s="111"/>
      <c r="E828" s="121" t="s">
        <v>1087</v>
      </c>
      <c r="F828" s="153">
        <v>-215.32</v>
      </c>
      <c r="G828" s="135">
        <f>A828+30</f>
        <v>45961</v>
      </c>
      <c r="H828" s="133" t="s">
        <v>66</v>
      </c>
      <c r="I828" s="134" t="s">
        <v>829</v>
      </c>
      <c r="J828" s="111"/>
      <c r="K828" s="135">
        <v>45961</v>
      </c>
      <c r="L828" s="111"/>
      <c r="M828" s="196"/>
    </row>
    <row r="829" spans="1:13" customFormat="1" x14ac:dyDescent="0.35">
      <c r="A829" s="109">
        <v>45939</v>
      </c>
      <c r="B829" s="111" t="s">
        <v>65</v>
      </c>
      <c r="C829" s="121" t="s">
        <v>23</v>
      </c>
      <c r="D829" s="111"/>
      <c r="E829" s="121" t="s">
        <v>1088</v>
      </c>
      <c r="F829" s="153">
        <v>-215.32</v>
      </c>
      <c r="G829" s="135">
        <f>A829+30</f>
        <v>45969</v>
      </c>
      <c r="H829" s="133" t="s">
        <v>66</v>
      </c>
      <c r="I829" s="134" t="s">
        <v>633</v>
      </c>
      <c r="J829" s="111"/>
      <c r="K829" s="135">
        <v>45971</v>
      </c>
      <c r="L829" s="111"/>
      <c r="M829" s="196"/>
    </row>
    <row r="830" spans="1:13" customFormat="1" x14ac:dyDescent="0.35">
      <c r="A830" s="109">
        <v>45950</v>
      </c>
      <c r="B830" s="111" t="s">
        <v>65</v>
      </c>
      <c r="C830" s="111" t="s">
        <v>23</v>
      </c>
      <c r="D830" s="111"/>
      <c r="E830" s="121" t="s">
        <v>1089</v>
      </c>
      <c r="F830" s="153">
        <v>-215.32</v>
      </c>
      <c r="G830" s="135">
        <f>A830+30</f>
        <v>45980</v>
      </c>
      <c r="H830" s="134" t="s">
        <v>66</v>
      </c>
      <c r="I830" s="133" t="s">
        <v>829</v>
      </c>
      <c r="J830" s="111"/>
      <c r="K830" s="135">
        <v>45980</v>
      </c>
      <c r="L830" s="111"/>
      <c r="M830" s="196"/>
    </row>
    <row r="831" spans="1:13" customFormat="1" x14ac:dyDescent="0.35">
      <c r="A831" s="109">
        <v>45665</v>
      </c>
      <c r="B831" s="121" t="s">
        <v>65</v>
      </c>
      <c r="C831" s="121" t="s">
        <v>15</v>
      </c>
      <c r="D831" s="111"/>
      <c r="E831" s="111"/>
      <c r="F831" s="150">
        <v>-49</v>
      </c>
      <c r="G831" s="135">
        <v>45665</v>
      </c>
      <c r="H831" s="152" t="s">
        <v>332</v>
      </c>
      <c r="I831" s="134" t="s">
        <v>119</v>
      </c>
      <c r="J831" s="111"/>
      <c r="K831" s="135">
        <v>45665</v>
      </c>
      <c r="L831" s="153">
        <v>-49</v>
      </c>
      <c r="M831" s="111"/>
    </row>
    <row r="832" spans="1:13" customFormat="1" x14ac:dyDescent="0.35">
      <c r="A832" s="109">
        <v>45696</v>
      </c>
      <c r="B832" s="121" t="s">
        <v>65</v>
      </c>
      <c r="C832" s="121" t="s">
        <v>15</v>
      </c>
      <c r="D832" s="111"/>
      <c r="E832" s="111"/>
      <c r="F832" s="139">
        <v>-49</v>
      </c>
      <c r="G832" s="135">
        <v>45696</v>
      </c>
      <c r="H832" s="166" t="s">
        <v>332</v>
      </c>
      <c r="I832" s="134" t="s">
        <v>119</v>
      </c>
      <c r="J832" s="111"/>
      <c r="K832" s="135">
        <v>45696</v>
      </c>
      <c r="L832" s="153">
        <v>-49</v>
      </c>
      <c r="M832" s="111"/>
    </row>
    <row r="833" spans="1:13" customFormat="1" x14ac:dyDescent="0.35">
      <c r="A833" s="109">
        <v>45724</v>
      </c>
      <c r="B833" s="121" t="s">
        <v>65</v>
      </c>
      <c r="C833" s="121" t="s">
        <v>15</v>
      </c>
      <c r="D833" s="111"/>
      <c r="E833" s="111"/>
      <c r="F833" s="139">
        <v>-49</v>
      </c>
      <c r="G833" s="135">
        <v>45724</v>
      </c>
      <c r="H833" s="166" t="s">
        <v>332</v>
      </c>
      <c r="I833" s="134" t="s">
        <v>119</v>
      </c>
      <c r="J833" s="111"/>
      <c r="K833" s="135">
        <v>45724</v>
      </c>
      <c r="L833" s="153">
        <v>-49</v>
      </c>
      <c r="M833" s="111"/>
    </row>
    <row r="834" spans="1:13" customFormat="1" x14ac:dyDescent="0.35">
      <c r="A834" s="109">
        <v>45755</v>
      </c>
      <c r="B834" s="121" t="s">
        <v>65</v>
      </c>
      <c r="C834" s="121" t="s">
        <v>15</v>
      </c>
      <c r="D834" s="111"/>
      <c r="E834" s="111"/>
      <c r="F834" s="139">
        <v>-49</v>
      </c>
      <c r="G834" s="135">
        <v>45755</v>
      </c>
      <c r="H834" s="166" t="s">
        <v>332</v>
      </c>
      <c r="I834" s="134" t="s">
        <v>119</v>
      </c>
      <c r="J834" s="111"/>
      <c r="K834" s="135">
        <v>45755</v>
      </c>
      <c r="L834" s="153">
        <v>-49</v>
      </c>
      <c r="M834" s="111"/>
    </row>
    <row r="835" spans="1:13" customFormat="1" x14ac:dyDescent="0.35">
      <c r="A835" s="109">
        <v>45785</v>
      </c>
      <c r="B835" s="121" t="s">
        <v>65</v>
      </c>
      <c r="C835" s="121" t="s">
        <v>15</v>
      </c>
      <c r="D835" s="111"/>
      <c r="E835" s="111"/>
      <c r="F835" s="139">
        <v>-49</v>
      </c>
      <c r="G835" s="135">
        <v>45785</v>
      </c>
      <c r="H835" s="166" t="s">
        <v>332</v>
      </c>
      <c r="I835" s="134" t="s">
        <v>119</v>
      </c>
      <c r="J835" s="111"/>
      <c r="K835" s="135">
        <v>45785</v>
      </c>
      <c r="L835" s="153">
        <v>-49</v>
      </c>
      <c r="M835" s="111"/>
    </row>
    <row r="836" spans="1:13" customFormat="1" x14ac:dyDescent="0.35">
      <c r="A836" s="109">
        <v>45816</v>
      </c>
      <c r="B836" s="121" t="s">
        <v>65</v>
      </c>
      <c r="C836" s="121" t="s">
        <v>15</v>
      </c>
      <c r="D836" s="111"/>
      <c r="E836" s="111"/>
      <c r="F836" s="139">
        <v>-49</v>
      </c>
      <c r="G836" s="135">
        <v>45816</v>
      </c>
      <c r="H836" s="166" t="s">
        <v>332</v>
      </c>
      <c r="I836" s="134" t="s">
        <v>119</v>
      </c>
      <c r="J836" s="111"/>
      <c r="K836" s="135">
        <v>45816</v>
      </c>
      <c r="L836" s="153">
        <v>-49</v>
      </c>
      <c r="M836" s="111"/>
    </row>
    <row r="837" spans="1:13" customFormat="1" x14ac:dyDescent="0.35">
      <c r="A837" s="109">
        <v>45846</v>
      </c>
      <c r="B837" s="121" t="s">
        <v>65</v>
      </c>
      <c r="C837" s="121" t="s">
        <v>15</v>
      </c>
      <c r="D837" s="111"/>
      <c r="E837" s="111"/>
      <c r="F837" s="139">
        <v>-49</v>
      </c>
      <c r="G837" s="135">
        <v>45846</v>
      </c>
      <c r="H837" s="166" t="s">
        <v>332</v>
      </c>
      <c r="I837" s="134" t="s">
        <v>119</v>
      </c>
      <c r="J837" s="111"/>
      <c r="K837" s="135">
        <v>45846</v>
      </c>
      <c r="L837" s="153">
        <v>-49</v>
      </c>
      <c r="M837" s="111"/>
    </row>
    <row r="838" spans="1:13" customFormat="1" x14ac:dyDescent="0.35">
      <c r="A838" s="109">
        <v>45877</v>
      </c>
      <c r="B838" s="121" t="s">
        <v>65</v>
      </c>
      <c r="C838" s="121" t="s">
        <v>15</v>
      </c>
      <c r="D838" s="111"/>
      <c r="E838" s="111"/>
      <c r="F838" s="139">
        <v>-49</v>
      </c>
      <c r="G838" s="135">
        <v>45877</v>
      </c>
      <c r="H838" s="166" t="s">
        <v>332</v>
      </c>
      <c r="I838" s="134" t="s">
        <v>119</v>
      </c>
      <c r="J838" s="111"/>
      <c r="K838" s="135">
        <v>45877</v>
      </c>
      <c r="L838" s="153">
        <v>-49</v>
      </c>
      <c r="M838" s="111"/>
    </row>
    <row r="839" spans="1:13" customFormat="1" x14ac:dyDescent="0.35">
      <c r="A839" s="109">
        <v>45908</v>
      </c>
      <c r="B839" s="121" t="s">
        <v>65</v>
      </c>
      <c r="C839" s="121" t="s">
        <v>15</v>
      </c>
      <c r="D839" s="111"/>
      <c r="E839" s="111"/>
      <c r="F839" s="139">
        <v>-49</v>
      </c>
      <c r="G839" s="135">
        <v>45908</v>
      </c>
      <c r="H839" s="166" t="s">
        <v>332</v>
      </c>
      <c r="I839" s="134" t="s">
        <v>119</v>
      </c>
      <c r="J839" s="111"/>
      <c r="K839" s="135">
        <v>45908</v>
      </c>
      <c r="L839" s="153">
        <v>-49</v>
      </c>
      <c r="M839" s="111"/>
    </row>
    <row r="840" spans="1:13" customFormat="1" x14ac:dyDescent="0.35">
      <c r="A840" s="109">
        <v>45938</v>
      </c>
      <c r="B840" s="121" t="s">
        <v>65</v>
      </c>
      <c r="C840" s="121" t="s">
        <v>15</v>
      </c>
      <c r="D840" s="111"/>
      <c r="E840" s="111"/>
      <c r="F840" s="139">
        <v>-49</v>
      </c>
      <c r="G840" s="135">
        <v>45938</v>
      </c>
      <c r="H840" s="166" t="s">
        <v>332</v>
      </c>
      <c r="I840" s="134" t="s">
        <v>119</v>
      </c>
      <c r="J840" s="111"/>
      <c r="K840" s="135">
        <v>45938</v>
      </c>
      <c r="L840" s="153">
        <v>-49</v>
      </c>
      <c r="M840" s="111"/>
    </row>
    <row r="841" spans="1:13" customFormat="1" x14ac:dyDescent="0.35">
      <c r="A841" s="109">
        <v>45969</v>
      </c>
      <c r="B841" s="121" t="s">
        <v>65</v>
      </c>
      <c r="C841" s="121" t="s">
        <v>15</v>
      </c>
      <c r="D841" s="111"/>
      <c r="E841" s="111"/>
      <c r="F841" s="139">
        <v>-49</v>
      </c>
      <c r="G841" s="135">
        <v>45969</v>
      </c>
      <c r="H841" s="166" t="s">
        <v>332</v>
      </c>
      <c r="I841" s="134" t="s">
        <v>119</v>
      </c>
      <c r="J841" s="111"/>
      <c r="K841" s="135">
        <v>45969</v>
      </c>
      <c r="L841" s="153">
        <v>-49</v>
      </c>
      <c r="M841" s="111"/>
    </row>
    <row r="842" spans="1:13" customFormat="1" x14ac:dyDescent="0.35">
      <c r="A842" s="109">
        <v>45999</v>
      </c>
      <c r="B842" s="121" t="s">
        <v>65</v>
      </c>
      <c r="C842" s="121" t="s">
        <v>15</v>
      </c>
      <c r="D842" s="111"/>
      <c r="E842" s="111"/>
      <c r="F842" s="139">
        <v>-49</v>
      </c>
      <c r="G842" s="135">
        <v>45999</v>
      </c>
      <c r="H842" s="166" t="s">
        <v>332</v>
      </c>
      <c r="I842" s="134" t="s">
        <v>119</v>
      </c>
      <c r="J842" s="111"/>
      <c r="K842" s="135">
        <v>45999</v>
      </c>
      <c r="L842" s="153">
        <v>-49</v>
      </c>
      <c r="M842" s="111"/>
    </row>
    <row r="843" spans="1:13" customFormat="1" x14ac:dyDescent="0.35">
      <c r="A843" s="109">
        <v>45959</v>
      </c>
      <c r="B843" s="111" t="s">
        <v>65</v>
      </c>
      <c r="C843" s="111" t="s">
        <v>23</v>
      </c>
      <c r="D843" s="111"/>
      <c r="E843" s="111" t="s">
        <v>1090</v>
      </c>
      <c r="F843" s="153">
        <v>-42.36</v>
      </c>
      <c r="G843" s="135">
        <f>A843+30</f>
        <v>45989</v>
      </c>
      <c r="H843" s="133" t="s">
        <v>66</v>
      </c>
      <c r="I843" s="133" t="s">
        <v>170</v>
      </c>
      <c r="J843" s="111"/>
      <c r="K843" s="135">
        <v>45989</v>
      </c>
      <c r="L843" s="111"/>
      <c r="M843" s="196"/>
    </row>
    <row r="844" spans="1:13" customFormat="1" x14ac:dyDescent="0.35">
      <c r="A844" s="109">
        <v>45964</v>
      </c>
      <c r="B844" s="111" t="s">
        <v>65</v>
      </c>
      <c r="C844" s="111" t="s">
        <v>23</v>
      </c>
      <c r="D844" s="111"/>
      <c r="E844" s="218" t="s">
        <v>1091</v>
      </c>
      <c r="F844" s="153">
        <v>-242.24</v>
      </c>
      <c r="G844" s="135">
        <f>A844+30</f>
        <v>45994</v>
      </c>
      <c r="H844" s="134" t="s">
        <v>66</v>
      </c>
      <c r="I844" s="133" t="s">
        <v>829</v>
      </c>
      <c r="J844" s="111"/>
      <c r="K844" s="135">
        <v>45994</v>
      </c>
      <c r="L844" s="111"/>
      <c r="M844" s="196"/>
    </row>
    <row r="845" spans="1:13" customFormat="1" x14ac:dyDescent="0.35">
      <c r="A845" s="109">
        <v>45995</v>
      </c>
      <c r="B845" s="111" t="s">
        <v>65</v>
      </c>
      <c r="C845" s="111" t="s">
        <v>23</v>
      </c>
      <c r="D845" s="111"/>
      <c r="E845" s="111" t="s">
        <v>1092</v>
      </c>
      <c r="F845" s="153">
        <v>-215.32</v>
      </c>
      <c r="G845" s="135">
        <v>45661</v>
      </c>
      <c r="H845" s="133" t="s">
        <v>66</v>
      </c>
      <c r="I845" s="133" t="s">
        <v>1093</v>
      </c>
      <c r="J845" s="111"/>
      <c r="K845" s="160">
        <v>46027</v>
      </c>
      <c r="L845" s="111"/>
      <c r="M845" s="196"/>
    </row>
    <row r="846" spans="1:13" customFormat="1" x14ac:dyDescent="0.35">
      <c r="A846" s="109">
        <v>46008</v>
      </c>
      <c r="B846" s="111" t="s">
        <v>65</v>
      </c>
      <c r="C846" s="111" t="s">
        <v>23</v>
      </c>
      <c r="D846" s="111"/>
      <c r="E846" s="111" t="s">
        <v>1094</v>
      </c>
      <c r="F846" s="153">
        <v>-242.24</v>
      </c>
      <c r="G846" s="135">
        <v>46038</v>
      </c>
      <c r="H846" s="133" t="s">
        <v>66</v>
      </c>
      <c r="I846" s="133" t="s">
        <v>769</v>
      </c>
      <c r="J846" s="111"/>
      <c r="K846" s="160">
        <v>46038</v>
      </c>
      <c r="L846" s="111"/>
      <c r="M846" s="196"/>
    </row>
    <row r="847" spans="1:13" customFormat="1" x14ac:dyDescent="0.35">
      <c r="A847" s="176">
        <v>46028</v>
      </c>
      <c r="B847" s="140" t="s">
        <v>65</v>
      </c>
      <c r="C847" s="140" t="s">
        <v>23</v>
      </c>
      <c r="D847" s="140"/>
      <c r="E847" s="140" t="s">
        <v>1095</v>
      </c>
      <c r="F847" s="174">
        <v>-215.32</v>
      </c>
      <c r="G847" s="245">
        <v>46058</v>
      </c>
      <c r="H847" s="175" t="s">
        <v>66</v>
      </c>
      <c r="I847" s="142" t="s">
        <v>769</v>
      </c>
      <c r="J847" s="111"/>
      <c r="K847" s="160">
        <v>46062</v>
      </c>
      <c r="L847" s="111"/>
      <c r="M847" s="196"/>
    </row>
    <row r="848" spans="1:13" customFormat="1" x14ac:dyDescent="0.35">
      <c r="A848" s="109">
        <v>46072</v>
      </c>
      <c r="B848" s="111" t="s">
        <v>57</v>
      </c>
      <c r="C848" s="111" t="s">
        <v>1096</v>
      </c>
      <c r="D848" s="111" t="s">
        <v>550</v>
      </c>
      <c r="E848" s="111" t="s">
        <v>1097</v>
      </c>
      <c r="F848" s="153">
        <v>292.60000000000002</v>
      </c>
      <c r="G848" s="135">
        <v>46074</v>
      </c>
      <c r="H848" s="133" t="s">
        <v>66</v>
      </c>
      <c r="I848" s="133" t="s">
        <v>135</v>
      </c>
      <c r="J848" s="111"/>
      <c r="K848" s="160">
        <v>46091</v>
      </c>
      <c r="L848" s="111"/>
      <c r="M848" s="196"/>
    </row>
    <row r="849" spans="1:13" customFormat="1" x14ac:dyDescent="0.35">
      <c r="A849" s="109">
        <v>46072</v>
      </c>
      <c r="B849" s="111" t="s">
        <v>65</v>
      </c>
      <c r="C849" s="111" t="s">
        <v>496</v>
      </c>
      <c r="D849" s="111"/>
      <c r="E849" s="218" t="s">
        <v>1098</v>
      </c>
      <c r="F849" s="153">
        <v>-167.08</v>
      </c>
      <c r="G849" s="135">
        <v>46087</v>
      </c>
      <c r="H849" s="133" t="s">
        <v>59</v>
      </c>
      <c r="I849" s="133" t="s">
        <v>145</v>
      </c>
      <c r="J849" s="111"/>
      <c r="K849" s="160"/>
      <c r="L849" s="111"/>
      <c r="M849" s="196"/>
    </row>
    <row r="850" spans="1:13" customFormat="1" x14ac:dyDescent="0.35">
      <c r="A850" s="109">
        <v>45569</v>
      </c>
      <c r="B850" s="111" t="s">
        <v>65</v>
      </c>
      <c r="C850" s="111" t="s">
        <v>1099</v>
      </c>
      <c r="D850" s="111"/>
      <c r="E850" s="111" t="s">
        <v>1100</v>
      </c>
      <c r="F850" s="131">
        <v>-184.25</v>
      </c>
      <c r="G850" s="135"/>
      <c r="H850" s="133" t="s">
        <v>66</v>
      </c>
      <c r="I850" s="133" t="s">
        <v>119</v>
      </c>
      <c r="J850" s="111"/>
      <c r="K850" s="135">
        <v>45423</v>
      </c>
      <c r="L850" s="153">
        <f>F850</f>
        <v>-184.25</v>
      </c>
      <c r="M850" s="111" t="s">
        <v>1058</v>
      </c>
    </row>
    <row r="851" spans="1:13" customFormat="1" x14ac:dyDescent="0.35">
      <c r="A851" s="109">
        <v>45761</v>
      </c>
      <c r="B851" s="121" t="s">
        <v>65</v>
      </c>
      <c r="C851" s="121" t="s">
        <v>32</v>
      </c>
      <c r="D851" s="111"/>
      <c r="E851" s="121" t="s">
        <v>1101</v>
      </c>
      <c r="F851" s="153">
        <v>-279.41000000000003</v>
      </c>
      <c r="G851" s="135"/>
      <c r="H851" s="134" t="s">
        <v>66</v>
      </c>
      <c r="I851" s="133" t="s">
        <v>119</v>
      </c>
      <c r="J851" s="111"/>
      <c r="K851" s="135">
        <v>45762</v>
      </c>
      <c r="L851" s="153">
        <f>F851</f>
        <v>-279.41000000000003</v>
      </c>
      <c r="M851" s="111" t="s">
        <v>1102</v>
      </c>
    </row>
    <row r="852" spans="1:13" customFormat="1" x14ac:dyDescent="0.35">
      <c r="A852" s="109">
        <v>45783</v>
      </c>
      <c r="B852" s="111" t="s">
        <v>65</v>
      </c>
      <c r="C852" s="111" t="s">
        <v>32</v>
      </c>
      <c r="D852" s="111"/>
      <c r="E852" s="111" t="s">
        <v>1103</v>
      </c>
      <c r="F852" s="153">
        <v>-20.07</v>
      </c>
      <c r="G852" s="135">
        <v>45813</v>
      </c>
      <c r="H852" s="133" t="s">
        <v>66</v>
      </c>
      <c r="I852" s="133" t="s">
        <v>119</v>
      </c>
      <c r="J852" s="111"/>
      <c r="K852" s="135">
        <v>45813</v>
      </c>
      <c r="L852" s="153">
        <f>F852</f>
        <v>-20.07</v>
      </c>
      <c r="M852" s="111"/>
    </row>
    <row r="853" spans="1:13" customFormat="1" x14ac:dyDescent="0.35">
      <c r="A853" s="109">
        <v>45806</v>
      </c>
      <c r="B853" s="111" t="s">
        <v>65</v>
      </c>
      <c r="C853" s="111" t="s">
        <v>32</v>
      </c>
      <c r="D853" s="111"/>
      <c r="E853" s="111" t="s">
        <v>1104</v>
      </c>
      <c r="F853" s="153">
        <v>-189.3</v>
      </c>
      <c r="G853" s="133"/>
      <c r="H853" s="133" t="s">
        <v>66</v>
      </c>
      <c r="I853" s="133" t="s">
        <v>119</v>
      </c>
      <c r="J853" s="111"/>
      <c r="K853" s="135">
        <v>45813</v>
      </c>
      <c r="L853" s="111">
        <f>F853</f>
        <v>-189.3</v>
      </c>
      <c r="M853" s="111"/>
    </row>
    <row r="854" spans="1:13" customFormat="1" x14ac:dyDescent="0.35">
      <c r="A854" s="109">
        <v>45824</v>
      </c>
      <c r="B854" s="111" t="s">
        <v>65</v>
      </c>
      <c r="C854" s="111" t="s">
        <v>32</v>
      </c>
      <c r="D854" s="111"/>
      <c r="E854" s="111" t="s">
        <v>1105</v>
      </c>
      <c r="F854" s="153">
        <v>-164.94</v>
      </c>
      <c r="G854" s="133"/>
      <c r="H854" s="133" t="s">
        <v>66</v>
      </c>
      <c r="I854" s="133" t="s">
        <v>119</v>
      </c>
      <c r="J854" s="111"/>
      <c r="K854" s="135">
        <v>45833</v>
      </c>
      <c r="L854" s="153">
        <f>F854</f>
        <v>-164.94</v>
      </c>
      <c r="M854" s="111"/>
    </row>
    <row r="855" spans="1:13" customFormat="1" x14ac:dyDescent="0.35">
      <c r="A855" s="109">
        <v>45846</v>
      </c>
      <c r="B855" s="111" t="s">
        <v>65</v>
      </c>
      <c r="C855" s="111" t="s">
        <v>32</v>
      </c>
      <c r="D855" s="111"/>
      <c r="E855" s="111" t="s">
        <v>1106</v>
      </c>
      <c r="F855" s="153">
        <v>-81.03</v>
      </c>
      <c r="G855" s="133"/>
      <c r="H855" s="133" t="s">
        <v>66</v>
      </c>
      <c r="I855" s="133" t="s">
        <v>119</v>
      </c>
      <c r="J855" s="111"/>
      <c r="K855" s="135">
        <v>45866</v>
      </c>
      <c r="L855" s="111"/>
      <c r="M855" s="196"/>
    </row>
    <row r="856" spans="1:13" customFormat="1" x14ac:dyDescent="0.35">
      <c r="A856" s="109">
        <v>45866</v>
      </c>
      <c r="B856" s="111" t="s">
        <v>65</v>
      </c>
      <c r="C856" s="121" t="s">
        <v>32</v>
      </c>
      <c r="D856" s="111"/>
      <c r="E856" s="121" t="s">
        <v>1107</v>
      </c>
      <c r="F856" s="153">
        <v>-243.72</v>
      </c>
      <c r="G856" s="135">
        <v>45896</v>
      </c>
      <c r="H856" s="133" t="s">
        <v>66</v>
      </c>
      <c r="I856" s="133" t="s">
        <v>119</v>
      </c>
      <c r="J856" s="111"/>
      <c r="K856" s="135">
        <v>45896</v>
      </c>
      <c r="L856" s="111"/>
      <c r="M856" s="196"/>
    </row>
    <row r="857" spans="1:13" customFormat="1" x14ac:dyDescent="0.35">
      <c r="A857" s="109">
        <v>45882</v>
      </c>
      <c r="B857" s="111" t="s">
        <v>65</v>
      </c>
      <c r="C857" s="121" t="s">
        <v>32</v>
      </c>
      <c r="D857" s="111"/>
      <c r="E857" s="121" t="s">
        <v>1108</v>
      </c>
      <c r="F857" s="153">
        <v>-69</v>
      </c>
      <c r="G857" s="135">
        <v>45912</v>
      </c>
      <c r="H857" s="133" t="s">
        <v>66</v>
      </c>
      <c r="I857" s="133" t="s">
        <v>119</v>
      </c>
      <c r="J857" s="111"/>
      <c r="K857" s="135">
        <v>45911</v>
      </c>
      <c r="L857" s="111"/>
      <c r="M857" s="196"/>
    </row>
    <row r="858" spans="1:13" customFormat="1" x14ac:dyDescent="0.35">
      <c r="A858" s="109">
        <v>45883</v>
      </c>
      <c r="B858" s="111" t="s">
        <v>65</v>
      </c>
      <c r="C858" s="121" t="s">
        <v>32</v>
      </c>
      <c r="D858" s="111"/>
      <c r="E858" s="121" t="s">
        <v>1109</v>
      </c>
      <c r="F858" s="153">
        <v>20.260000000000002</v>
      </c>
      <c r="G858" s="135">
        <v>45912</v>
      </c>
      <c r="H858" s="133" t="s">
        <v>66</v>
      </c>
      <c r="I858" s="133" t="s">
        <v>119</v>
      </c>
      <c r="J858" s="111"/>
      <c r="K858" s="135">
        <v>45911</v>
      </c>
      <c r="L858" s="111"/>
      <c r="M858" s="196"/>
    </row>
    <row r="859" spans="1:13" customFormat="1" x14ac:dyDescent="0.35">
      <c r="A859" s="109">
        <v>45923</v>
      </c>
      <c r="B859" s="111" t="s">
        <v>65</v>
      </c>
      <c r="C859" s="111" t="s">
        <v>32</v>
      </c>
      <c r="D859" s="111"/>
      <c r="E859" s="111" t="s">
        <v>1110</v>
      </c>
      <c r="F859" s="153">
        <v>-14.72</v>
      </c>
      <c r="G859" s="135">
        <v>45952</v>
      </c>
      <c r="H859" s="134" t="s">
        <v>66</v>
      </c>
      <c r="I859" s="133" t="s">
        <v>119</v>
      </c>
      <c r="J859" s="111"/>
      <c r="K859" s="135">
        <v>45961</v>
      </c>
      <c r="L859" s="111"/>
      <c r="M859" s="196"/>
    </row>
    <row r="860" spans="1:13" customFormat="1" x14ac:dyDescent="0.35">
      <c r="A860" s="109">
        <v>45931</v>
      </c>
      <c r="B860" s="121" t="s">
        <v>65</v>
      </c>
      <c r="C860" s="121" t="s">
        <v>32</v>
      </c>
      <c r="D860" s="111"/>
      <c r="E860" s="121" t="s">
        <v>1111</v>
      </c>
      <c r="F860" s="153">
        <v>-6.27</v>
      </c>
      <c r="G860" s="135">
        <v>45962</v>
      </c>
      <c r="H860" s="134" t="s">
        <v>66</v>
      </c>
      <c r="I860" s="134" t="s">
        <v>829</v>
      </c>
      <c r="J860" s="111"/>
      <c r="K860" s="135">
        <v>45961</v>
      </c>
      <c r="L860" s="111"/>
      <c r="M860" s="196"/>
    </row>
    <row r="861" spans="1:13" customFormat="1" x14ac:dyDescent="0.35">
      <c r="A861" s="109">
        <v>45954</v>
      </c>
      <c r="B861" s="111" t="s">
        <v>65</v>
      </c>
      <c r="C861" s="111" t="s">
        <v>32</v>
      </c>
      <c r="D861" s="111"/>
      <c r="E861" s="121" t="s">
        <v>1112</v>
      </c>
      <c r="F861" s="153">
        <v>-106.51</v>
      </c>
      <c r="G861" s="135">
        <f>A861+30</f>
        <v>45984</v>
      </c>
      <c r="H861" s="133" t="s">
        <v>66</v>
      </c>
      <c r="I861" s="133" t="s">
        <v>829</v>
      </c>
      <c r="J861" s="111"/>
      <c r="K861" s="135">
        <v>45985</v>
      </c>
      <c r="L861" s="111"/>
      <c r="M861" s="196"/>
    </row>
    <row r="862" spans="1:13" customFormat="1" x14ac:dyDescent="0.35">
      <c r="A862" s="109">
        <v>45973</v>
      </c>
      <c r="B862" s="121" t="s">
        <v>65</v>
      </c>
      <c r="C862" s="111" t="s">
        <v>32</v>
      </c>
      <c r="D862" s="111"/>
      <c r="E862" s="111" t="s">
        <v>1113</v>
      </c>
      <c r="F862" s="153">
        <v>-20.91</v>
      </c>
      <c r="G862" s="135">
        <v>46003</v>
      </c>
      <c r="H862" s="134" t="s">
        <v>66</v>
      </c>
      <c r="I862" s="133" t="s">
        <v>829</v>
      </c>
      <c r="J862" s="111"/>
      <c r="K862" s="135">
        <v>46003</v>
      </c>
      <c r="L862" s="111"/>
      <c r="M862" s="196"/>
    </row>
    <row r="863" spans="1:13" customFormat="1" x14ac:dyDescent="0.35">
      <c r="A863" s="109">
        <v>45986</v>
      </c>
      <c r="B863" s="111" t="s">
        <v>65</v>
      </c>
      <c r="C863" s="111" t="s">
        <v>32</v>
      </c>
      <c r="D863" s="111"/>
      <c r="E863" s="218" t="s">
        <v>1114</v>
      </c>
      <c r="F863" s="153">
        <v>-31.24</v>
      </c>
      <c r="G863" s="135">
        <v>46016</v>
      </c>
      <c r="H863" s="134" t="s">
        <v>66</v>
      </c>
      <c r="I863" s="133" t="s">
        <v>829</v>
      </c>
      <c r="J863" s="111"/>
      <c r="K863" s="135">
        <v>46003</v>
      </c>
      <c r="L863" s="111"/>
      <c r="M863" s="196"/>
    </row>
    <row r="864" spans="1:13" customFormat="1" x14ac:dyDescent="0.35">
      <c r="A864" s="176">
        <v>46002</v>
      </c>
      <c r="B864" s="140" t="s">
        <v>65</v>
      </c>
      <c r="C864" s="140" t="s">
        <v>32</v>
      </c>
      <c r="D864" s="140"/>
      <c r="E864" s="140" t="s">
        <v>1115</v>
      </c>
      <c r="F864" s="174">
        <v>-53.81</v>
      </c>
      <c r="G864" s="177">
        <v>46032</v>
      </c>
      <c r="H864" s="142" t="s">
        <v>66</v>
      </c>
      <c r="I864" s="142" t="s">
        <v>145</v>
      </c>
      <c r="J864" s="111"/>
      <c r="K864" s="160">
        <v>46031</v>
      </c>
      <c r="L864" s="111"/>
      <c r="M864" s="196"/>
    </row>
    <row r="865" spans="1:13" customFormat="1" x14ac:dyDescent="0.35">
      <c r="A865" s="109">
        <v>46078</v>
      </c>
      <c r="B865" s="111" t="s">
        <v>65</v>
      </c>
      <c r="C865" s="111" t="s">
        <v>496</v>
      </c>
      <c r="D865" s="111"/>
      <c r="E865" s="111" t="s">
        <v>1116</v>
      </c>
      <c r="F865" s="153">
        <v>-88.56</v>
      </c>
      <c r="G865" s="135">
        <v>46094</v>
      </c>
      <c r="H865" s="133" t="s">
        <v>59</v>
      </c>
      <c r="I865" s="133" t="s">
        <v>145</v>
      </c>
      <c r="J865" s="111"/>
      <c r="K865" s="160"/>
      <c r="L865" s="111"/>
      <c r="M865" s="196"/>
    </row>
    <row r="866" spans="1:13" customFormat="1" x14ac:dyDescent="0.35">
      <c r="A866" s="109">
        <v>45146</v>
      </c>
      <c r="B866" s="111" t="s">
        <v>65</v>
      </c>
      <c r="C866" s="111" t="s">
        <v>1117</v>
      </c>
      <c r="D866" s="111"/>
      <c r="E866" s="111" t="s">
        <v>1118</v>
      </c>
      <c r="F866" s="131">
        <v>-184.25</v>
      </c>
      <c r="G866" s="135"/>
      <c r="H866" s="133" t="s">
        <v>66</v>
      </c>
      <c r="I866" s="133"/>
      <c r="J866" s="111"/>
      <c r="K866" s="135"/>
      <c r="L866" s="153">
        <f t="shared" ref="L866:L874" si="39">F866</f>
        <v>-184.25</v>
      </c>
      <c r="M866" s="111" t="s">
        <v>1119</v>
      </c>
    </row>
    <row r="867" spans="1:13" customFormat="1" x14ac:dyDescent="0.35">
      <c r="A867" s="109">
        <v>45161</v>
      </c>
      <c r="B867" s="111" t="s">
        <v>65</v>
      </c>
      <c r="C867" s="111" t="s">
        <v>1117</v>
      </c>
      <c r="D867" s="111"/>
      <c r="E867" s="111" t="s">
        <v>1120</v>
      </c>
      <c r="F867" s="131">
        <v>-184.25</v>
      </c>
      <c r="G867" s="135"/>
      <c r="H867" s="133" t="s">
        <v>66</v>
      </c>
      <c r="I867" s="133"/>
      <c r="J867" s="111"/>
      <c r="K867" s="135"/>
      <c r="L867" s="153">
        <f t="shared" si="39"/>
        <v>-184.25</v>
      </c>
      <c r="M867" s="111" t="s">
        <v>1119</v>
      </c>
    </row>
    <row r="868" spans="1:13" customFormat="1" x14ac:dyDescent="0.35">
      <c r="A868" s="109">
        <v>45183</v>
      </c>
      <c r="B868" s="111" t="s">
        <v>65</v>
      </c>
      <c r="C868" s="111" t="s">
        <v>1117</v>
      </c>
      <c r="D868" s="111"/>
      <c r="E868" s="111" t="s">
        <v>1121</v>
      </c>
      <c r="F868" s="131">
        <v>-184.25</v>
      </c>
      <c r="G868" s="135"/>
      <c r="H868" s="133" t="s">
        <v>66</v>
      </c>
      <c r="I868" s="133"/>
      <c r="J868" s="111"/>
      <c r="K868" s="135"/>
      <c r="L868" s="153">
        <f t="shared" si="39"/>
        <v>-184.25</v>
      </c>
      <c r="M868" s="111" t="s">
        <v>1122</v>
      </c>
    </row>
    <row r="869" spans="1:13" customFormat="1" x14ac:dyDescent="0.35">
      <c r="A869" s="109">
        <v>45241</v>
      </c>
      <c r="B869" s="111" t="s">
        <v>65</v>
      </c>
      <c r="C869" s="111" t="s">
        <v>1117</v>
      </c>
      <c r="D869" s="111"/>
      <c r="E869" s="111" t="s">
        <v>1123</v>
      </c>
      <c r="F869" s="131">
        <v>-184.25</v>
      </c>
      <c r="G869" s="135"/>
      <c r="H869" s="133" t="s">
        <v>66</v>
      </c>
      <c r="I869" s="133"/>
      <c r="J869" s="111"/>
      <c r="K869" s="135"/>
      <c r="L869" s="153">
        <f t="shared" si="39"/>
        <v>-184.25</v>
      </c>
      <c r="M869" s="111" t="s">
        <v>1122</v>
      </c>
    </row>
    <row r="870" spans="1:13" customFormat="1" x14ac:dyDescent="0.35">
      <c r="A870" s="109">
        <v>45324</v>
      </c>
      <c r="B870" s="111" t="s">
        <v>65</v>
      </c>
      <c r="C870" s="111" t="s">
        <v>1117</v>
      </c>
      <c r="D870" s="111"/>
      <c r="E870" s="111" t="s">
        <v>1124</v>
      </c>
      <c r="F870" s="131">
        <v>-207.8</v>
      </c>
      <c r="G870" s="135"/>
      <c r="H870" s="133" t="s">
        <v>561</v>
      </c>
      <c r="I870" s="133"/>
      <c r="J870" s="111"/>
      <c r="K870" s="135"/>
      <c r="L870" s="153">
        <f t="shared" si="39"/>
        <v>-207.8</v>
      </c>
      <c r="M870" s="111" t="s">
        <v>1119</v>
      </c>
    </row>
    <row r="871" spans="1:13" customFormat="1" x14ac:dyDescent="0.35">
      <c r="A871" s="109">
        <v>45356</v>
      </c>
      <c r="B871" s="111" t="s">
        <v>65</v>
      </c>
      <c r="C871" s="111" t="s">
        <v>1117</v>
      </c>
      <c r="D871" s="111"/>
      <c r="E871" s="111" t="s">
        <v>1125</v>
      </c>
      <c r="F871" s="131">
        <v>-184.25</v>
      </c>
      <c r="G871" s="135"/>
      <c r="H871" s="133" t="s">
        <v>66</v>
      </c>
      <c r="I871" s="133"/>
      <c r="J871" s="111"/>
      <c r="K871" s="135"/>
      <c r="L871" s="153">
        <f t="shared" si="39"/>
        <v>-184.25</v>
      </c>
      <c r="M871" s="111" t="s">
        <v>1119</v>
      </c>
    </row>
    <row r="872" spans="1:13" customFormat="1" x14ac:dyDescent="0.35">
      <c r="A872" s="109">
        <v>45236</v>
      </c>
      <c r="B872" s="111" t="s">
        <v>65</v>
      </c>
      <c r="C872" s="111" t="s">
        <v>1117</v>
      </c>
      <c r="D872" s="111"/>
      <c r="E872" s="111" t="s">
        <v>1126</v>
      </c>
      <c r="F872" s="131">
        <v>-23.54</v>
      </c>
      <c r="G872" s="135"/>
      <c r="H872" s="133" t="s">
        <v>66</v>
      </c>
      <c r="I872" s="133"/>
      <c r="J872" s="111"/>
      <c r="K872" s="135"/>
      <c r="L872" s="153">
        <f t="shared" si="39"/>
        <v>-23.54</v>
      </c>
      <c r="M872" s="111" t="s">
        <v>1127</v>
      </c>
    </row>
    <row r="873" spans="1:13" customFormat="1" x14ac:dyDescent="0.35">
      <c r="A873" s="109">
        <v>45455</v>
      </c>
      <c r="B873" s="121" t="s">
        <v>57</v>
      </c>
      <c r="C873" s="111" t="s">
        <v>1128</v>
      </c>
      <c r="D873" s="111" t="s">
        <v>1129</v>
      </c>
      <c r="E873" s="111" t="s">
        <v>1130</v>
      </c>
      <c r="F873" s="149">
        <v>294</v>
      </c>
      <c r="G873" s="135">
        <f>A873+30</f>
        <v>45485</v>
      </c>
      <c r="H873" s="133" t="s">
        <v>66</v>
      </c>
      <c r="I873" s="133"/>
      <c r="J873" s="111"/>
      <c r="K873" s="135"/>
      <c r="L873" s="153">
        <f t="shared" si="39"/>
        <v>294</v>
      </c>
      <c r="M873" s="111">
        <v>515189308</v>
      </c>
    </row>
    <row r="874" spans="1:13" customFormat="1" x14ac:dyDescent="0.35">
      <c r="A874" s="109">
        <v>45245</v>
      </c>
      <c r="B874" s="111" t="s">
        <v>65</v>
      </c>
      <c r="C874" s="111" t="s">
        <v>1117</v>
      </c>
      <c r="D874" s="111"/>
      <c r="E874" s="111" t="s">
        <v>1131</v>
      </c>
      <c r="F874" s="131">
        <v>-184.25</v>
      </c>
      <c r="G874" s="135"/>
      <c r="H874" s="133" t="s">
        <v>66</v>
      </c>
      <c r="I874" s="133"/>
      <c r="J874" s="111"/>
      <c r="K874" s="135"/>
      <c r="L874" s="153">
        <f t="shared" si="39"/>
        <v>-184.25</v>
      </c>
      <c r="M874" s="111" t="s">
        <v>1119</v>
      </c>
    </row>
    <row r="875" spans="1:13" customFormat="1" x14ac:dyDescent="0.35">
      <c r="A875" s="109">
        <v>45817</v>
      </c>
      <c r="B875" s="111" t="s">
        <v>65</v>
      </c>
      <c r="C875" s="111" t="s">
        <v>87</v>
      </c>
      <c r="D875" s="111"/>
      <c r="E875" s="111"/>
      <c r="F875" s="153">
        <v>-2423.9299999999998</v>
      </c>
      <c r="G875" s="135">
        <v>45459</v>
      </c>
      <c r="H875" s="133" t="s">
        <v>66</v>
      </c>
      <c r="I875" s="133" t="s">
        <v>119</v>
      </c>
      <c r="J875" s="111"/>
      <c r="K875" s="135">
        <v>45459</v>
      </c>
      <c r="L875" s="111"/>
      <c r="M875" s="111" t="s">
        <v>1132</v>
      </c>
    </row>
    <row r="876" spans="1:13" customFormat="1" x14ac:dyDescent="0.35">
      <c r="A876" s="180">
        <v>45911</v>
      </c>
      <c r="B876" s="111" t="s">
        <v>65</v>
      </c>
      <c r="C876" s="121" t="s">
        <v>46</v>
      </c>
      <c r="D876" s="111"/>
      <c r="E876" s="111"/>
      <c r="F876" s="153">
        <v>-602.51</v>
      </c>
      <c r="G876" s="135">
        <v>45922</v>
      </c>
      <c r="H876" s="133" t="s">
        <v>66</v>
      </c>
      <c r="I876" s="133" t="s">
        <v>119</v>
      </c>
      <c r="J876" s="111"/>
      <c r="K876" s="135">
        <v>45922</v>
      </c>
      <c r="L876" s="111"/>
      <c r="M876" s="187">
        <v>156480666950903</v>
      </c>
    </row>
    <row r="877" spans="1:13" customFormat="1" x14ac:dyDescent="0.35">
      <c r="A877" s="109">
        <v>45716</v>
      </c>
      <c r="B877" s="121" t="s">
        <v>65</v>
      </c>
      <c r="C877" s="121" t="s">
        <v>50</v>
      </c>
      <c r="D877" s="111"/>
      <c r="E877" s="111"/>
      <c r="F877" s="137">
        <v>-14240</v>
      </c>
      <c r="G877" s="135">
        <v>45716</v>
      </c>
      <c r="H877" s="133"/>
      <c r="I877" s="134"/>
      <c r="J877" s="111"/>
      <c r="K877" s="135">
        <v>45716</v>
      </c>
      <c r="L877" s="153">
        <v>-17040</v>
      </c>
      <c r="M877" s="111"/>
    </row>
    <row r="878" spans="1:13" customFormat="1" x14ac:dyDescent="0.35">
      <c r="A878" s="109">
        <v>45747</v>
      </c>
      <c r="B878" s="121" t="s">
        <v>65</v>
      </c>
      <c r="C878" s="121" t="s">
        <v>50</v>
      </c>
      <c r="D878" s="111"/>
      <c r="E878" s="111"/>
      <c r="F878" s="137">
        <v>-14240</v>
      </c>
      <c r="G878" s="135">
        <v>45747</v>
      </c>
      <c r="H878" s="133"/>
      <c r="I878" s="134"/>
      <c r="J878" s="111"/>
      <c r="K878" s="135">
        <v>45747</v>
      </c>
      <c r="L878" s="153">
        <v>-17040</v>
      </c>
      <c r="M878" s="111"/>
    </row>
    <row r="879" spans="1:13" customFormat="1" x14ac:dyDescent="0.35">
      <c r="A879" s="109">
        <v>45777</v>
      </c>
      <c r="B879" s="121" t="s">
        <v>65</v>
      </c>
      <c r="C879" s="121" t="s">
        <v>50</v>
      </c>
      <c r="D879" s="111"/>
      <c r="E879" s="111"/>
      <c r="F879" s="137">
        <f>-14240-3590</f>
        <v>-17830</v>
      </c>
      <c r="G879" s="135">
        <v>45777</v>
      </c>
      <c r="H879" s="133"/>
      <c r="I879" s="134"/>
      <c r="J879" s="111"/>
      <c r="K879" s="135">
        <v>45777</v>
      </c>
      <c r="L879" s="153">
        <v>-17830</v>
      </c>
      <c r="M879" s="111"/>
    </row>
    <row r="880" spans="1:13" customFormat="1" x14ac:dyDescent="0.35">
      <c r="A880" s="109">
        <v>45808</v>
      </c>
      <c r="B880" s="121" t="s">
        <v>65</v>
      </c>
      <c r="C880" s="121" t="s">
        <v>50</v>
      </c>
      <c r="D880" s="111"/>
      <c r="E880" s="111"/>
      <c r="F880" s="137">
        <v>-17830</v>
      </c>
      <c r="G880" s="135">
        <v>45808</v>
      </c>
      <c r="H880" s="133"/>
      <c r="I880" s="134"/>
      <c r="J880" s="111"/>
      <c r="K880" s="135">
        <v>45808</v>
      </c>
      <c r="L880" s="153">
        <v>-17830</v>
      </c>
      <c r="M880" s="111"/>
    </row>
    <row r="881" spans="1:13" customFormat="1" x14ac:dyDescent="0.35">
      <c r="A881" s="109">
        <v>45838</v>
      </c>
      <c r="B881" s="121" t="s">
        <v>65</v>
      </c>
      <c r="C881" s="121" t="s">
        <v>50</v>
      </c>
      <c r="D881" s="111"/>
      <c r="E881" s="111"/>
      <c r="F881" s="137">
        <v>-17830</v>
      </c>
      <c r="G881" s="135">
        <v>45838</v>
      </c>
      <c r="H881" s="133"/>
      <c r="I881" s="134"/>
      <c r="J881" s="111"/>
      <c r="K881" s="135">
        <v>45838</v>
      </c>
      <c r="L881" s="153">
        <v>-17830</v>
      </c>
      <c r="M881" s="111"/>
    </row>
    <row r="882" spans="1:13" customFormat="1" x14ac:dyDescent="0.35">
      <c r="A882" s="109">
        <v>45948</v>
      </c>
      <c r="B882" s="111" t="s">
        <v>57</v>
      </c>
      <c r="C882" s="111" t="s">
        <v>1133</v>
      </c>
      <c r="D882" s="111" t="s">
        <v>1133</v>
      </c>
      <c r="E882" s="121" t="s">
        <v>1134</v>
      </c>
      <c r="F882" s="153">
        <v>7.39</v>
      </c>
      <c r="G882" s="135">
        <f>A882+30</f>
        <v>45978</v>
      </c>
      <c r="H882" s="133" t="s">
        <v>66</v>
      </c>
      <c r="I882" s="133" t="s">
        <v>135</v>
      </c>
      <c r="J882" s="111"/>
      <c r="K882" s="135">
        <v>45953</v>
      </c>
      <c r="L882" s="111"/>
      <c r="M882" s="196"/>
    </row>
    <row r="883" spans="1:13" x14ac:dyDescent="0.35">
      <c r="A883" s="109">
        <v>45705</v>
      </c>
      <c r="B883" s="121" t="s">
        <v>57</v>
      </c>
      <c r="C883" s="121" t="s">
        <v>48</v>
      </c>
      <c r="D883" s="121" t="s">
        <v>1135</v>
      </c>
      <c r="E883" s="121" t="s">
        <v>1136</v>
      </c>
      <c r="F883" s="153">
        <v>24.23</v>
      </c>
      <c r="G883" s="135">
        <v>45733</v>
      </c>
      <c r="H883" s="134" t="s">
        <v>66</v>
      </c>
      <c r="I883" s="134" t="s">
        <v>135</v>
      </c>
      <c r="K883" s="135">
        <v>45706</v>
      </c>
      <c r="L883" s="153">
        <f t="shared" ref="L883:L895" si="40">F883</f>
        <v>24.23</v>
      </c>
      <c r="M883" s="111">
        <v>516563750</v>
      </c>
    </row>
    <row r="884" spans="1:13" s="76" customFormat="1" x14ac:dyDescent="0.35">
      <c r="A884" s="109">
        <v>45741</v>
      </c>
      <c r="B884" s="145" t="s">
        <v>57</v>
      </c>
      <c r="C884" s="144" t="s">
        <v>48</v>
      </c>
      <c r="D884" s="144" t="s">
        <v>1135</v>
      </c>
      <c r="E884" s="144" t="s">
        <v>1137</v>
      </c>
      <c r="F884" s="169">
        <v>11.8</v>
      </c>
      <c r="G884" s="138">
        <v>45407</v>
      </c>
      <c r="H884" s="147" t="s">
        <v>66</v>
      </c>
      <c r="I884" s="147" t="s">
        <v>135</v>
      </c>
      <c r="J884" s="145"/>
      <c r="K884" s="135">
        <v>45824</v>
      </c>
      <c r="L884" s="153">
        <f t="shared" si="40"/>
        <v>11.8</v>
      </c>
      <c r="M884" s="145">
        <v>516563750</v>
      </c>
    </row>
    <row r="885" spans="1:13" customFormat="1" x14ac:dyDescent="0.35">
      <c r="A885" s="109">
        <v>45764</v>
      </c>
      <c r="B885" s="121" t="s">
        <v>57</v>
      </c>
      <c r="C885" s="121" t="s">
        <v>48</v>
      </c>
      <c r="D885" s="121" t="s">
        <v>1135</v>
      </c>
      <c r="E885" s="121" t="s">
        <v>1138</v>
      </c>
      <c r="F885" s="153">
        <v>14.75</v>
      </c>
      <c r="G885" s="135">
        <v>45793</v>
      </c>
      <c r="H885" s="134" t="s">
        <v>66</v>
      </c>
      <c r="I885" s="133" t="s">
        <v>135</v>
      </c>
      <c r="J885" s="111"/>
      <c r="K885" s="135">
        <v>45777</v>
      </c>
      <c r="L885" s="153">
        <f t="shared" si="40"/>
        <v>14.75</v>
      </c>
      <c r="M885" s="111">
        <v>516563750</v>
      </c>
    </row>
    <row r="886" spans="1:13" customFormat="1" x14ac:dyDescent="0.35">
      <c r="A886" s="109">
        <v>45776</v>
      </c>
      <c r="B886" s="111" t="s">
        <v>57</v>
      </c>
      <c r="C886" s="121" t="s">
        <v>48</v>
      </c>
      <c r="D886" s="121" t="s">
        <v>1135</v>
      </c>
      <c r="E886" s="121" t="s">
        <v>1139</v>
      </c>
      <c r="F886" s="153">
        <v>18.100000000000001</v>
      </c>
      <c r="G886" s="135">
        <v>45805</v>
      </c>
      <c r="H886" s="133" t="s">
        <v>66</v>
      </c>
      <c r="I886" s="133" t="s">
        <v>135</v>
      </c>
      <c r="J886" s="111"/>
      <c r="K886" s="135">
        <v>45824</v>
      </c>
      <c r="L886" s="153">
        <f t="shared" si="40"/>
        <v>18.100000000000001</v>
      </c>
      <c r="M886" s="111">
        <v>516563750</v>
      </c>
    </row>
    <row r="887" spans="1:13" customFormat="1" x14ac:dyDescent="0.35">
      <c r="A887" s="109">
        <v>45812</v>
      </c>
      <c r="B887" s="111" t="s">
        <v>57</v>
      </c>
      <c r="C887" s="121" t="s">
        <v>48</v>
      </c>
      <c r="D887" s="121" t="s">
        <v>1135</v>
      </c>
      <c r="E887" s="121" t="s">
        <v>1140</v>
      </c>
      <c r="F887" s="153">
        <v>17.190000000000001</v>
      </c>
      <c r="G887" s="135">
        <v>45841</v>
      </c>
      <c r="H887" s="133" t="s">
        <v>66</v>
      </c>
      <c r="I887" s="133" t="s">
        <v>135</v>
      </c>
      <c r="J887" s="111"/>
      <c r="K887" s="135">
        <v>45818</v>
      </c>
      <c r="L887" s="153">
        <f t="shared" si="40"/>
        <v>17.190000000000001</v>
      </c>
      <c r="M887" s="111">
        <v>516563750</v>
      </c>
    </row>
    <row r="888" spans="1:13" customFormat="1" x14ac:dyDescent="0.35">
      <c r="A888" s="109">
        <v>45084</v>
      </c>
      <c r="B888" s="121" t="s">
        <v>57</v>
      </c>
      <c r="C888" s="111" t="s">
        <v>1141</v>
      </c>
      <c r="D888" s="111" t="s">
        <v>1142</v>
      </c>
      <c r="E888" s="111" t="s">
        <v>1143</v>
      </c>
      <c r="F888" s="149">
        <v>503.59</v>
      </c>
      <c r="G888" s="135">
        <f t="shared" ref="G888:G895" si="41">A888+30</f>
        <v>45114</v>
      </c>
      <c r="H888" s="133" t="s">
        <v>66</v>
      </c>
      <c r="I888" s="133"/>
      <c r="J888" s="111"/>
      <c r="K888" s="135"/>
      <c r="L888" s="153">
        <f t="shared" si="40"/>
        <v>503.59</v>
      </c>
      <c r="M888" s="111">
        <v>506629007</v>
      </c>
    </row>
    <row r="889" spans="1:13" customFormat="1" x14ac:dyDescent="0.35">
      <c r="A889" s="109">
        <v>45135</v>
      </c>
      <c r="B889" s="121" t="s">
        <v>57</v>
      </c>
      <c r="C889" s="111" t="s">
        <v>1141</v>
      </c>
      <c r="D889" s="111" t="s">
        <v>1142</v>
      </c>
      <c r="E889" s="111" t="s">
        <v>1144</v>
      </c>
      <c r="F889" s="149">
        <v>210.33</v>
      </c>
      <c r="G889" s="135">
        <f t="shared" si="41"/>
        <v>45165</v>
      </c>
      <c r="H889" s="133" t="s">
        <v>66</v>
      </c>
      <c r="I889" s="133"/>
      <c r="J889" s="111"/>
      <c r="K889" s="135"/>
      <c r="L889" s="153">
        <f t="shared" si="40"/>
        <v>210.33</v>
      </c>
      <c r="M889" s="111">
        <v>506629007</v>
      </c>
    </row>
    <row r="890" spans="1:13" customFormat="1" x14ac:dyDescent="0.35">
      <c r="A890" s="109">
        <v>45181</v>
      </c>
      <c r="B890" s="121" t="s">
        <v>57</v>
      </c>
      <c r="C890" s="111" t="s">
        <v>1141</v>
      </c>
      <c r="D890" s="111" t="s">
        <v>1142</v>
      </c>
      <c r="E890" s="111" t="s">
        <v>1145</v>
      </c>
      <c r="F890" s="149">
        <v>241</v>
      </c>
      <c r="G890" s="135">
        <f t="shared" si="41"/>
        <v>45211</v>
      </c>
      <c r="H890" s="133" t="s">
        <v>66</v>
      </c>
      <c r="I890" s="133"/>
      <c r="J890" s="111"/>
      <c r="K890" s="135"/>
      <c r="L890" s="153">
        <f t="shared" si="40"/>
        <v>241</v>
      </c>
      <c r="M890" s="111">
        <v>506629007</v>
      </c>
    </row>
    <row r="891" spans="1:13" customFormat="1" x14ac:dyDescent="0.35">
      <c r="A891" s="109">
        <v>45210</v>
      </c>
      <c r="B891" s="121" t="s">
        <v>57</v>
      </c>
      <c r="C891" s="111" t="s">
        <v>1141</v>
      </c>
      <c r="D891" s="111" t="s">
        <v>1142</v>
      </c>
      <c r="E891" s="111" t="s">
        <v>1146</v>
      </c>
      <c r="F891" s="149">
        <v>180.75</v>
      </c>
      <c r="G891" s="135">
        <f t="shared" si="41"/>
        <v>45240</v>
      </c>
      <c r="H891" s="133" t="s">
        <v>66</v>
      </c>
      <c r="I891" s="133"/>
      <c r="J891" s="111"/>
      <c r="K891" s="135"/>
      <c r="L891" s="153">
        <f t="shared" si="40"/>
        <v>180.75</v>
      </c>
      <c r="M891" s="111">
        <v>506629007</v>
      </c>
    </row>
    <row r="892" spans="1:13" customFormat="1" x14ac:dyDescent="0.35">
      <c r="A892" s="109">
        <v>45404</v>
      </c>
      <c r="B892" s="121" t="s">
        <v>57</v>
      </c>
      <c r="C892" s="111" t="s">
        <v>1147</v>
      </c>
      <c r="D892" s="111"/>
      <c r="E892" s="111" t="s">
        <v>1148</v>
      </c>
      <c r="F892" s="149">
        <v>58.631250000000001</v>
      </c>
      <c r="G892" s="135">
        <f t="shared" si="41"/>
        <v>45434</v>
      </c>
      <c r="H892" s="134" t="s">
        <v>66</v>
      </c>
      <c r="I892" s="134" t="s">
        <v>944</v>
      </c>
      <c r="J892" s="111"/>
      <c r="K892" s="135"/>
      <c r="L892" s="153">
        <f t="shared" si="40"/>
        <v>58.631250000000001</v>
      </c>
      <c r="M892" s="111"/>
    </row>
    <row r="893" spans="1:13" customFormat="1" x14ac:dyDescent="0.35">
      <c r="A893" s="109">
        <v>45404</v>
      </c>
      <c r="B893" s="121" t="s">
        <v>57</v>
      </c>
      <c r="C893" s="111" t="s">
        <v>1147</v>
      </c>
      <c r="D893" s="111"/>
      <c r="E893" s="111" t="s">
        <v>1149</v>
      </c>
      <c r="F893" s="149">
        <v>444.81474999999989</v>
      </c>
      <c r="G893" s="135">
        <f t="shared" si="41"/>
        <v>45434</v>
      </c>
      <c r="H893" s="134" t="s">
        <v>66</v>
      </c>
      <c r="I893" s="134" t="s">
        <v>944</v>
      </c>
      <c r="J893" s="111"/>
      <c r="K893" s="135"/>
      <c r="L893" s="153">
        <f t="shared" si="40"/>
        <v>444.81474999999989</v>
      </c>
      <c r="M893" s="111"/>
    </row>
    <row r="894" spans="1:13" customFormat="1" x14ac:dyDescent="0.35">
      <c r="A894" s="109">
        <v>45425</v>
      </c>
      <c r="B894" s="121" t="s">
        <v>57</v>
      </c>
      <c r="C894" s="111" t="s">
        <v>1147</v>
      </c>
      <c r="D894" s="111"/>
      <c r="E894" s="111" t="s">
        <v>1150</v>
      </c>
      <c r="F894" s="149">
        <v>489.83150000000012</v>
      </c>
      <c r="G894" s="135">
        <f t="shared" si="41"/>
        <v>45455</v>
      </c>
      <c r="H894" s="134" t="s">
        <v>66</v>
      </c>
      <c r="I894" s="134" t="s">
        <v>944</v>
      </c>
      <c r="J894" s="111"/>
      <c r="K894" s="135"/>
      <c r="L894" s="153">
        <f t="shared" si="40"/>
        <v>489.83150000000012</v>
      </c>
      <c r="M894" s="111"/>
    </row>
    <row r="895" spans="1:13" customFormat="1" x14ac:dyDescent="0.35">
      <c r="A895" s="109">
        <v>45447</v>
      </c>
      <c r="B895" s="121" t="s">
        <v>57</v>
      </c>
      <c r="C895" s="111" t="s">
        <v>1147</v>
      </c>
      <c r="D895" s="111"/>
      <c r="E895" s="111" t="s">
        <v>1151</v>
      </c>
      <c r="F895" s="149">
        <v>391.33225000000004</v>
      </c>
      <c r="G895" s="135">
        <f t="shared" si="41"/>
        <v>45477</v>
      </c>
      <c r="H895" s="134" t="s">
        <v>66</v>
      </c>
      <c r="I895" s="134" t="s">
        <v>944</v>
      </c>
      <c r="J895" s="111"/>
      <c r="K895" s="135"/>
      <c r="L895" s="153">
        <f t="shared" si="40"/>
        <v>391.33225000000004</v>
      </c>
      <c r="M895" s="111"/>
    </row>
    <row r="896" spans="1:13" x14ac:dyDescent="0.35">
      <c r="A896" s="109">
        <v>45842</v>
      </c>
      <c r="B896" s="111" t="s">
        <v>57</v>
      </c>
      <c r="C896" s="111" t="s">
        <v>1152</v>
      </c>
      <c r="D896" s="111" t="s">
        <v>1153</v>
      </c>
      <c r="E896" s="121" t="s">
        <v>1154</v>
      </c>
      <c r="F896" s="153">
        <v>174.32</v>
      </c>
      <c r="H896" s="134" t="s">
        <v>66</v>
      </c>
      <c r="I896" s="133" t="s">
        <v>135</v>
      </c>
      <c r="K896" s="135">
        <v>45868</v>
      </c>
    </row>
    <row r="897" spans="1:13" x14ac:dyDescent="0.35">
      <c r="A897" s="109">
        <v>45867</v>
      </c>
      <c r="B897" s="111" t="s">
        <v>57</v>
      </c>
      <c r="C897" s="121" t="s">
        <v>1152</v>
      </c>
      <c r="D897" s="121" t="s">
        <v>1153</v>
      </c>
      <c r="E897" s="121" t="s">
        <v>1155</v>
      </c>
      <c r="F897" s="153">
        <v>104.11</v>
      </c>
      <c r="H897" s="134" t="s">
        <v>66</v>
      </c>
      <c r="I897" s="133" t="s">
        <v>135</v>
      </c>
      <c r="K897" s="135">
        <v>45868</v>
      </c>
    </row>
    <row r="898" spans="1:13" s="76" customFormat="1" x14ac:dyDescent="0.35">
      <c r="A898" s="109">
        <v>45904</v>
      </c>
      <c r="B898" s="144" t="s">
        <v>57</v>
      </c>
      <c r="C898" s="121" t="s">
        <v>1156</v>
      </c>
      <c r="D898" s="144" t="s">
        <v>1153</v>
      </c>
      <c r="E898" s="144" t="s">
        <v>1157</v>
      </c>
      <c r="F898" s="169">
        <v>91.02</v>
      </c>
      <c r="G898" s="138">
        <f>A898+30</f>
        <v>45934</v>
      </c>
      <c r="H898" s="148" t="s">
        <v>66</v>
      </c>
      <c r="I898" s="147" t="s">
        <v>135</v>
      </c>
      <c r="J898" s="145"/>
      <c r="K898" s="135"/>
      <c r="L898" s="111"/>
      <c r="M898" s="198"/>
    </row>
    <row r="899" spans="1:13" customFormat="1" x14ac:dyDescent="0.35">
      <c r="A899" s="109">
        <v>46002</v>
      </c>
      <c r="B899" s="121" t="s">
        <v>57</v>
      </c>
      <c r="C899" s="111" t="s">
        <v>22</v>
      </c>
      <c r="D899" s="111" t="s">
        <v>550</v>
      </c>
      <c r="E899" s="121" t="s">
        <v>1158</v>
      </c>
      <c r="F899" s="153">
        <v>5.92</v>
      </c>
      <c r="G899" s="135">
        <f>A899+30</f>
        <v>46032</v>
      </c>
      <c r="H899" s="133" t="s">
        <v>66</v>
      </c>
      <c r="I899" s="133" t="s">
        <v>135</v>
      </c>
      <c r="J899" s="111"/>
      <c r="K899" s="160">
        <v>46031</v>
      </c>
      <c r="L899" s="111"/>
      <c r="M899" s="196"/>
    </row>
    <row r="900" spans="1:13" customFormat="1" x14ac:dyDescent="0.35">
      <c r="A900" s="109">
        <v>46036</v>
      </c>
      <c r="B900" s="121" t="s">
        <v>57</v>
      </c>
      <c r="C900" s="111" t="s">
        <v>22</v>
      </c>
      <c r="D900" s="111" t="s">
        <v>550</v>
      </c>
      <c r="E900" s="218" t="s">
        <v>1159</v>
      </c>
      <c r="F900" s="153">
        <v>69.13</v>
      </c>
      <c r="G900" s="135">
        <v>46058</v>
      </c>
      <c r="H900" s="133" t="s">
        <v>66</v>
      </c>
      <c r="I900" s="133" t="s">
        <v>135</v>
      </c>
      <c r="J900" s="111"/>
      <c r="K900" s="160">
        <v>46064</v>
      </c>
      <c r="L900" s="111"/>
      <c r="M900" s="196"/>
    </row>
    <row r="901" spans="1:13" customFormat="1" x14ac:dyDescent="0.35">
      <c r="A901" s="109">
        <v>45984</v>
      </c>
      <c r="B901" s="111" t="s">
        <v>57</v>
      </c>
      <c r="C901" s="111" t="s">
        <v>1156</v>
      </c>
      <c r="D901" s="111" t="s">
        <v>1153</v>
      </c>
      <c r="E901" s="111" t="s">
        <v>1160</v>
      </c>
      <c r="F901" s="153">
        <v>17.489999999999998</v>
      </c>
      <c r="G901" s="133"/>
      <c r="H901" s="134" t="s">
        <v>66</v>
      </c>
      <c r="I901" s="133" t="s">
        <v>135</v>
      </c>
      <c r="J901" s="111"/>
      <c r="K901" s="160">
        <v>46006</v>
      </c>
      <c r="L901" s="111"/>
      <c r="M901" s="196"/>
    </row>
    <row r="902" spans="1:13" customFormat="1" x14ac:dyDescent="0.35">
      <c r="A902" s="109">
        <v>45987</v>
      </c>
      <c r="B902" s="121" t="s">
        <v>57</v>
      </c>
      <c r="C902" s="111" t="s">
        <v>1156</v>
      </c>
      <c r="D902" s="111" t="s">
        <v>1153</v>
      </c>
      <c r="E902" s="121" t="s">
        <v>1161</v>
      </c>
      <c r="F902" s="153">
        <v>286.52999999999997</v>
      </c>
      <c r="G902" s="135">
        <f>A902+30</f>
        <v>46017</v>
      </c>
      <c r="H902" s="134" t="s">
        <v>66</v>
      </c>
      <c r="I902" s="133" t="s">
        <v>135</v>
      </c>
      <c r="J902" s="111"/>
      <c r="K902" s="160">
        <v>46006</v>
      </c>
      <c r="L902" s="111"/>
      <c r="M902" s="196"/>
    </row>
    <row r="903" spans="1:13" customFormat="1" x14ac:dyDescent="0.35">
      <c r="A903" s="109">
        <v>45869</v>
      </c>
      <c r="B903" s="121" t="s">
        <v>65</v>
      </c>
      <c r="C903" s="121" t="s">
        <v>50</v>
      </c>
      <c r="D903" s="111"/>
      <c r="E903" s="111"/>
      <c r="F903" s="137">
        <v>-17830</v>
      </c>
      <c r="G903" s="135">
        <v>45869</v>
      </c>
      <c r="H903" s="133"/>
      <c r="I903" s="134"/>
      <c r="J903" s="111"/>
      <c r="K903" s="135">
        <v>45869</v>
      </c>
      <c r="L903" s="153">
        <v>-17830</v>
      </c>
      <c r="M903" s="111"/>
    </row>
    <row r="904" spans="1:13" customFormat="1" x14ac:dyDescent="0.35">
      <c r="A904" s="109">
        <v>45900</v>
      </c>
      <c r="B904" s="121" t="s">
        <v>65</v>
      </c>
      <c r="C904" s="121" t="s">
        <v>50</v>
      </c>
      <c r="D904" s="111"/>
      <c r="E904" s="111"/>
      <c r="F904" s="137">
        <v>-17830</v>
      </c>
      <c r="G904" s="135">
        <v>45900</v>
      </c>
      <c r="H904" s="133"/>
      <c r="I904" s="134"/>
      <c r="J904" s="111"/>
      <c r="K904" s="135">
        <v>45900</v>
      </c>
      <c r="L904" s="153">
        <v>-17830</v>
      </c>
      <c r="M904" s="111"/>
    </row>
    <row r="905" spans="1:13" customFormat="1" x14ac:dyDescent="0.35">
      <c r="A905" s="109">
        <v>45930</v>
      </c>
      <c r="B905" s="121" t="s">
        <v>65</v>
      </c>
      <c r="C905" s="121" t="s">
        <v>50</v>
      </c>
      <c r="D905" s="111"/>
      <c r="E905" s="111"/>
      <c r="F905" s="137">
        <v>-17830</v>
      </c>
      <c r="G905" s="135">
        <v>45930</v>
      </c>
      <c r="H905" s="133"/>
      <c r="I905" s="134"/>
      <c r="J905" s="111"/>
      <c r="K905" s="135">
        <v>45930</v>
      </c>
      <c r="L905" s="153">
        <v>-17830</v>
      </c>
      <c r="M905" s="111"/>
    </row>
    <row r="906" spans="1:13" customFormat="1" x14ac:dyDescent="0.35">
      <c r="A906" s="109">
        <v>45961</v>
      </c>
      <c r="B906" s="121" t="s">
        <v>65</v>
      </c>
      <c r="C906" s="121" t="s">
        <v>50</v>
      </c>
      <c r="D906" s="111"/>
      <c r="E906" s="111"/>
      <c r="F906" s="137">
        <v>-17040</v>
      </c>
      <c r="G906" s="135">
        <v>45961</v>
      </c>
      <c r="H906" s="133"/>
      <c r="I906" s="134"/>
      <c r="J906" s="111"/>
      <c r="K906" s="135">
        <v>45961</v>
      </c>
      <c r="L906" s="153">
        <v>-17040</v>
      </c>
      <c r="M906" s="111"/>
    </row>
    <row r="907" spans="1:13" customFormat="1" x14ac:dyDescent="0.35">
      <c r="A907" s="109">
        <v>45991</v>
      </c>
      <c r="B907" s="143" t="s">
        <v>65</v>
      </c>
      <c r="C907" s="143" t="s">
        <v>50</v>
      </c>
      <c r="D907" s="140"/>
      <c r="E907" s="140"/>
      <c r="F907" s="192">
        <v>-17040</v>
      </c>
      <c r="G907" s="135">
        <v>45991</v>
      </c>
      <c r="H907" s="142"/>
      <c r="I907" s="175"/>
      <c r="J907" s="140"/>
      <c r="K907" s="135">
        <v>45991</v>
      </c>
      <c r="L907" s="153">
        <v>-17040</v>
      </c>
      <c r="M907" s="140"/>
    </row>
    <row r="908" spans="1:13" customFormat="1" x14ac:dyDescent="0.35">
      <c r="A908" s="109">
        <v>46022</v>
      </c>
      <c r="B908" s="121" t="s">
        <v>65</v>
      </c>
      <c r="C908" s="121" t="s">
        <v>50</v>
      </c>
      <c r="D908" s="111"/>
      <c r="E908" s="111"/>
      <c r="F908" s="137">
        <v>-13450</v>
      </c>
      <c r="G908" s="135">
        <v>46022</v>
      </c>
      <c r="H908" s="133"/>
      <c r="I908" s="134"/>
      <c r="J908" s="111"/>
      <c r="K908" s="135">
        <v>46022</v>
      </c>
      <c r="L908" s="153">
        <v>-13450</v>
      </c>
      <c r="M908" s="111"/>
    </row>
    <row r="909" spans="1:13" customFormat="1" x14ac:dyDescent="0.35">
      <c r="A909" s="109">
        <v>45930</v>
      </c>
      <c r="B909" s="144" t="s">
        <v>57</v>
      </c>
      <c r="C909" s="121" t="s">
        <v>1162</v>
      </c>
      <c r="D909" s="144" t="s">
        <v>1153</v>
      </c>
      <c r="E909" s="144" t="s">
        <v>1163</v>
      </c>
      <c r="F909" s="169">
        <v>203.22</v>
      </c>
      <c r="G909" s="133"/>
      <c r="H909" s="148" t="s">
        <v>66</v>
      </c>
      <c r="I909" s="147" t="s">
        <v>135</v>
      </c>
      <c r="J909" s="145"/>
      <c r="K909" s="135">
        <v>45942</v>
      </c>
      <c r="L909" s="111"/>
      <c r="M909" s="198"/>
    </row>
    <row r="910" spans="1:13" customFormat="1" x14ac:dyDescent="0.35">
      <c r="A910" s="109">
        <v>45807</v>
      </c>
      <c r="B910" s="145" t="s">
        <v>65</v>
      </c>
      <c r="C910" s="145" t="s">
        <v>89</v>
      </c>
      <c r="D910" s="145"/>
      <c r="E910" s="145" t="s">
        <v>1164</v>
      </c>
      <c r="F910" s="169">
        <v>-365</v>
      </c>
      <c r="G910" s="133"/>
      <c r="H910" s="147" t="s">
        <v>66</v>
      </c>
      <c r="I910" s="147" t="s">
        <v>1165</v>
      </c>
      <c r="J910" s="145"/>
      <c r="K910" s="135"/>
      <c r="L910" s="111">
        <f>F910</f>
        <v>-365</v>
      </c>
      <c r="M910" s="76" t="s">
        <v>1166</v>
      </c>
    </row>
    <row r="911" spans="1:13" customFormat="1" x14ac:dyDescent="0.35">
      <c r="A911" s="109">
        <v>45600</v>
      </c>
      <c r="B911" s="111" t="s">
        <v>65</v>
      </c>
      <c r="C911" s="111" t="s">
        <v>89</v>
      </c>
      <c r="D911" s="111"/>
      <c r="E911" s="111"/>
      <c r="F911" s="131">
        <v>-143</v>
      </c>
      <c r="G911" s="135"/>
      <c r="H911" s="133" t="s">
        <v>66</v>
      </c>
      <c r="I911" s="133" t="s">
        <v>715</v>
      </c>
      <c r="J911" s="111"/>
      <c r="K911" s="135"/>
      <c r="L911" s="153">
        <f>F911</f>
        <v>-143</v>
      </c>
      <c r="M911" s="76" t="s">
        <v>1167</v>
      </c>
    </row>
    <row r="912" spans="1:13" customFormat="1" x14ac:dyDescent="0.35">
      <c r="A912" s="109">
        <v>45527</v>
      </c>
      <c r="B912" s="111" t="s">
        <v>65</v>
      </c>
      <c r="C912" s="111" t="s">
        <v>89</v>
      </c>
      <c r="D912" s="111"/>
      <c r="E912" s="111" t="s">
        <v>1168</v>
      </c>
      <c r="F912" s="131">
        <v>-258</v>
      </c>
      <c r="G912" s="135"/>
      <c r="H912" s="133" t="s">
        <v>66</v>
      </c>
      <c r="I912" s="133" t="s">
        <v>715</v>
      </c>
      <c r="J912" s="111"/>
      <c r="K912" s="135"/>
      <c r="L912" s="153">
        <f>F912</f>
        <v>-258</v>
      </c>
      <c r="M912" s="76" t="s">
        <v>1169</v>
      </c>
    </row>
    <row r="913" spans="1:14" customFormat="1" x14ac:dyDescent="0.35">
      <c r="A913" s="109">
        <v>45543</v>
      </c>
      <c r="B913" s="111" t="s">
        <v>65</v>
      </c>
      <c r="C913" s="111" t="s">
        <v>89</v>
      </c>
      <c r="D913" s="111"/>
      <c r="E913" s="111" t="s">
        <v>731</v>
      </c>
      <c r="F913" s="131">
        <v>-182</v>
      </c>
      <c r="G913" s="135"/>
      <c r="H913" s="133" t="s">
        <v>66</v>
      </c>
      <c r="I913" s="133" t="s">
        <v>715</v>
      </c>
      <c r="J913" s="111"/>
      <c r="K913" s="135"/>
      <c r="L913" s="153">
        <f>F913</f>
        <v>-182</v>
      </c>
      <c r="M913" s="111" t="s">
        <v>566</v>
      </c>
    </row>
    <row r="914" spans="1:14" customFormat="1" x14ac:dyDescent="0.35">
      <c r="A914" s="109">
        <v>45840</v>
      </c>
      <c r="B914" s="111" t="s">
        <v>57</v>
      </c>
      <c r="C914" s="111" t="s">
        <v>1170</v>
      </c>
      <c r="D914" s="111" t="s">
        <v>1171</v>
      </c>
      <c r="E914" s="121" t="s">
        <v>1172</v>
      </c>
      <c r="F914" s="153">
        <v>29.48</v>
      </c>
      <c r="G914" s="133"/>
      <c r="H914" s="133" t="s">
        <v>66</v>
      </c>
      <c r="I914" s="133" t="s">
        <v>135</v>
      </c>
      <c r="J914" s="111"/>
      <c r="K914" s="135">
        <v>45840</v>
      </c>
      <c r="L914" s="111"/>
      <c r="M914" s="76"/>
    </row>
    <row r="915" spans="1:14" customFormat="1" x14ac:dyDescent="0.35">
      <c r="A915" s="109">
        <v>45630</v>
      </c>
      <c r="B915" s="121" t="s">
        <v>57</v>
      </c>
      <c r="C915" s="111" t="s">
        <v>28</v>
      </c>
      <c r="D915" s="111" t="s">
        <v>1173</v>
      </c>
      <c r="E915" s="111" t="s">
        <v>1174</v>
      </c>
      <c r="F915" s="149">
        <v>48.75</v>
      </c>
      <c r="G915" s="135">
        <f>IF(OR(C915="Matosinhos",C915="Bolhão"),A915,A915+30)</f>
        <v>45660</v>
      </c>
      <c r="H915" s="133" t="s">
        <v>66</v>
      </c>
      <c r="I915" s="133" t="s">
        <v>135</v>
      </c>
      <c r="J915" s="111"/>
      <c r="K915" s="135"/>
      <c r="L915" s="153">
        <f t="shared" ref="L915:L926" si="42">F915</f>
        <v>48.75</v>
      </c>
      <c r="M915">
        <v>515200581</v>
      </c>
    </row>
    <row r="916" spans="1:14" customFormat="1" x14ac:dyDescent="0.35">
      <c r="A916" s="109">
        <v>45646</v>
      </c>
      <c r="B916" s="121" t="s">
        <v>57</v>
      </c>
      <c r="C916" s="111" t="s">
        <v>28</v>
      </c>
      <c r="D916" s="111" t="s">
        <v>1173</v>
      </c>
      <c r="E916" s="111" t="s">
        <v>1175</v>
      </c>
      <c r="F916" s="149">
        <v>81.27</v>
      </c>
      <c r="G916" s="135">
        <f>IF(OR(C916="Matosinhos",C916="Bolhão"),A916,A916+30)</f>
        <v>45676</v>
      </c>
      <c r="H916" s="133" t="s">
        <v>66</v>
      </c>
      <c r="I916" s="133" t="s">
        <v>135</v>
      </c>
      <c r="J916" s="111"/>
      <c r="K916" s="135"/>
      <c r="L916" s="153">
        <f t="shared" si="42"/>
        <v>81.27</v>
      </c>
      <c r="M916">
        <v>515200581</v>
      </c>
    </row>
    <row r="917" spans="1:14" customFormat="1" x14ac:dyDescent="0.35">
      <c r="A917" s="109">
        <v>45504</v>
      </c>
      <c r="B917" s="121" t="s">
        <v>57</v>
      </c>
      <c r="C917" s="111" t="s">
        <v>28</v>
      </c>
      <c r="D917" s="111" t="s">
        <v>1176</v>
      </c>
      <c r="E917" s="111" t="s">
        <v>1177</v>
      </c>
      <c r="F917" s="149">
        <v>139.84</v>
      </c>
      <c r="G917" s="135">
        <f t="shared" ref="G917:G923" si="43">A917+30</f>
        <v>45534</v>
      </c>
      <c r="H917" s="133" t="s">
        <v>66</v>
      </c>
      <c r="I917" s="133" t="s">
        <v>135</v>
      </c>
      <c r="J917" s="111"/>
      <c r="K917" s="135"/>
      <c r="L917" s="153">
        <f t="shared" si="42"/>
        <v>139.84</v>
      </c>
      <c r="M917">
        <v>515200581</v>
      </c>
    </row>
    <row r="918" spans="1:14" customFormat="1" x14ac:dyDescent="0.35">
      <c r="A918" s="176">
        <v>45525</v>
      </c>
      <c r="B918" s="143" t="s">
        <v>57</v>
      </c>
      <c r="C918" s="111" t="s">
        <v>28</v>
      </c>
      <c r="D918" s="140" t="s">
        <v>1176</v>
      </c>
      <c r="E918" s="140" t="s">
        <v>1178</v>
      </c>
      <c r="F918" s="164">
        <v>116.26</v>
      </c>
      <c r="G918" s="177">
        <f t="shared" si="43"/>
        <v>45555</v>
      </c>
      <c r="H918" s="142" t="s">
        <v>66</v>
      </c>
      <c r="I918" s="142" t="s">
        <v>135</v>
      </c>
      <c r="J918" s="140"/>
      <c r="K918" s="135"/>
      <c r="L918" s="153">
        <f t="shared" si="42"/>
        <v>116.26</v>
      </c>
      <c r="M918" s="76">
        <v>515200581</v>
      </c>
    </row>
    <row r="919" spans="1:14" customFormat="1" x14ac:dyDescent="0.35">
      <c r="A919" s="109">
        <v>45546</v>
      </c>
      <c r="B919" s="121" t="s">
        <v>57</v>
      </c>
      <c r="C919" s="111" t="s">
        <v>28</v>
      </c>
      <c r="D919" s="111" t="s">
        <v>1176</v>
      </c>
      <c r="E919" s="111" t="s">
        <v>1179</v>
      </c>
      <c r="F919" s="149">
        <v>137.91</v>
      </c>
      <c r="G919" s="135">
        <f t="shared" si="43"/>
        <v>45576</v>
      </c>
      <c r="H919" s="133" t="s">
        <v>66</v>
      </c>
      <c r="I919" s="133" t="s">
        <v>135</v>
      </c>
      <c r="J919" s="111"/>
      <c r="K919" s="135"/>
      <c r="L919" s="153">
        <f t="shared" si="42"/>
        <v>137.91</v>
      </c>
      <c r="M919" s="111">
        <v>515200581</v>
      </c>
      <c r="N919" s="76"/>
    </row>
    <row r="920" spans="1:14" customFormat="1" x14ac:dyDescent="0.35">
      <c r="A920" s="109">
        <v>45567</v>
      </c>
      <c r="B920" s="121" t="s">
        <v>57</v>
      </c>
      <c r="C920" s="111" t="s">
        <v>28</v>
      </c>
      <c r="D920" s="111" t="s">
        <v>1176</v>
      </c>
      <c r="E920" s="111" t="s">
        <v>1180</v>
      </c>
      <c r="F920" s="149">
        <v>134.37</v>
      </c>
      <c r="G920" s="135">
        <f t="shared" si="43"/>
        <v>45597</v>
      </c>
      <c r="H920" s="133" t="s">
        <v>66</v>
      </c>
      <c r="I920" s="133" t="s">
        <v>135</v>
      </c>
      <c r="J920" s="111"/>
      <c r="K920" s="135"/>
      <c r="L920" s="153">
        <f t="shared" si="42"/>
        <v>134.37</v>
      </c>
      <c r="M920" s="111">
        <v>515200581</v>
      </c>
      <c r="N920" s="76"/>
    </row>
    <row r="921" spans="1:14" customFormat="1" x14ac:dyDescent="0.35">
      <c r="A921" s="109">
        <v>45583</v>
      </c>
      <c r="B921" s="121" t="s">
        <v>57</v>
      </c>
      <c r="C921" s="111" t="s">
        <v>28</v>
      </c>
      <c r="D921" s="111" t="s">
        <v>1176</v>
      </c>
      <c r="E921" s="111" t="s">
        <v>1181</v>
      </c>
      <c r="F921" s="149">
        <v>129.21</v>
      </c>
      <c r="G921" s="135">
        <f t="shared" si="43"/>
        <v>45613</v>
      </c>
      <c r="H921" s="133" t="s">
        <v>66</v>
      </c>
      <c r="I921" s="133" t="s">
        <v>135</v>
      </c>
      <c r="J921" s="111"/>
      <c r="K921" s="135"/>
      <c r="L921" s="153">
        <f t="shared" si="42"/>
        <v>129.21</v>
      </c>
      <c r="M921" s="111">
        <v>515200581</v>
      </c>
      <c r="N921" s="76"/>
    </row>
    <row r="922" spans="1:14" customFormat="1" x14ac:dyDescent="0.35">
      <c r="A922" s="109">
        <v>45590</v>
      </c>
      <c r="B922" s="121" t="s">
        <v>57</v>
      </c>
      <c r="C922" s="111" t="s">
        <v>28</v>
      </c>
      <c r="D922" s="111" t="s">
        <v>1176</v>
      </c>
      <c r="E922" s="111" t="s">
        <v>1182</v>
      </c>
      <c r="F922" s="149">
        <v>79.52</v>
      </c>
      <c r="G922" s="135">
        <f t="shared" si="43"/>
        <v>45620</v>
      </c>
      <c r="H922" s="133" t="s">
        <v>66</v>
      </c>
      <c r="I922" s="133" t="s">
        <v>135</v>
      </c>
      <c r="J922" s="111"/>
      <c r="K922" s="135"/>
      <c r="L922" s="153">
        <f t="shared" si="42"/>
        <v>79.52</v>
      </c>
      <c r="M922" s="111">
        <v>515200581</v>
      </c>
      <c r="N922" s="76"/>
    </row>
    <row r="923" spans="1:14" customFormat="1" x14ac:dyDescent="0.35">
      <c r="A923" s="109">
        <v>45601</v>
      </c>
      <c r="B923" s="121" t="s">
        <v>57</v>
      </c>
      <c r="C923" s="111" t="s">
        <v>28</v>
      </c>
      <c r="D923" s="111" t="s">
        <v>1176</v>
      </c>
      <c r="E923" s="111" t="s">
        <v>1183</v>
      </c>
      <c r="F923" s="149">
        <v>80.61</v>
      </c>
      <c r="G923" s="135">
        <f t="shared" si="43"/>
        <v>45631</v>
      </c>
      <c r="H923" s="133" t="s">
        <v>66</v>
      </c>
      <c r="I923" s="133" t="s">
        <v>135</v>
      </c>
      <c r="J923" s="111"/>
      <c r="K923" s="135"/>
      <c r="L923" s="153">
        <f t="shared" si="42"/>
        <v>80.61</v>
      </c>
      <c r="M923" s="111">
        <v>515200581</v>
      </c>
      <c r="N923" s="76"/>
    </row>
    <row r="924" spans="1:14" customFormat="1" x14ac:dyDescent="0.35">
      <c r="A924" s="109">
        <v>45720</v>
      </c>
      <c r="B924" s="121" t="s">
        <v>57</v>
      </c>
      <c r="C924" s="111" t="s">
        <v>28</v>
      </c>
      <c r="D924" s="111" t="s">
        <v>1173</v>
      </c>
      <c r="E924" s="111" t="s">
        <v>1184</v>
      </c>
      <c r="F924" s="153">
        <v>85.25</v>
      </c>
      <c r="G924" s="135">
        <v>45751</v>
      </c>
      <c r="H924" s="133" t="s">
        <v>66</v>
      </c>
      <c r="I924" s="133" t="s">
        <v>135</v>
      </c>
      <c r="J924" s="111"/>
      <c r="K924" s="135">
        <v>45818</v>
      </c>
      <c r="L924" s="153">
        <f t="shared" si="42"/>
        <v>85.25</v>
      </c>
      <c r="M924" s="111">
        <v>515200581</v>
      </c>
      <c r="N924" s="76"/>
    </row>
    <row r="925" spans="1:14" customFormat="1" x14ac:dyDescent="0.35">
      <c r="A925" s="109">
        <v>45720</v>
      </c>
      <c r="B925" s="121" t="s">
        <v>57</v>
      </c>
      <c r="C925" s="111" t="s">
        <v>28</v>
      </c>
      <c r="D925" s="111" t="s">
        <v>1173</v>
      </c>
      <c r="E925" s="111" t="s">
        <v>1185</v>
      </c>
      <c r="F925" s="153">
        <v>26.9</v>
      </c>
      <c r="G925" s="135">
        <v>45751</v>
      </c>
      <c r="H925" s="133" t="s">
        <v>66</v>
      </c>
      <c r="I925" s="133" t="s">
        <v>135</v>
      </c>
      <c r="J925" s="111"/>
      <c r="K925" s="135">
        <v>45818</v>
      </c>
      <c r="L925" s="153">
        <f t="shared" si="42"/>
        <v>26.9</v>
      </c>
      <c r="M925" s="111">
        <v>515200581</v>
      </c>
      <c r="N925" s="76"/>
    </row>
    <row r="926" spans="1:14" customFormat="1" x14ac:dyDescent="0.35">
      <c r="A926" s="109">
        <v>45734</v>
      </c>
      <c r="B926" s="111" t="s">
        <v>57</v>
      </c>
      <c r="C926" s="111" t="s">
        <v>28</v>
      </c>
      <c r="D926" s="111" t="s">
        <v>1173</v>
      </c>
      <c r="E926" s="121" t="s">
        <v>1186</v>
      </c>
      <c r="F926" s="153">
        <v>82.69</v>
      </c>
      <c r="G926" s="135">
        <v>45751</v>
      </c>
      <c r="H926" s="134" t="s">
        <v>66</v>
      </c>
      <c r="I926" s="133" t="s">
        <v>135</v>
      </c>
      <c r="J926" s="111"/>
      <c r="K926" s="135">
        <v>45756</v>
      </c>
      <c r="L926" s="153">
        <f t="shared" si="42"/>
        <v>82.69</v>
      </c>
      <c r="M926" s="111">
        <v>515200581</v>
      </c>
      <c r="N926" s="76"/>
    </row>
    <row r="927" spans="1:14" customFormat="1" x14ac:dyDescent="0.35">
      <c r="A927" s="109">
        <v>45756</v>
      </c>
      <c r="B927" s="111" t="s">
        <v>57</v>
      </c>
      <c r="C927" s="111" t="s">
        <v>28</v>
      </c>
      <c r="D927" s="111" t="s">
        <v>1173</v>
      </c>
      <c r="E927" s="121" t="s">
        <v>1187</v>
      </c>
      <c r="F927" s="153">
        <v>83.35</v>
      </c>
      <c r="G927" s="135">
        <v>45785</v>
      </c>
      <c r="H927" s="134" t="s">
        <v>66</v>
      </c>
      <c r="I927" s="133" t="s">
        <v>135</v>
      </c>
      <c r="J927" s="111"/>
      <c r="K927" s="135"/>
      <c r="L927" s="111"/>
      <c r="M927" s="111">
        <v>515200581</v>
      </c>
      <c r="N927" s="76"/>
    </row>
    <row r="928" spans="1:14" customFormat="1" x14ac:dyDescent="0.35">
      <c r="A928" s="109">
        <v>45764</v>
      </c>
      <c r="B928" s="121" t="s">
        <v>57</v>
      </c>
      <c r="C928" s="111" t="s">
        <v>28</v>
      </c>
      <c r="D928" s="111" t="s">
        <v>1173</v>
      </c>
      <c r="E928" s="121" t="s">
        <v>1188</v>
      </c>
      <c r="F928" s="153">
        <v>82.46</v>
      </c>
      <c r="G928" s="135">
        <v>45793</v>
      </c>
      <c r="H928" s="134" t="s">
        <v>66</v>
      </c>
      <c r="I928" s="133" t="s">
        <v>135</v>
      </c>
      <c r="J928" s="111"/>
      <c r="K928" s="135"/>
      <c r="L928" s="153">
        <f>F928</f>
        <v>82.46</v>
      </c>
      <c r="M928" s="111">
        <v>515200581</v>
      </c>
      <c r="N928" s="76"/>
    </row>
    <row r="929" spans="1:14" customFormat="1" x14ac:dyDescent="0.35">
      <c r="A929" s="178">
        <v>45779</v>
      </c>
      <c r="B929" s="145" t="s">
        <v>57</v>
      </c>
      <c r="C929" s="111" t="s">
        <v>28</v>
      </c>
      <c r="D929" s="145" t="s">
        <v>1173</v>
      </c>
      <c r="E929" s="144" t="s">
        <v>1189</v>
      </c>
      <c r="F929" s="169">
        <v>95.59</v>
      </c>
      <c r="G929" s="135">
        <v>45809</v>
      </c>
      <c r="H929" s="147" t="s">
        <v>66</v>
      </c>
      <c r="I929" s="147" t="s">
        <v>135</v>
      </c>
      <c r="J929" s="145"/>
      <c r="K929" s="135">
        <v>45818</v>
      </c>
      <c r="L929" s="153">
        <f>F929</f>
        <v>95.59</v>
      </c>
      <c r="M929" s="111">
        <v>515200581</v>
      </c>
      <c r="N929" s="76"/>
    </row>
    <row r="930" spans="1:14" customFormat="1" x14ac:dyDescent="0.35">
      <c r="A930" s="109">
        <v>45796</v>
      </c>
      <c r="B930" s="111" t="s">
        <v>57</v>
      </c>
      <c r="C930" s="111" t="s">
        <v>28</v>
      </c>
      <c r="D930" s="111" t="s">
        <v>1173</v>
      </c>
      <c r="E930" s="121" t="s">
        <v>1190</v>
      </c>
      <c r="F930" s="153">
        <v>88.9</v>
      </c>
      <c r="G930" s="135">
        <v>45827</v>
      </c>
      <c r="H930" s="133" t="s">
        <v>66</v>
      </c>
      <c r="I930" s="133" t="s">
        <v>135</v>
      </c>
      <c r="J930" s="111"/>
      <c r="K930" s="135">
        <v>45818</v>
      </c>
      <c r="L930" s="153">
        <f>F930</f>
        <v>88.9</v>
      </c>
      <c r="M930" s="111">
        <v>515200581</v>
      </c>
      <c r="N930" s="76"/>
    </row>
    <row r="931" spans="1:14" customFormat="1" x14ac:dyDescent="0.35">
      <c r="A931" s="109">
        <v>45812</v>
      </c>
      <c r="B931" s="111" t="s">
        <v>57</v>
      </c>
      <c r="C931" s="111" t="s">
        <v>28</v>
      </c>
      <c r="D931" s="111" t="s">
        <v>1173</v>
      </c>
      <c r="E931" s="111" t="s">
        <v>1191</v>
      </c>
      <c r="F931" s="153">
        <v>194.59</v>
      </c>
      <c r="G931" s="133"/>
      <c r="H931" s="133" t="s">
        <v>66</v>
      </c>
      <c r="I931" s="133" t="s">
        <v>135</v>
      </c>
      <c r="J931" s="111"/>
      <c r="K931" s="135">
        <v>45847</v>
      </c>
      <c r="L931" s="111">
        <f>F931</f>
        <v>194.59</v>
      </c>
      <c r="M931" s="196"/>
      <c r="N931" s="76"/>
    </row>
    <row r="932" spans="1:14" customFormat="1" x14ac:dyDescent="0.35">
      <c r="A932" s="109">
        <v>45833</v>
      </c>
      <c r="B932" s="143" t="s">
        <v>57</v>
      </c>
      <c r="C932" s="111" t="s">
        <v>28</v>
      </c>
      <c r="D932" s="140" t="s">
        <v>1173</v>
      </c>
      <c r="E932" s="140" t="s">
        <v>1192</v>
      </c>
      <c r="F932" s="174">
        <v>126.45</v>
      </c>
      <c r="G932" s="133"/>
      <c r="H932" s="142" t="s">
        <v>66</v>
      </c>
      <c r="I932" s="142" t="s">
        <v>135</v>
      </c>
      <c r="J932" s="140"/>
      <c r="K932" s="135">
        <v>45847</v>
      </c>
      <c r="L932" s="145"/>
      <c r="M932" s="204"/>
    </row>
    <row r="933" spans="1:14" customFormat="1" x14ac:dyDescent="0.35">
      <c r="A933" s="197">
        <v>45856</v>
      </c>
      <c r="B933" s="111" t="s">
        <v>57</v>
      </c>
      <c r="C933" s="121" t="s">
        <v>28</v>
      </c>
      <c r="D933" s="121" t="s">
        <v>1173</v>
      </c>
      <c r="E933" s="121" t="s">
        <v>1193</v>
      </c>
      <c r="F933" s="153">
        <v>94.26</v>
      </c>
      <c r="G933" s="133"/>
      <c r="H933" s="133" t="s">
        <v>66</v>
      </c>
      <c r="I933" s="133" t="s">
        <v>135</v>
      </c>
      <c r="J933" s="111"/>
      <c r="K933" s="135">
        <v>45880</v>
      </c>
      <c r="L933" s="111"/>
      <c r="M933" s="196"/>
    </row>
    <row r="934" spans="1:14" customFormat="1" x14ac:dyDescent="0.35">
      <c r="A934" s="109">
        <v>45379</v>
      </c>
      <c r="B934" s="144" t="s">
        <v>57</v>
      </c>
      <c r="C934" s="111" t="s">
        <v>28</v>
      </c>
      <c r="D934" s="145" t="s">
        <v>1173</v>
      </c>
      <c r="E934" s="145" t="s">
        <v>1194</v>
      </c>
      <c r="F934" s="165">
        <v>57.4</v>
      </c>
      <c r="G934" s="135">
        <f>A934+30</f>
        <v>45409</v>
      </c>
      <c r="H934" s="147" t="s">
        <v>66</v>
      </c>
      <c r="I934" s="147" t="s">
        <v>135</v>
      </c>
      <c r="J934" s="145"/>
      <c r="K934" s="135"/>
      <c r="L934" s="153">
        <f>F934</f>
        <v>57.4</v>
      </c>
      <c r="M934" s="76">
        <v>515200581</v>
      </c>
    </row>
    <row r="935" spans="1:14" customFormat="1" x14ac:dyDescent="0.35">
      <c r="A935" s="109">
        <v>45653</v>
      </c>
      <c r="B935" s="121" t="s">
        <v>57</v>
      </c>
      <c r="C935" s="111" t="s">
        <v>28</v>
      </c>
      <c r="D935" s="111" t="s">
        <v>1173</v>
      </c>
      <c r="E935" s="111" t="s">
        <v>1195</v>
      </c>
      <c r="F935" s="149">
        <v>50.89</v>
      </c>
      <c r="G935" s="135">
        <f>IF(OR(C935="Matosinhos",C935="Bolhão"),A935,A935+30)</f>
        <v>45683</v>
      </c>
      <c r="H935" s="133" t="s">
        <v>66</v>
      </c>
      <c r="I935" s="133" t="s">
        <v>135</v>
      </c>
      <c r="J935" s="111"/>
      <c r="K935" s="135">
        <v>45698</v>
      </c>
      <c r="L935" s="153">
        <f>F935</f>
        <v>50.89</v>
      </c>
      <c r="M935">
        <v>515200581</v>
      </c>
    </row>
    <row r="936" spans="1:14" customFormat="1" x14ac:dyDescent="0.35">
      <c r="A936" s="176">
        <v>45884</v>
      </c>
      <c r="B936" s="140" t="s">
        <v>57</v>
      </c>
      <c r="C936" s="121" t="s">
        <v>1196</v>
      </c>
      <c r="D936" s="143" t="s">
        <v>1173</v>
      </c>
      <c r="E936" s="143" t="s">
        <v>1197</v>
      </c>
      <c r="F936" s="174">
        <v>314.43</v>
      </c>
      <c r="G936" s="177">
        <v>45914</v>
      </c>
      <c r="H936" s="175" t="s">
        <v>66</v>
      </c>
      <c r="I936" s="142" t="s">
        <v>135</v>
      </c>
      <c r="J936" s="140"/>
      <c r="K936" s="135">
        <v>45909</v>
      </c>
      <c r="L936" s="111"/>
      <c r="M936" s="204"/>
    </row>
    <row r="937" spans="1:14" customFormat="1" x14ac:dyDescent="0.35">
      <c r="A937" s="109">
        <v>45930</v>
      </c>
      <c r="B937" s="121" t="s">
        <v>57</v>
      </c>
      <c r="C937" s="121" t="s">
        <v>63</v>
      </c>
      <c r="D937" s="121" t="s">
        <v>1173</v>
      </c>
      <c r="E937" s="121" t="s">
        <v>1198</v>
      </c>
      <c r="F937" s="153">
        <v>211.74</v>
      </c>
      <c r="G937" s="133"/>
      <c r="H937" s="134" t="s">
        <v>66</v>
      </c>
      <c r="I937" s="133" t="s">
        <v>135</v>
      </c>
      <c r="J937" s="111"/>
      <c r="K937" s="135">
        <v>45939</v>
      </c>
      <c r="L937" s="111"/>
      <c r="M937" s="196"/>
      <c r="N937" s="76"/>
    </row>
    <row r="938" spans="1:14" customFormat="1" x14ac:dyDescent="0.35">
      <c r="A938" s="178">
        <v>45967</v>
      </c>
      <c r="B938" s="144" t="s">
        <v>57</v>
      </c>
      <c r="C938" s="144" t="s">
        <v>63</v>
      </c>
      <c r="D938" s="144" t="s">
        <v>1173</v>
      </c>
      <c r="E938" s="144" t="s">
        <v>1199</v>
      </c>
      <c r="F938" s="169">
        <v>224.77</v>
      </c>
      <c r="G938" s="138">
        <f>A938+30</f>
        <v>45997</v>
      </c>
      <c r="H938" s="147" t="s">
        <v>66</v>
      </c>
      <c r="I938" s="147" t="s">
        <v>135</v>
      </c>
      <c r="J938" s="145"/>
      <c r="K938" s="135">
        <v>46002</v>
      </c>
      <c r="L938" s="111"/>
      <c r="M938" s="204"/>
    </row>
    <row r="939" spans="1:14" customFormat="1" x14ac:dyDescent="0.35">
      <c r="A939" s="109">
        <v>45918</v>
      </c>
      <c r="B939" s="121" t="s">
        <v>57</v>
      </c>
      <c r="C939" s="140" t="s">
        <v>20</v>
      </c>
      <c r="D939" s="121" t="s">
        <v>1200</v>
      </c>
      <c r="E939" s="121" t="s">
        <v>1201</v>
      </c>
      <c r="F939" s="208">
        <v>71</v>
      </c>
      <c r="G939" s="135">
        <f>A939+30</f>
        <v>45948</v>
      </c>
      <c r="H939" s="133" t="s">
        <v>66</v>
      </c>
      <c r="I939" s="133" t="s">
        <v>135</v>
      </c>
      <c r="J939" s="111"/>
      <c r="K939" s="135">
        <v>45923</v>
      </c>
      <c r="L939" s="111"/>
      <c r="M939" s="75"/>
    </row>
    <row r="940" spans="1:14" customFormat="1" x14ac:dyDescent="0.35">
      <c r="A940" s="176">
        <v>45930</v>
      </c>
      <c r="B940" s="143" t="s">
        <v>57</v>
      </c>
      <c r="C940" s="140" t="s">
        <v>20</v>
      </c>
      <c r="D940" s="143" t="s">
        <v>1200</v>
      </c>
      <c r="E940" s="143" t="s">
        <v>1202</v>
      </c>
      <c r="F940" s="174">
        <v>29.98</v>
      </c>
      <c r="G940" s="142"/>
      <c r="H940" s="175" t="s">
        <v>66</v>
      </c>
      <c r="I940" s="142" t="s">
        <v>135</v>
      </c>
      <c r="J940" s="140"/>
      <c r="K940" s="135">
        <v>45937</v>
      </c>
      <c r="L940" s="111"/>
      <c r="M940" s="204"/>
    </row>
    <row r="941" spans="1:14" customFormat="1" x14ac:dyDescent="0.35">
      <c r="A941" s="109">
        <v>45937</v>
      </c>
      <c r="B941" s="121" t="s">
        <v>57</v>
      </c>
      <c r="C941" s="140" t="s">
        <v>20</v>
      </c>
      <c r="D941" s="121" t="s">
        <v>1200</v>
      </c>
      <c r="E941" s="121" t="s">
        <v>1203</v>
      </c>
      <c r="F941" s="153">
        <v>29.28</v>
      </c>
      <c r="G941" s="133"/>
      <c r="H941" s="134" t="s">
        <v>66</v>
      </c>
      <c r="I941" s="133" t="s">
        <v>135</v>
      </c>
      <c r="J941" s="111"/>
      <c r="K941" s="135">
        <v>45944</v>
      </c>
      <c r="L941" s="111"/>
      <c r="M941" s="196"/>
      <c r="N941" s="76"/>
    </row>
    <row r="942" spans="1:14" customFormat="1" x14ac:dyDescent="0.35">
      <c r="A942" s="178">
        <v>45947</v>
      </c>
      <c r="B942" s="145" t="s">
        <v>57</v>
      </c>
      <c r="C942" s="140" t="s">
        <v>20</v>
      </c>
      <c r="D942" s="145" t="s">
        <v>1200</v>
      </c>
      <c r="E942" s="144" t="s">
        <v>1204</v>
      </c>
      <c r="F942" s="169">
        <v>30.89</v>
      </c>
      <c r="G942" s="138">
        <f>A942+30</f>
        <v>45977</v>
      </c>
      <c r="H942" s="147" t="s">
        <v>66</v>
      </c>
      <c r="I942" s="147" t="s">
        <v>135</v>
      </c>
      <c r="J942" s="145"/>
      <c r="K942" s="135">
        <v>45951</v>
      </c>
      <c r="L942" s="111"/>
      <c r="M942" s="204"/>
    </row>
    <row r="943" spans="1:14" customFormat="1" x14ac:dyDescent="0.35">
      <c r="A943" s="109">
        <v>45952</v>
      </c>
      <c r="B943" s="121" t="s">
        <v>57</v>
      </c>
      <c r="C943" s="140" t="s">
        <v>20</v>
      </c>
      <c r="D943" s="121" t="s">
        <v>1200</v>
      </c>
      <c r="E943" s="121" t="s">
        <v>1205</v>
      </c>
      <c r="F943" s="153">
        <v>30.23</v>
      </c>
      <c r="G943" s="135">
        <f>A943+30</f>
        <v>45982</v>
      </c>
      <c r="H943" s="134" t="s">
        <v>66</v>
      </c>
      <c r="I943" s="133" t="s">
        <v>135</v>
      </c>
      <c r="J943" s="111"/>
      <c r="K943" s="135">
        <v>45959</v>
      </c>
      <c r="L943" s="111"/>
      <c r="M943" s="75"/>
    </row>
    <row r="944" spans="1:14" customFormat="1" x14ac:dyDescent="0.35">
      <c r="A944" s="109">
        <v>45939</v>
      </c>
      <c r="B944" s="143" t="s">
        <v>57</v>
      </c>
      <c r="C944" s="140" t="s">
        <v>20</v>
      </c>
      <c r="D944" s="143" t="s">
        <v>1200</v>
      </c>
      <c r="E944" s="143" t="s">
        <v>1206</v>
      </c>
      <c r="F944" s="174">
        <v>28.87</v>
      </c>
      <c r="G944" s="135">
        <f>A944+30</f>
        <v>45969</v>
      </c>
      <c r="H944" s="175" t="s">
        <v>66</v>
      </c>
      <c r="I944" s="142" t="s">
        <v>135</v>
      </c>
      <c r="J944" s="140"/>
      <c r="K944" s="135">
        <v>45968</v>
      </c>
      <c r="L944" s="111"/>
      <c r="M944" s="204"/>
    </row>
    <row r="945" spans="1:14" customFormat="1" x14ac:dyDescent="0.35">
      <c r="A945" s="109">
        <v>45964</v>
      </c>
      <c r="B945" s="111" t="s">
        <v>57</v>
      </c>
      <c r="C945" s="140" t="s">
        <v>20</v>
      </c>
      <c r="D945" s="111" t="s">
        <v>1200</v>
      </c>
      <c r="E945" s="111" t="s">
        <v>1207</v>
      </c>
      <c r="F945" s="153">
        <v>31.56</v>
      </c>
      <c r="G945" s="135">
        <v>45994</v>
      </c>
      <c r="H945" s="134" t="s">
        <v>66</v>
      </c>
      <c r="I945" s="133" t="s">
        <v>135</v>
      </c>
      <c r="J945" s="111"/>
      <c r="K945" s="135">
        <v>45968</v>
      </c>
      <c r="L945" s="111"/>
      <c r="M945" s="196"/>
    </row>
    <row r="946" spans="1:14" customFormat="1" x14ac:dyDescent="0.35">
      <c r="A946" s="109">
        <v>45965</v>
      </c>
      <c r="B946" s="145" t="s">
        <v>57</v>
      </c>
      <c r="C946" s="140" t="s">
        <v>20</v>
      </c>
      <c r="D946" s="145" t="s">
        <v>1200</v>
      </c>
      <c r="E946" s="237" t="s">
        <v>1208</v>
      </c>
      <c r="F946" s="169">
        <v>33.22</v>
      </c>
      <c r="G946" s="135">
        <v>45995</v>
      </c>
      <c r="H946" s="148" t="s">
        <v>66</v>
      </c>
      <c r="I946" s="147" t="s">
        <v>135</v>
      </c>
      <c r="J946" s="145"/>
      <c r="K946" s="135">
        <v>45968</v>
      </c>
      <c r="L946" s="111"/>
      <c r="M946" s="204"/>
    </row>
    <row r="947" spans="1:14" customFormat="1" x14ac:dyDescent="0.35">
      <c r="A947" s="109">
        <v>45999</v>
      </c>
      <c r="B947" s="111" t="s">
        <v>57</v>
      </c>
      <c r="C947" s="140" t="s">
        <v>20</v>
      </c>
      <c r="D947" s="111" t="s">
        <v>1200</v>
      </c>
      <c r="E947" s="121" t="s">
        <v>1209</v>
      </c>
      <c r="F947" s="153">
        <v>31.49</v>
      </c>
      <c r="G947" s="135">
        <f>A947+30</f>
        <v>46029</v>
      </c>
      <c r="H947" s="134" t="s">
        <v>66</v>
      </c>
      <c r="I947" s="133" t="s">
        <v>135</v>
      </c>
      <c r="J947" s="111"/>
      <c r="K947" s="160">
        <v>46001</v>
      </c>
      <c r="L947" s="111"/>
      <c r="M947" s="75"/>
    </row>
    <row r="948" spans="1:14" customFormat="1" x14ac:dyDescent="0.35">
      <c r="A948" s="109">
        <v>45987</v>
      </c>
      <c r="B948" s="121" t="s">
        <v>57</v>
      </c>
      <c r="C948" s="111" t="s">
        <v>1156</v>
      </c>
      <c r="D948" s="111" t="s">
        <v>1153</v>
      </c>
      <c r="E948" s="121" t="s">
        <v>1210</v>
      </c>
      <c r="F948" s="153">
        <v>127.73</v>
      </c>
      <c r="G948" s="135">
        <f>A948+30</f>
        <v>46017</v>
      </c>
      <c r="H948" s="134" t="s">
        <v>66</v>
      </c>
      <c r="I948" s="133" t="s">
        <v>135</v>
      </c>
      <c r="J948" s="111"/>
      <c r="K948" s="160">
        <v>46006</v>
      </c>
      <c r="L948" s="111"/>
      <c r="M948" s="75"/>
    </row>
    <row r="949" spans="1:14" customFormat="1" x14ac:dyDescent="0.35">
      <c r="A949" s="109">
        <v>45979</v>
      </c>
      <c r="B949" s="111" t="s">
        <v>57</v>
      </c>
      <c r="C949" s="111" t="s">
        <v>1211</v>
      </c>
      <c r="D949" s="111" t="s">
        <v>1200</v>
      </c>
      <c r="E949" s="111" t="s">
        <v>1212</v>
      </c>
      <c r="F949" s="153">
        <v>32.090000000000003</v>
      </c>
      <c r="G949" s="135">
        <v>46009</v>
      </c>
      <c r="H949" s="134" t="s">
        <v>66</v>
      </c>
      <c r="I949" s="133" t="s">
        <v>135</v>
      </c>
      <c r="J949" s="111"/>
      <c r="K949" s="160">
        <v>45986</v>
      </c>
      <c r="L949" s="111"/>
      <c r="M949" s="204"/>
    </row>
    <row r="950" spans="1:14" customFormat="1" x14ac:dyDescent="0.35">
      <c r="A950" s="109">
        <v>45986</v>
      </c>
      <c r="B950" s="121" t="s">
        <v>57</v>
      </c>
      <c r="C950" s="111" t="s">
        <v>1211</v>
      </c>
      <c r="D950" s="111" t="s">
        <v>1200</v>
      </c>
      <c r="E950" s="121" t="s">
        <v>1213</v>
      </c>
      <c r="F950" s="153">
        <v>32.89</v>
      </c>
      <c r="G950" s="135">
        <f>A950+30</f>
        <v>46016</v>
      </c>
      <c r="H950" s="134" t="s">
        <v>66</v>
      </c>
      <c r="I950" s="133" t="s">
        <v>135</v>
      </c>
      <c r="J950" s="111"/>
      <c r="K950" s="160">
        <v>45993</v>
      </c>
      <c r="L950" s="111"/>
      <c r="M950" s="75"/>
    </row>
    <row r="951" spans="1:14" customFormat="1" x14ac:dyDescent="0.35">
      <c r="A951" s="176">
        <v>45755</v>
      </c>
      <c r="B951" s="140" t="s">
        <v>57</v>
      </c>
      <c r="C951" s="140" t="s">
        <v>20</v>
      </c>
      <c r="D951" s="140" t="s">
        <v>1200</v>
      </c>
      <c r="E951" s="143" t="s">
        <v>1214</v>
      </c>
      <c r="F951" s="174">
        <v>29.21</v>
      </c>
      <c r="G951" s="177">
        <v>45784</v>
      </c>
      <c r="H951" s="175" t="s">
        <v>66</v>
      </c>
      <c r="I951" s="142" t="s">
        <v>135</v>
      </c>
      <c r="J951" s="140"/>
      <c r="K951" s="135">
        <v>45762</v>
      </c>
      <c r="L951" s="153"/>
      <c r="M951" s="76"/>
    </row>
    <row r="952" spans="1:14" customFormat="1" x14ac:dyDescent="0.35">
      <c r="A952" s="109">
        <v>45568</v>
      </c>
      <c r="B952" s="111" t="s">
        <v>65</v>
      </c>
      <c r="C952" s="111" t="s">
        <v>89</v>
      </c>
      <c r="D952" s="111"/>
      <c r="E952" s="111" t="s">
        <v>1215</v>
      </c>
      <c r="F952" s="131">
        <v>-231</v>
      </c>
      <c r="G952" s="135"/>
      <c r="H952" s="133" t="s">
        <v>66</v>
      </c>
      <c r="I952" s="133" t="s">
        <v>715</v>
      </c>
      <c r="J952" s="111"/>
      <c r="K952" s="135"/>
      <c r="L952" s="153">
        <f>F952</f>
        <v>-231</v>
      </c>
      <c r="M952" s="111" t="s">
        <v>1216</v>
      </c>
      <c r="N952" s="76"/>
    </row>
    <row r="953" spans="1:14" customFormat="1" x14ac:dyDescent="0.35">
      <c r="A953" s="109">
        <v>45828</v>
      </c>
      <c r="B953" s="111" t="s">
        <v>57</v>
      </c>
      <c r="C953" s="111" t="s">
        <v>20</v>
      </c>
      <c r="D953" s="111" t="s">
        <v>1200</v>
      </c>
      <c r="E953" s="121" t="s">
        <v>1217</v>
      </c>
      <c r="F953" s="153">
        <v>66.37</v>
      </c>
      <c r="G953" s="135">
        <v>45857</v>
      </c>
      <c r="H953" s="142" t="s">
        <v>66</v>
      </c>
      <c r="I953" s="133" t="s">
        <v>135</v>
      </c>
      <c r="J953" s="111"/>
      <c r="K953" s="135">
        <v>45832</v>
      </c>
      <c r="L953" s="111"/>
      <c r="M953" s="111"/>
      <c r="N953" s="76"/>
    </row>
    <row r="954" spans="1:14" customFormat="1" x14ac:dyDescent="0.35">
      <c r="A954" s="109">
        <v>45839</v>
      </c>
      <c r="B954" s="111" t="s">
        <v>57</v>
      </c>
      <c r="C954" s="111" t="s">
        <v>20</v>
      </c>
      <c r="D954" s="111" t="s">
        <v>1200</v>
      </c>
      <c r="E954" s="121" t="s">
        <v>1218</v>
      </c>
      <c r="F954" s="153">
        <v>66.36</v>
      </c>
      <c r="G954" s="133"/>
      <c r="H954" s="142" t="s">
        <v>66</v>
      </c>
      <c r="I954" s="133" t="s">
        <v>135</v>
      </c>
      <c r="J954" s="111"/>
      <c r="K954" s="135">
        <v>45846</v>
      </c>
      <c r="L954" s="111"/>
      <c r="M954" s="196"/>
      <c r="N954" s="76"/>
    </row>
    <row r="955" spans="1:14" customFormat="1" x14ac:dyDescent="0.35">
      <c r="A955" s="109">
        <v>45854</v>
      </c>
      <c r="B955" s="111" t="s">
        <v>57</v>
      </c>
      <c r="C955" s="111" t="s">
        <v>20</v>
      </c>
      <c r="D955" s="121" t="s">
        <v>1200</v>
      </c>
      <c r="E955" s="121" t="s">
        <v>1219</v>
      </c>
      <c r="F955" s="153">
        <v>31.23</v>
      </c>
      <c r="G955" s="133"/>
      <c r="H955" s="175" t="s">
        <v>66</v>
      </c>
      <c r="I955" s="133" t="s">
        <v>135</v>
      </c>
      <c r="J955" s="111"/>
      <c r="K955" s="135">
        <v>45860</v>
      </c>
      <c r="L955" s="111"/>
      <c r="M955" s="196"/>
      <c r="N955" s="76"/>
    </row>
    <row r="956" spans="1:14" customFormat="1" x14ac:dyDescent="0.35">
      <c r="A956" s="178">
        <v>45861</v>
      </c>
      <c r="B956" s="154" t="s">
        <v>57</v>
      </c>
      <c r="C956" s="154" t="s">
        <v>20</v>
      </c>
      <c r="D956" s="154" t="s">
        <v>1200</v>
      </c>
      <c r="E956" s="154" t="s">
        <v>1220</v>
      </c>
      <c r="F956" s="201">
        <v>62.94</v>
      </c>
      <c r="G956" s="147"/>
      <c r="H956" s="232" t="s">
        <v>66</v>
      </c>
      <c r="I956" s="159" t="s">
        <v>135</v>
      </c>
      <c r="J956" s="154"/>
      <c r="K956" s="135">
        <v>45867</v>
      </c>
      <c r="L956" s="111"/>
      <c r="M956" s="204"/>
    </row>
    <row r="957" spans="1:14" customFormat="1" x14ac:dyDescent="0.35">
      <c r="A957" s="109">
        <v>45868</v>
      </c>
      <c r="B957" s="111" t="s">
        <v>57</v>
      </c>
      <c r="C957" s="111" t="s">
        <v>20</v>
      </c>
      <c r="D957" s="121" t="s">
        <v>1200</v>
      </c>
      <c r="E957" s="121" t="s">
        <v>1221</v>
      </c>
      <c r="F957" s="153">
        <v>33.97</v>
      </c>
      <c r="G957" s="133"/>
      <c r="H957" s="133" t="s">
        <v>66</v>
      </c>
      <c r="I957" s="133" t="s">
        <v>135</v>
      </c>
      <c r="J957" s="111"/>
      <c r="K957" s="135">
        <v>45844</v>
      </c>
      <c r="L957" s="111"/>
      <c r="M957" s="196"/>
    </row>
    <row r="958" spans="1:14" customFormat="1" x14ac:dyDescent="0.35">
      <c r="A958" s="109">
        <v>45877</v>
      </c>
      <c r="B958" s="145" t="s">
        <v>57</v>
      </c>
      <c r="C958" s="145" t="s">
        <v>20</v>
      </c>
      <c r="D958" s="145" t="s">
        <v>1200</v>
      </c>
      <c r="E958" s="144" t="s">
        <v>1222</v>
      </c>
      <c r="F958" s="169">
        <v>29.58</v>
      </c>
      <c r="G958" s="135">
        <f t="shared" ref="G958:G964" si="44">A958+30</f>
        <v>45907</v>
      </c>
      <c r="H958" s="147" t="s">
        <v>66</v>
      </c>
      <c r="I958" s="147" t="s">
        <v>135</v>
      </c>
      <c r="J958" s="145"/>
      <c r="K958" s="135">
        <v>45881</v>
      </c>
      <c r="L958" s="111"/>
      <c r="M958" s="204"/>
    </row>
    <row r="959" spans="1:14" customFormat="1" x14ac:dyDescent="0.35">
      <c r="A959" s="109">
        <v>45881</v>
      </c>
      <c r="B959" s="111" t="s">
        <v>57</v>
      </c>
      <c r="C959" s="111" t="s">
        <v>20</v>
      </c>
      <c r="D959" s="111" t="s">
        <v>1200</v>
      </c>
      <c r="E959" s="121" t="s">
        <v>1223</v>
      </c>
      <c r="F959" s="153">
        <v>33.14</v>
      </c>
      <c r="G959" s="135">
        <f t="shared" si="44"/>
        <v>45911</v>
      </c>
      <c r="H959" s="134" t="s">
        <v>66</v>
      </c>
      <c r="I959" s="133" t="s">
        <v>135</v>
      </c>
      <c r="J959" s="111"/>
      <c r="K959" s="135">
        <v>45888</v>
      </c>
      <c r="L959" s="111"/>
      <c r="M959" s="75"/>
    </row>
    <row r="960" spans="1:14" customFormat="1" x14ac:dyDescent="0.35">
      <c r="A960" s="109">
        <v>45426</v>
      </c>
      <c r="B960" s="121" t="s">
        <v>57</v>
      </c>
      <c r="C960" s="111" t="s">
        <v>20</v>
      </c>
      <c r="D960" s="111" t="s">
        <v>1200</v>
      </c>
      <c r="E960" s="111" t="s">
        <v>1224</v>
      </c>
      <c r="F960" s="149">
        <v>88.65</v>
      </c>
      <c r="G960" s="135">
        <f t="shared" si="44"/>
        <v>45456</v>
      </c>
      <c r="H960" s="133" t="s">
        <v>561</v>
      </c>
      <c r="I960" s="133" t="s">
        <v>135</v>
      </c>
      <c r="J960" s="111"/>
      <c r="K960" s="135"/>
      <c r="L960" s="153">
        <f t="shared" ref="L960:L977" si="45">F960</f>
        <v>88.65</v>
      </c>
      <c r="M960">
        <v>517897849</v>
      </c>
    </row>
    <row r="961" spans="1:13" customFormat="1" x14ac:dyDescent="0.35">
      <c r="A961" s="109">
        <v>45454</v>
      </c>
      <c r="B961" s="121" t="s">
        <v>57</v>
      </c>
      <c r="C961" s="111" t="s">
        <v>20</v>
      </c>
      <c r="D961" s="111" t="s">
        <v>1200</v>
      </c>
      <c r="E961" s="111" t="s">
        <v>1225</v>
      </c>
      <c r="F961" s="149">
        <v>29.21</v>
      </c>
      <c r="G961" s="135">
        <f t="shared" si="44"/>
        <v>45484</v>
      </c>
      <c r="H961" s="133" t="s">
        <v>66</v>
      </c>
      <c r="I961" s="133" t="s">
        <v>135</v>
      </c>
      <c r="J961" s="111"/>
      <c r="K961" s="135"/>
      <c r="L961" s="153">
        <f t="shared" si="45"/>
        <v>29.21</v>
      </c>
      <c r="M961">
        <v>517897849</v>
      </c>
    </row>
    <row r="962" spans="1:13" customFormat="1" x14ac:dyDescent="0.35">
      <c r="A962" s="109">
        <v>45477</v>
      </c>
      <c r="B962" s="121" t="s">
        <v>57</v>
      </c>
      <c r="C962" s="111" t="s">
        <v>20</v>
      </c>
      <c r="D962" s="111" t="s">
        <v>1200</v>
      </c>
      <c r="E962" s="111" t="s">
        <v>1226</v>
      </c>
      <c r="F962" s="149">
        <v>27.11</v>
      </c>
      <c r="G962" s="135">
        <f t="shared" si="44"/>
        <v>45507</v>
      </c>
      <c r="H962" s="133" t="s">
        <v>66</v>
      </c>
      <c r="I962" s="133" t="s">
        <v>135</v>
      </c>
      <c r="J962" s="111"/>
      <c r="K962" s="135"/>
      <c r="L962" s="153">
        <f t="shared" si="45"/>
        <v>27.11</v>
      </c>
      <c r="M962">
        <v>517897849</v>
      </c>
    </row>
    <row r="963" spans="1:13" customFormat="1" x14ac:dyDescent="0.35">
      <c r="A963" s="109">
        <v>45484</v>
      </c>
      <c r="B963" s="121" t="s">
        <v>57</v>
      </c>
      <c r="C963" s="111" t="s">
        <v>20</v>
      </c>
      <c r="D963" s="111" t="s">
        <v>1200</v>
      </c>
      <c r="E963" s="111" t="s">
        <v>1227</v>
      </c>
      <c r="F963" s="149">
        <v>55.42</v>
      </c>
      <c r="G963" s="135">
        <f t="shared" si="44"/>
        <v>45514</v>
      </c>
      <c r="H963" s="133" t="s">
        <v>66</v>
      </c>
      <c r="I963" s="133" t="s">
        <v>135</v>
      </c>
      <c r="J963" s="111"/>
      <c r="K963" s="135"/>
      <c r="L963" s="153">
        <f t="shared" si="45"/>
        <v>55.42</v>
      </c>
      <c r="M963" s="76">
        <v>517897849</v>
      </c>
    </row>
    <row r="964" spans="1:13" customFormat="1" x14ac:dyDescent="0.35">
      <c r="A964" s="109">
        <v>45468</v>
      </c>
      <c r="B964" s="121" t="s">
        <v>57</v>
      </c>
      <c r="C964" s="111" t="s">
        <v>20</v>
      </c>
      <c r="D964" s="111" t="s">
        <v>1200</v>
      </c>
      <c r="E964" s="111" t="s">
        <v>1228</v>
      </c>
      <c r="F964" s="149">
        <v>29.31</v>
      </c>
      <c r="G964" s="135">
        <f t="shared" si="44"/>
        <v>45498</v>
      </c>
      <c r="H964" s="133" t="s">
        <v>66</v>
      </c>
      <c r="I964" s="133" t="s">
        <v>135</v>
      </c>
      <c r="J964" s="111"/>
      <c r="K964" s="135"/>
      <c r="L964" s="153">
        <f t="shared" si="45"/>
        <v>29.31</v>
      </c>
      <c r="M964">
        <v>517897849</v>
      </c>
    </row>
    <row r="965" spans="1:13" customFormat="1" x14ac:dyDescent="0.35">
      <c r="A965" s="109">
        <v>45630</v>
      </c>
      <c r="B965" s="121" t="s">
        <v>57</v>
      </c>
      <c r="C965" s="111" t="s">
        <v>20</v>
      </c>
      <c r="D965" s="111" t="s">
        <v>1200</v>
      </c>
      <c r="E965" s="111" t="s">
        <v>1229</v>
      </c>
      <c r="F965" s="149">
        <v>25.81</v>
      </c>
      <c r="G965" s="135">
        <f>IF(OR(C965="Matosinhos",C965="Bolhão"),A965,A965+30)</f>
        <v>45660</v>
      </c>
      <c r="H965" s="133" t="s">
        <v>66</v>
      </c>
      <c r="I965" s="133" t="s">
        <v>135</v>
      </c>
      <c r="J965" s="111"/>
      <c r="K965" s="135"/>
      <c r="L965" s="153">
        <f t="shared" si="45"/>
        <v>25.81</v>
      </c>
      <c r="M965">
        <v>517897849</v>
      </c>
    </row>
    <row r="966" spans="1:13" customFormat="1" x14ac:dyDescent="0.35">
      <c r="A966" s="109">
        <v>45636</v>
      </c>
      <c r="B966" s="121" t="s">
        <v>57</v>
      </c>
      <c r="C966" s="111" t="s">
        <v>20</v>
      </c>
      <c r="D966" s="111" t="s">
        <v>1200</v>
      </c>
      <c r="E966" s="111" t="s">
        <v>1230</v>
      </c>
      <c r="F966" s="149">
        <v>26.85</v>
      </c>
      <c r="G966" s="135">
        <f>IF(OR(C966="Matosinhos",C966="Bolhão"),A966,A966+30)</f>
        <v>45666</v>
      </c>
      <c r="H966" s="133" t="s">
        <v>66</v>
      </c>
      <c r="I966" s="133" t="s">
        <v>135</v>
      </c>
      <c r="J966" s="111"/>
      <c r="K966" s="135"/>
      <c r="L966" s="153">
        <f t="shared" si="45"/>
        <v>26.85</v>
      </c>
      <c r="M966">
        <v>517897849</v>
      </c>
    </row>
    <row r="967" spans="1:13" customFormat="1" x14ac:dyDescent="0.35">
      <c r="A967" s="109">
        <v>45609</v>
      </c>
      <c r="B967" s="121" t="s">
        <v>57</v>
      </c>
      <c r="C967" s="111" t="s">
        <v>20</v>
      </c>
      <c r="D967" s="111" t="s">
        <v>1200</v>
      </c>
      <c r="E967" s="111" t="s">
        <v>1231</v>
      </c>
      <c r="F967" s="149">
        <v>54.55</v>
      </c>
      <c r="G967" s="135">
        <f t="shared" ref="G967:G976" si="46">A967+30</f>
        <v>45639</v>
      </c>
      <c r="H967" s="133" t="s">
        <v>66</v>
      </c>
      <c r="I967" s="133" t="s">
        <v>135</v>
      </c>
      <c r="J967" s="111"/>
      <c r="K967" s="135"/>
      <c r="L967" s="153">
        <f t="shared" si="45"/>
        <v>54.55</v>
      </c>
      <c r="M967">
        <v>517897849</v>
      </c>
    </row>
    <row r="968" spans="1:13" customFormat="1" x14ac:dyDescent="0.35">
      <c r="A968" s="109">
        <v>45512</v>
      </c>
      <c r="B968" s="143" t="s">
        <v>57</v>
      </c>
      <c r="C968" s="111" t="s">
        <v>20</v>
      </c>
      <c r="D968" s="140" t="s">
        <v>1200</v>
      </c>
      <c r="E968" s="140" t="s">
        <v>1232</v>
      </c>
      <c r="F968" s="164">
        <v>28.76</v>
      </c>
      <c r="G968" s="135">
        <f t="shared" si="46"/>
        <v>45542</v>
      </c>
      <c r="H968" s="142" t="s">
        <v>66</v>
      </c>
      <c r="I968" s="142" t="s">
        <v>135</v>
      </c>
      <c r="J968" s="140"/>
      <c r="K968" s="135"/>
      <c r="L968" s="153">
        <f t="shared" si="45"/>
        <v>28.76</v>
      </c>
      <c r="M968" s="76">
        <v>517897849</v>
      </c>
    </row>
    <row r="969" spans="1:13" customFormat="1" x14ac:dyDescent="0.35">
      <c r="A969" s="109">
        <v>45498</v>
      </c>
      <c r="B969" s="121" t="s">
        <v>57</v>
      </c>
      <c r="C969" s="111" t="s">
        <v>20</v>
      </c>
      <c r="D969" s="111" t="s">
        <v>1200</v>
      </c>
      <c r="E969" s="111" t="s">
        <v>1233</v>
      </c>
      <c r="F969" s="149">
        <v>56.49</v>
      </c>
      <c r="G969" s="135">
        <f t="shared" si="46"/>
        <v>45528</v>
      </c>
      <c r="H969" s="133" t="s">
        <v>66</v>
      </c>
      <c r="I969" s="133" t="s">
        <v>135</v>
      </c>
      <c r="J969" s="111"/>
      <c r="K969" s="135"/>
      <c r="L969" s="153">
        <f t="shared" si="45"/>
        <v>56.49</v>
      </c>
      <c r="M969" s="111">
        <v>517897849</v>
      </c>
    </row>
    <row r="970" spans="1:13" customFormat="1" x14ac:dyDescent="0.35">
      <c r="A970" s="109">
        <v>45527</v>
      </c>
      <c r="B970" s="144" t="s">
        <v>57</v>
      </c>
      <c r="C970" s="111" t="s">
        <v>20</v>
      </c>
      <c r="D970" s="145" t="s">
        <v>1200</v>
      </c>
      <c r="E970" s="145" t="s">
        <v>1234</v>
      </c>
      <c r="F970" s="165">
        <v>25.74</v>
      </c>
      <c r="G970" s="135">
        <f t="shared" si="46"/>
        <v>45557</v>
      </c>
      <c r="H970" s="147" t="s">
        <v>66</v>
      </c>
      <c r="I970" s="147" t="s">
        <v>135</v>
      </c>
      <c r="J970" s="145"/>
      <c r="K970" s="135"/>
      <c r="L970" s="153">
        <f t="shared" si="45"/>
        <v>25.74</v>
      </c>
      <c r="M970" s="76">
        <v>517897849</v>
      </c>
    </row>
    <row r="971" spans="1:13" customFormat="1" x14ac:dyDescent="0.35">
      <c r="A971" s="109">
        <v>45540</v>
      </c>
      <c r="B971" s="121" t="s">
        <v>57</v>
      </c>
      <c r="C971" s="111" t="s">
        <v>20</v>
      </c>
      <c r="D971" s="111" t="s">
        <v>1200</v>
      </c>
      <c r="E971" s="111" t="s">
        <v>1235</v>
      </c>
      <c r="F971" s="149">
        <v>27.7</v>
      </c>
      <c r="G971" s="135">
        <f t="shared" si="46"/>
        <v>45570</v>
      </c>
      <c r="H971" s="133" t="s">
        <v>66</v>
      </c>
      <c r="I971" s="133" t="s">
        <v>135</v>
      </c>
      <c r="J971" s="111"/>
      <c r="K971" s="135"/>
      <c r="L971" s="153">
        <f t="shared" si="45"/>
        <v>27.7</v>
      </c>
      <c r="M971">
        <v>517897849</v>
      </c>
    </row>
    <row r="972" spans="1:13" customFormat="1" x14ac:dyDescent="0.35">
      <c r="A972" s="109">
        <v>45548</v>
      </c>
      <c r="B972" s="121" t="s">
        <v>57</v>
      </c>
      <c r="C972" s="111" t="s">
        <v>20</v>
      </c>
      <c r="D972" s="111" t="s">
        <v>1200</v>
      </c>
      <c r="E972" s="111" t="s">
        <v>1236</v>
      </c>
      <c r="F972" s="149">
        <v>55.68</v>
      </c>
      <c r="G972" s="135">
        <f t="shared" si="46"/>
        <v>45578</v>
      </c>
      <c r="H972" s="133" t="s">
        <v>66</v>
      </c>
      <c r="I972" s="133" t="s">
        <v>135</v>
      </c>
      <c r="J972" s="111"/>
      <c r="K972" s="135"/>
      <c r="L972" s="153">
        <f t="shared" si="45"/>
        <v>55.68</v>
      </c>
      <c r="M972">
        <v>517897849</v>
      </c>
    </row>
    <row r="973" spans="1:13" customFormat="1" x14ac:dyDescent="0.35">
      <c r="A973" s="109">
        <v>45559</v>
      </c>
      <c r="B973" s="121" t="s">
        <v>57</v>
      </c>
      <c r="C973" s="111" t="s">
        <v>20</v>
      </c>
      <c r="D973" s="111" t="s">
        <v>1200</v>
      </c>
      <c r="E973" s="111" t="s">
        <v>1237</v>
      </c>
      <c r="F973" s="149">
        <v>24.78</v>
      </c>
      <c r="G973" s="135">
        <f t="shared" si="46"/>
        <v>45589</v>
      </c>
      <c r="H973" s="133" t="s">
        <v>66</v>
      </c>
      <c r="I973" s="133" t="s">
        <v>135</v>
      </c>
      <c r="J973" s="111"/>
      <c r="K973" s="135"/>
      <c r="L973" s="153">
        <f t="shared" si="45"/>
        <v>24.78</v>
      </c>
      <c r="M973">
        <v>517897849</v>
      </c>
    </row>
    <row r="974" spans="1:13" customFormat="1" x14ac:dyDescent="0.35">
      <c r="A974" s="109">
        <v>45569</v>
      </c>
      <c r="B974" s="121" t="s">
        <v>57</v>
      </c>
      <c r="C974" s="111" t="s">
        <v>20</v>
      </c>
      <c r="D974" s="111" t="s">
        <v>1200</v>
      </c>
      <c r="E974" s="111" t="s">
        <v>1238</v>
      </c>
      <c r="F974" s="149">
        <v>27.88</v>
      </c>
      <c r="G974" s="135">
        <f t="shared" si="46"/>
        <v>45599</v>
      </c>
      <c r="H974" s="133" t="s">
        <v>66</v>
      </c>
      <c r="I974" s="133" t="s">
        <v>135</v>
      </c>
      <c r="J974" s="111"/>
      <c r="K974" s="135"/>
      <c r="L974" s="153">
        <f t="shared" si="45"/>
        <v>27.88</v>
      </c>
      <c r="M974">
        <v>517897849</v>
      </c>
    </row>
    <row r="975" spans="1:13" customFormat="1" x14ac:dyDescent="0.35">
      <c r="A975" s="109">
        <v>45580</v>
      </c>
      <c r="B975" s="121" t="s">
        <v>57</v>
      </c>
      <c r="C975" s="111" t="s">
        <v>20</v>
      </c>
      <c r="D975" s="111" t="s">
        <v>1200</v>
      </c>
      <c r="E975" s="111" t="s">
        <v>1239</v>
      </c>
      <c r="F975" s="149">
        <v>14.75</v>
      </c>
      <c r="G975" s="135">
        <f t="shared" si="46"/>
        <v>45610</v>
      </c>
      <c r="H975" s="133" t="s">
        <v>66</v>
      </c>
      <c r="I975" s="133" t="s">
        <v>135</v>
      </c>
      <c r="J975" s="111"/>
      <c r="K975" s="135">
        <v>45818</v>
      </c>
      <c r="L975" s="153">
        <f t="shared" si="45"/>
        <v>14.75</v>
      </c>
      <c r="M975">
        <v>517897849</v>
      </c>
    </row>
    <row r="976" spans="1:13" customFormat="1" x14ac:dyDescent="0.35">
      <c r="A976" s="109">
        <v>45590</v>
      </c>
      <c r="B976" s="121" t="s">
        <v>57</v>
      </c>
      <c r="C976" s="111" t="s">
        <v>20</v>
      </c>
      <c r="D976" s="111" t="s">
        <v>1200</v>
      </c>
      <c r="E976" s="111" t="s">
        <v>1240</v>
      </c>
      <c r="F976" s="149">
        <v>27.55</v>
      </c>
      <c r="G976" s="135">
        <f t="shared" si="46"/>
        <v>45620</v>
      </c>
      <c r="H976" s="133" t="s">
        <v>66</v>
      </c>
      <c r="I976" s="133" t="s">
        <v>135</v>
      </c>
      <c r="J976" s="111"/>
      <c r="K976" s="135"/>
      <c r="L976" s="153">
        <f t="shared" si="45"/>
        <v>27.55</v>
      </c>
      <c r="M976">
        <v>517897849</v>
      </c>
    </row>
    <row r="977" spans="1:13" customFormat="1" x14ac:dyDescent="0.35">
      <c r="A977" s="109">
        <v>45586</v>
      </c>
      <c r="B977" s="111" t="s">
        <v>65</v>
      </c>
      <c r="C977" s="111" t="s">
        <v>89</v>
      </c>
      <c r="D977" s="111"/>
      <c r="E977" s="111" t="s">
        <v>1241</v>
      </c>
      <c r="F977" s="131">
        <v>-169</v>
      </c>
      <c r="G977" s="135"/>
      <c r="H977" s="133" t="s">
        <v>66</v>
      </c>
      <c r="I977" s="133" t="s">
        <v>715</v>
      </c>
      <c r="J977" s="111"/>
      <c r="K977" s="135"/>
      <c r="L977" s="153">
        <f t="shared" si="45"/>
        <v>-169</v>
      </c>
      <c r="M977" t="s">
        <v>1242</v>
      </c>
    </row>
    <row r="978" spans="1:13" customFormat="1" x14ac:dyDescent="0.35">
      <c r="A978" s="109">
        <v>45749</v>
      </c>
      <c r="B978" s="111" t="s">
        <v>65</v>
      </c>
      <c r="C978" s="111" t="s">
        <v>89</v>
      </c>
      <c r="D978" s="111"/>
      <c r="E978" s="111"/>
      <c r="F978" s="153">
        <v>-130</v>
      </c>
      <c r="G978" s="135"/>
      <c r="H978" s="133" t="s">
        <v>66</v>
      </c>
      <c r="I978" s="133" t="s">
        <v>119</v>
      </c>
      <c r="J978" s="111"/>
      <c r="K978" s="135">
        <v>45750</v>
      </c>
      <c r="L978" s="153"/>
    </row>
    <row r="979" spans="1:13" customFormat="1" x14ac:dyDescent="0.35">
      <c r="A979" s="109">
        <v>45769</v>
      </c>
      <c r="B979" s="111" t="s">
        <v>65</v>
      </c>
      <c r="C979" s="111" t="s">
        <v>89</v>
      </c>
      <c r="D979" s="111"/>
      <c r="E979" s="111" t="s">
        <v>1243</v>
      </c>
      <c r="F979" s="153">
        <v>-145</v>
      </c>
      <c r="G979" s="135"/>
      <c r="H979" s="133" t="s">
        <v>66</v>
      </c>
      <c r="I979" s="133" t="s">
        <v>119</v>
      </c>
      <c r="J979" s="111"/>
      <c r="K979" s="135">
        <v>45769</v>
      </c>
      <c r="L979" s="153">
        <f>F979</f>
        <v>-145</v>
      </c>
      <c r="M979" t="s">
        <v>1244</v>
      </c>
    </row>
    <row r="980" spans="1:13" customFormat="1" x14ac:dyDescent="0.35">
      <c r="A980" s="109">
        <v>45792</v>
      </c>
      <c r="B980" s="140" t="s">
        <v>65</v>
      </c>
      <c r="C980" s="140" t="s">
        <v>89</v>
      </c>
      <c r="D980" s="140"/>
      <c r="E980" s="140" t="s">
        <v>1245</v>
      </c>
      <c r="F980" s="174">
        <v>-240</v>
      </c>
      <c r="G980" s="135"/>
      <c r="H980" s="142" t="s">
        <v>66</v>
      </c>
      <c r="I980" s="142" t="s">
        <v>1246</v>
      </c>
      <c r="J980" s="176">
        <v>45793</v>
      </c>
      <c r="K980" s="135"/>
      <c r="L980" s="111"/>
      <c r="M980" s="76" t="s">
        <v>1247</v>
      </c>
    </row>
    <row r="981" spans="1:13" customFormat="1" x14ac:dyDescent="0.35">
      <c r="A981" s="109">
        <v>45812</v>
      </c>
      <c r="B981" s="111" t="s">
        <v>65</v>
      </c>
      <c r="C981" s="111" t="s">
        <v>89</v>
      </c>
      <c r="D981" s="111"/>
      <c r="E981" s="111" t="s">
        <v>1248</v>
      </c>
      <c r="F981" s="153">
        <v>-128</v>
      </c>
      <c r="G981" s="133"/>
      <c r="H981" s="133" t="s">
        <v>66</v>
      </c>
      <c r="I981" s="133" t="s">
        <v>119</v>
      </c>
      <c r="J981" s="111"/>
      <c r="K981" s="135">
        <v>45813</v>
      </c>
      <c r="L981" s="111"/>
      <c r="M981" s="111" t="s">
        <v>1249</v>
      </c>
    </row>
    <row r="982" spans="1:13" customFormat="1" x14ac:dyDescent="0.35">
      <c r="A982" s="109">
        <v>45824</v>
      </c>
      <c r="B982" s="145" t="s">
        <v>65</v>
      </c>
      <c r="C982" s="145" t="s">
        <v>89</v>
      </c>
      <c r="D982" s="145"/>
      <c r="E982" s="145" t="s">
        <v>1250</v>
      </c>
      <c r="F982" s="169">
        <v>-729</v>
      </c>
      <c r="G982" s="133"/>
      <c r="H982" s="147" t="s">
        <v>66</v>
      </c>
      <c r="I982" s="147" t="s">
        <v>170</v>
      </c>
      <c r="J982" s="145"/>
      <c r="K982" s="135"/>
      <c r="L982" s="111"/>
      <c r="M982" s="76" t="s">
        <v>1251</v>
      </c>
    </row>
    <row r="983" spans="1:13" customFormat="1" x14ac:dyDescent="0.35">
      <c r="A983" s="109">
        <v>45961</v>
      </c>
      <c r="B983" s="111" t="s">
        <v>65</v>
      </c>
      <c r="C983" s="111" t="s">
        <v>89</v>
      </c>
      <c r="D983" s="111"/>
      <c r="E983" s="111" t="s">
        <v>1252</v>
      </c>
      <c r="F983" s="153">
        <v>-55</v>
      </c>
      <c r="G983" s="133"/>
      <c r="H983" s="133" t="s">
        <v>66</v>
      </c>
      <c r="I983" s="133" t="s">
        <v>170</v>
      </c>
      <c r="J983" s="111"/>
      <c r="K983" s="135">
        <v>45961</v>
      </c>
      <c r="L983" s="111"/>
      <c r="M983" s="75"/>
    </row>
    <row r="984" spans="1:13" customFormat="1" x14ac:dyDescent="0.35">
      <c r="A984" s="109">
        <v>45281</v>
      </c>
      <c r="B984" s="111" t="s">
        <v>65</v>
      </c>
      <c r="C984" s="111" t="s">
        <v>1253</v>
      </c>
      <c r="D984" s="111"/>
      <c r="E984" s="111" t="s">
        <v>1254</v>
      </c>
      <c r="F984" s="131">
        <v>-270</v>
      </c>
      <c r="G984" s="135"/>
      <c r="H984" s="133" t="s">
        <v>66</v>
      </c>
      <c r="I984" s="133"/>
      <c r="J984" s="111"/>
      <c r="K984" s="135"/>
      <c r="L984" s="153">
        <f t="shared" ref="L984:L1021" si="47">F984</f>
        <v>-270</v>
      </c>
      <c r="M984" t="s">
        <v>1255</v>
      </c>
    </row>
    <row r="985" spans="1:13" customFormat="1" x14ac:dyDescent="0.35">
      <c r="A985" s="109">
        <v>45209</v>
      </c>
      <c r="B985" s="111" t="s">
        <v>65</v>
      </c>
      <c r="C985" s="111" t="s">
        <v>1256</v>
      </c>
      <c r="D985" s="111"/>
      <c r="E985" s="111" t="s">
        <v>1257</v>
      </c>
      <c r="F985" s="131">
        <v>-649.94000000000005</v>
      </c>
      <c r="G985" s="135"/>
      <c r="H985" s="133" t="s">
        <v>66</v>
      </c>
      <c r="I985" s="133"/>
      <c r="J985" s="111"/>
      <c r="K985" s="135"/>
      <c r="L985" s="153">
        <f t="shared" si="47"/>
        <v>-649.94000000000005</v>
      </c>
      <c r="M985" t="s">
        <v>1258</v>
      </c>
    </row>
    <row r="986" spans="1:13" customFormat="1" x14ac:dyDescent="0.35">
      <c r="A986" s="109">
        <v>45443</v>
      </c>
      <c r="B986" s="111" t="s">
        <v>65</v>
      </c>
      <c r="C986" s="111" t="s">
        <v>1256</v>
      </c>
      <c r="D986" s="111"/>
      <c r="E986" s="111" t="s">
        <v>1259</v>
      </c>
      <c r="F986" s="131">
        <v>-974.48</v>
      </c>
      <c r="G986" s="135"/>
      <c r="H986" s="133" t="s">
        <v>66</v>
      </c>
      <c r="I986" s="133"/>
      <c r="J986" s="111"/>
      <c r="K986" s="135">
        <v>45481</v>
      </c>
      <c r="L986" s="153">
        <f t="shared" si="47"/>
        <v>-974.48</v>
      </c>
      <c r="M986" t="s">
        <v>1260</v>
      </c>
    </row>
    <row r="987" spans="1:13" customFormat="1" x14ac:dyDescent="0.35">
      <c r="A987" s="109">
        <v>45113</v>
      </c>
      <c r="B987" s="111" t="s">
        <v>65</v>
      </c>
      <c r="C987" s="111" t="s">
        <v>26</v>
      </c>
      <c r="D987" s="111"/>
      <c r="E987" s="111">
        <v>22729</v>
      </c>
      <c r="F987" s="131">
        <v>-233.56</v>
      </c>
      <c r="G987" s="135"/>
      <c r="H987" s="133" t="s">
        <v>66</v>
      </c>
      <c r="I987" s="133" t="s">
        <v>119</v>
      </c>
      <c r="J987" s="111"/>
      <c r="K987" s="135"/>
      <c r="L987" s="153">
        <f t="shared" si="47"/>
        <v>-233.56</v>
      </c>
    </row>
    <row r="988" spans="1:13" customFormat="1" x14ac:dyDescent="0.35">
      <c r="A988" s="109">
        <v>45131</v>
      </c>
      <c r="B988" s="111" t="s">
        <v>65</v>
      </c>
      <c r="C988" s="111" t="s">
        <v>26</v>
      </c>
      <c r="D988" s="111"/>
      <c r="E988" s="111">
        <v>25037</v>
      </c>
      <c r="F988" s="131">
        <v>-284.25</v>
      </c>
      <c r="G988" s="135"/>
      <c r="H988" s="133" t="s">
        <v>66</v>
      </c>
      <c r="I988" s="133" t="s">
        <v>119</v>
      </c>
      <c r="J988" s="111"/>
      <c r="K988" s="135"/>
      <c r="L988" s="153">
        <f t="shared" si="47"/>
        <v>-284.25</v>
      </c>
      <c r="M988" t="s">
        <v>1261</v>
      </c>
    </row>
    <row r="989" spans="1:13" customFormat="1" x14ac:dyDescent="0.35">
      <c r="A989" s="109">
        <v>45139</v>
      </c>
      <c r="B989" s="111" t="s">
        <v>65</v>
      </c>
      <c r="C989" s="111" t="s">
        <v>26</v>
      </c>
      <c r="D989" s="111"/>
      <c r="E989" s="111" t="s">
        <v>1262</v>
      </c>
      <c r="F989" s="131">
        <v>-270.35000000000002</v>
      </c>
      <c r="G989" s="135"/>
      <c r="H989" s="133" t="s">
        <v>66</v>
      </c>
      <c r="I989" s="133" t="s">
        <v>119</v>
      </c>
      <c r="J989" s="111"/>
      <c r="K989" s="135"/>
      <c r="L989" s="153">
        <f t="shared" si="47"/>
        <v>-270.35000000000002</v>
      </c>
      <c r="M989" t="s">
        <v>1263</v>
      </c>
    </row>
    <row r="990" spans="1:13" customFormat="1" x14ac:dyDescent="0.35">
      <c r="A990" s="109">
        <v>45145</v>
      </c>
      <c r="B990" s="111" t="s">
        <v>65</v>
      </c>
      <c r="C990" s="111" t="s">
        <v>26</v>
      </c>
      <c r="D990" s="111"/>
      <c r="E990" s="111" t="s">
        <v>1264</v>
      </c>
      <c r="F990" s="131">
        <v>-367.65</v>
      </c>
      <c r="G990" s="135"/>
      <c r="H990" s="133" t="s">
        <v>66</v>
      </c>
      <c r="I990" s="133" t="s">
        <v>119</v>
      </c>
      <c r="J990" s="111"/>
      <c r="K990" s="135"/>
      <c r="L990" s="153">
        <f t="shared" si="47"/>
        <v>-367.65</v>
      </c>
      <c r="M990" t="s">
        <v>1263</v>
      </c>
    </row>
    <row r="991" spans="1:13" customFormat="1" x14ac:dyDescent="0.35">
      <c r="A991" s="109">
        <v>45166</v>
      </c>
      <c r="B991" s="111" t="s">
        <v>65</v>
      </c>
      <c r="C991" s="111" t="s">
        <v>26</v>
      </c>
      <c r="D991" s="111"/>
      <c r="E991" s="111" t="s">
        <v>1265</v>
      </c>
      <c r="F991" s="131">
        <v>-363.47</v>
      </c>
      <c r="G991" s="135"/>
      <c r="H991" s="133" t="s">
        <v>66</v>
      </c>
      <c r="I991" s="133" t="s">
        <v>119</v>
      </c>
      <c r="J991" s="111"/>
      <c r="K991" s="135"/>
      <c r="L991" s="153">
        <f t="shared" si="47"/>
        <v>-363.47</v>
      </c>
      <c r="M991" t="s">
        <v>1266</v>
      </c>
    </row>
    <row r="992" spans="1:13" customFormat="1" x14ac:dyDescent="0.35">
      <c r="A992" s="109">
        <v>45202</v>
      </c>
      <c r="B992" s="111" t="s">
        <v>65</v>
      </c>
      <c r="C992" s="111" t="s">
        <v>26</v>
      </c>
      <c r="D992" s="111"/>
      <c r="E992" s="111" t="s">
        <v>1267</v>
      </c>
      <c r="F992" s="131">
        <v>-180.08</v>
      </c>
      <c r="G992" s="135"/>
      <c r="H992" s="133" t="s">
        <v>66</v>
      </c>
      <c r="I992" s="133" t="s">
        <v>119</v>
      </c>
      <c r="J992" s="111"/>
      <c r="K992" s="135"/>
      <c r="L992" s="153">
        <f t="shared" si="47"/>
        <v>-180.08</v>
      </c>
      <c r="M992" t="s">
        <v>1266</v>
      </c>
    </row>
    <row r="993" spans="1:13" customFormat="1" x14ac:dyDescent="0.35">
      <c r="A993" s="109">
        <v>45251</v>
      </c>
      <c r="B993" s="111" t="s">
        <v>65</v>
      </c>
      <c r="C993" s="111" t="s">
        <v>26</v>
      </c>
      <c r="D993" s="76"/>
      <c r="E993" s="76" t="s">
        <v>1268</v>
      </c>
      <c r="F993" s="131">
        <v>-154.97999999999999</v>
      </c>
      <c r="G993" s="135"/>
      <c r="H993" s="213" t="s">
        <v>66</v>
      </c>
      <c r="I993" s="133" t="s">
        <v>119</v>
      </c>
      <c r="J993" s="76"/>
      <c r="K993" s="135"/>
      <c r="L993" s="153">
        <f t="shared" si="47"/>
        <v>-154.97999999999999</v>
      </c>
      <c r="M993" t="s">
        <v>1266</v>
      </c>
    </row>
    <row r="994" spans="1:13" customFormat="1" x14ac:dyDescent="0.35">
      <c r="A994" s="109">
        <v>45314</v>
      </c>
      <c r="B994" s="111" t="s">
        <v>65</v>
      </c>
      <c r="C994" s="111" t="s">
        <v>26</v>
      </c>
      <c r="E994" t="s">
        <v>1269</v>
      </c>
      <c r="F994" s="131">
        <v>-180.08</v>
      </c>
      <c r="G994" s="135"/>
      <c r="H994" s="243" t="s">
        <v>66</v>
      </c>
      <c r="I994" s="133" t="s">
        <v>119</v>
      </c>
      <c r="K994" s="135"/>
      <c r="L994" s="153">
        <f t="shared" si="47"/>
        <v>-180.08</v>
      </c>
      <c r="M994" t="s">
        <v>1266</v>
      </c>
    </row>
    <row r="995" spans="1:13" customFormat="1" x14ac:dyDescent="0.35">
      <c r="A995" s="109">
        <v>45323</v>
      </c>
      <c r="B995" s="111" t="s">
        <v>65</v>
      </c>
      <c r="C995" s="111" t="s">
        <v>26</v>
      </c>
      <c r="E995" t="s">
        <v>1270</v>
      </c>
      <c r="F995" s="131">
        <v>-53.51</v>
      </c>
      <c r="G995" s="135"/>
      <c r="H995" s="243" t="s">
        <v>66</v>
      </c>
      <c r="I995" s="133" t="s">
        <v>119</v>
      </c>
      <c r="K995" s="135"/>
      <c r="L995" s="153">
        <f t="shared" si="47"/>
        <v>-53.51</v>
      </c>
      <c r="M995" t="s">
        <v>1271</v>
      </c>
    </row>
    <row r="996" spans="1:13" customFormat="1" x14ac:dyDescent="0.35">
      <c r="A996" s="176">
        <v>45329</v>
      </c>
      <c r="B996" s="140" t="s">
        <v>65</v>
      </c>
      <c r="C996" s="140" t="s">
        <v>26</v>
      </c>
      <c r="D996" s="76"/>
      <c r="E996" s="76" t="s">
        <v>1272</v>
      </c>
      <c r="F996" s="141">
        <v>-154.97999999999999</v>
      </c>
      <c r="G996" s="177"/>
      <c r="H996" s="213" t="s">
        <v>66</v>
      </c>
      <c r="I996" s="142" t="s">
        <v>119</v>
      </c>
      <c r="J996" s="76"/>
      <c r="K996" s="135"/>
      <c r="L996" s="153">
        <f t="shared" si="47"/>
        <v>-154.97999999999999</v>
      </c>
      <c r="M996" s="76" t="s">
        <v>1273</v>
      </c>
    </row>
    <row r="997" spans="1:13" customFormat="1" x14ac:dyDescent="0.35">
      <c r="A997" s="109">
        <v>45370</v>
      </c>
      <c r="B997" s="111" t="s">
        <v>65</v>
      </c>
      <c r="C997" s="111" t="s">
        <v>1274</v>
      </c>
      <c r="D997" s="111"/>
      <c r="E997" s="111" t="s">
        <v>1275</v>
      </c>
      <c r="F997" s="131">
        <v>-309.95999999999998</v>
      </c>
      <c r="G997" s="135"/>
      <c r="H997" s="133" t="s">
        <v>66</v>
      </c>
      <c r="I997" s="133" t="s">
        <v>119</v>
      </c>
      <c r="J997" s="111"/>
      <c r="K997" s="135"/>
      <c r="L997" s="153">
        <f t="shared" si="47"/>
        <v>-309.95999999999998</v>
      </c>
      <c r="M997" s="111" t="s">
        <v>1266</v>
      </c>
    </row>
    <row r="998" spans="1:13" customFormat="1" x14ac:dyDescent="0.35">
      <c r="A998" s="109">
        <v>45391</v>
      </c>
      <c r="B998" s="111" t="s">
        <v>65</v>
      </c>
      <c r="C998" s="111" t="s">
        <v>26</v>
      </c>
      <c r="D998" s="111"/>
      <c r="E998" s="111" t="s">
        <v>1276</v>
      </c>
      <c r="F998" s="131">
        <v>-25.1</v>
      </c>
      <c r="G998" s="135"/>
      <c r="H998" s="133" t="s">
        <v>66</v>
      </c>
      <c r="I998" s="133" t="s">
        <v>119</v>
      </c>
      <c r="J998" s="111"/>
      <c r="K998" s="135"/>
      <c r="L998" s="153">
        <f t="shared" si="47"/>
        <v>-25.1</v>
      </c>
      <c r="M998" s="111" t="s">
        <v>1277</v>
      </c>
    </row>
    <row r="999" spans="1:13" customFormat="1" x14ac:dyDescent="0.35">
      <c r="A999" s="109">
        <v>45399</v>
      </c>
      <c r="B999" s="111" t="s">
        <v>65</v>
      </c>
      <c r="C999" s="111" t="s">
        <v>26</v>
      </c>
      <c r="D999" s="111"/>
      <c r="E999" s="111" t="s">
        <v>1278</v>
      </c>
      <c r="F999" s="131">
        <v>-363.47</v>
      </c>
      <c r="G999" s="135"/>
      <c r="H999" s="133" t="s">
        <v>66</v>
      </c>
      <c r="I999" s="133" t="s">
        <v>119</v>
      </c>
      <c r="J999" s="111"/>
      <c r="K999" s="135"/>
      <c r="L999" s="153">
        <f t="shared" si="47"/>
        <v>-363.47</v>
      </c>
      <c r="M999" s="111" t="s">
        <v>1279</v>
      </c>
    </row>
    <row r="1000" spans="1:13" customFormat="1" x14ac:dyDescent="0.35">
      <c r="A1000" s="109">
        <v>45433</v>
      </c>
      <c r="B1000" s="111" t="s">
        <v>65</v>
      </c>
      <c r="C1000" s="111" t="s">
        <v>26</v>
      </c>
      <c r="D1000" s="111"/>
      <c r="E1000" s="111" t="s">
        <v>1280</v>
      </c>
      <c r="F1000" s="131">
        <v>-309.95999999999998</v>
      </c>
      <c r="G1000" s="135"/>
      <c r="H1000" s="133" t="s">
        <v>66</v>
      </c>
      <c r="I1000" s="133" t="s">
        <v>119</v>
      </c>
      <c r="J1000" s="111">
        <v>45450</v>
      </c>
      <c r="K1000" s="135"/>
      <c r="L1000" s="153">
        <f t="shared" si="47"/>
        <v>-309.95999999999998</v>
      </c>
      <c r="M1000" s="111" t="s">
        <v>1266</v>
      </c>
    </row>
    <row r="1001" spans="1:13" customFormat="1" x14ac:dyDescent="0.35">
      <c r="A1001" s="109">
        <v>45446</v>
      </c>
      <c r="B1001" s="111" t="s">
        <v>65</v>
      </c>
      <c r="C1001" s="111" t="s">
        <v>26</v>
      </c>
      <c r="D1001" s="111"/>
      <c r="E1001" s="111" t="s">
        <v>1281</v>
      </c>
      <c r="F1001" s="131">
        <v>-309.95999999999998</v>
      </c>
      <c r="G1001" s="135"/>
      <c r="H1001" s="133" t="s">
        <v>66</v>
      </c>
      <c r="I1001" s="133"/>
      <c r="J1001" s="111"/>
      <c r="K1001" s="135"/>
      <c r="L1001" s="153">
        <f t="shared" si="47"/>
        <v>-309.95999999999998</v>
      </c>
      <c r="M1001" s="111" t="s">
        <v>1266</v>
      </c>
    </row>
    <row r="1002" spans="1:13" customFormat="1" x14ac:dyDescent="0.35">
      <c r="A1002" s="109">
        <v>45454</v>
      </c>
      <c r="B1002" s="111" t="s">
        <v>65</v>
      </c>
      <c r="C1002" s="111" t="s">
        <v>26</v>
      </c>
      <c r="D1002" s="111"/>
      <c r="E1002" s="111" t="s">
        <v>1282</v>
      </c>
      <c r="F1002" s="131">
        <v>-14.31</v>
      </c>
      <c r="G1002" s="135"/>
      <c r="H1002" s="133" t="s">
        <v>66</v>
      </c>
      <c r="I1002" s="133"/>
      <c r="J1002" s="111"/>
      <c r="K1002" s="135"/>
      <c r="L1002" s="153">
        <f t="shared" si="47"/>
        <v>-14.31</v>
      </c>
      <c r="M1002" s="111" t="s">
        <v>1283</v>
      </c>
    </row>
    <row r="1003" spans="1:13" customFormat="1" x14ac:dyDescent="0.35">
      <c r="A1003" s="178">
        <v>45474</v>
      </c>
      <c r="B1003" s="145" t="s">
        <v>65</v>
      </c>
      <c r="C1003" s="145" t="s">
        <v>26</v>
      </c>
      <c r="D1003" s="76"/>
      <c r="E1003" s="76" t="s">
        <v>1284</v>
      </c>
      <c r="F1003" s="146">
        <v>-53.51</v>
      </c>
      <c r="G1003" s="138"/>
      <c r="H1003" s="213" t="s">
        <v>66</v>
      </c>
      <c r="I1003" s="147"/>
      <c r="J1003" s="76"/>
      <c r="K1003" s="135">
        <v>45506</v>
      </c>
      <c r="L1003" s="153">
        <f t="shared" si="47"/>
        <v>-53.51</v>
      </c>
      <c r="M1003" s="76" t="s">
        <v>1271</v>
      </c>
    </row>
    <row r="1004" spans="1:13" customFormat="1" x14ac:dyDescent="0.35">
      <c r="A1004" s="109">
        <v>45490</v>
      </c>
      <c r="B1004" s="111" t="s">
        <v>65</v>
      </c>
      <c r="C1004" s="111" t="s">
        <v>26</v>
      </c>
      <c r="E1004" t="s">
        <v>1285</v>
      </c>
      <c r="F1004" s="131">
        <v>-168.91</v>
      </c>
      <c r="G1004" s="135"/>
      <c r="H1004" s="243" t="s">
        <v>66</v>
      </c>
      <c r="I1004" s="133"/>
      <c r="K1004" s="135">
        <v>45506</v>
      </c>
      <c r="L1004" s="153">
        <f t="shared" si="47"/>
        <v>-168.91</v>
      </c>
      <c r="M1004" t="s">
        <v>1266</v>
      </c>
    </row>
    <row r="1005" spans="1:13" customFormat="1" x14ac:dyDescent="0.35">
      <c r="A1005" s="109">
        <v>45497</v>
      </c>
      <c r="B1005" s="140" t="s">
        <v>65</v>
      </c>
      <c r="C1005" s="140" t="s">
        <v>26</v>
      </c>
      <c r="D1005" s="140"/>
      <c r="E1005" s="140" t="s">
        <v>1286</v>
      </c>
      <c r="F1005" s="141">
        <v>-154.97999999999999</v>
      </c>
      <c r="G1005" s="135"/>
      <c r="H1005" s="142" t="s">
        <v>66</v>
      </c>
      <c r="I1005" s="142"/>
      <c r="J1005" s="140"/>
      <c r="K1005" s="135">
        <v>45506</v>
      </c>
      <c r="L1005" s="153">
        <f t="shared" si="47"/>
        <v>-154.97999999999999</v>
      </c>
      <c r="M1005" s="140" t="s">
        <v>1266</v>
      </c>
    </row>
    <row r="1006" spans="1:13" customFormat="1" x14ac:dyDescent="0.35">
      <c r="A1006" s="109">
        <v>45505</v>
      </c>
      <c r="B1006" s="111" t="s">
        <v>65</v>
      </c>
      <c r="C1006" s="111" t="s">
        <v>26</v>
      </c>
      <c r="D1006" s="111"/>
      <c r="E1006" s="111" t="s">
        <v>1287</v>
      </c>
      <c r="F1006" s="131">
        <v>-324.27</v>
      </c>
      <c r="G1006" s="135"/>
      <c r="H1006" s="133" t="s">
        <v>66</v>
      </c>
      <c r="I1006" s="133" t="s">
        <v>119</v>
      </c>
      <c r="J1006" s="111"/>
      <c r="K1006" s="135"/>
      <c r="L1006" s="153">
        <f t="shared" si="47"/>
        <v>-324.27</v>
      </c>
      <c r="M1006" s="111" t="s">
        <v>1266</v>
      </c>
    </row>
    <row r="1007" spans="1:13" customFormat="1" x14ac:dyDescent="0.35">
      <c r="A1007" s="176">
        <v>45516</v>
      </c>
      <c r="B1007" s="140" t="s">
        <v>65</v>
      </c>
      <c r="C1007" s="140" t="s">
        <v>26</v>
      </c>
      <c r="D1007" s="140"/>
      <c r="E1007" s="140" t="s">
        <v>1288</v>
      </c>
      <c r="F1007" s="141">
        <v>-107.01</v>
      </c>
      <c r="G1007" s="177"/>
      <c r="H1007" s="142" t="s">
        <v>66</v>
      </c>
      <c r="I1007" s="142" t="s">
        <v>119</v>
      </c>
      <c r="J1007" s="140"/>
      <c r="K1007" s="135"/>
      <c r="L1007" s="153">
        <f t="shared" si="47"/>
        <v>-107.01</v>
      </c>
      <c r="M1007" s="140" t="s">
        <v>1263</v>
      </c>
    </row>
    <row r="1008" spans="1:13" customFormat="1" x14ac:dyDescent="0.35">
      <c r="A1008" s="109">
        <v>45525</v>
      </c>
      <c r="B1008" s="111" t="s">
        <v>65</v>
      </c>
      <c r="C1008" s="111" t="s">
        <v>26</v>
      </c>
      <c r="D1008" s="111"/>
      <c r="E1008" s="111" t="s">
        <v>1289</v>
      </c>
      <c r="F1008" s="131">
        <v>-208.49</v>
      </c>
      <c r="G1008" s="135"/>
      <c r="H1008" s="133" t="s">
        <v>66</v>
      </c>
      <c r="I1008" s="133" t="s">
        <v>119</v>
      </c>
      <c r="J1008" s="111"/>
      <c r="K1008" s="135"/>
      <c r="L1008" s="153">
        <f t="shared" si="47"/>
        <v>-208.49</v>
      </c>
      <c r="M1008" s="111" t="s">
        <v>1266</v>
      </c>
    </row>
    <row r="1009" spans="1:13" customFormat="1" x14ac:dyDescent="0.35">
      <c r="A1009" s="178">
        <v>45525</v>
      </c>
      <c r="B1009" s="145" t="s">
        <v>65</v>
      </c>
      <c r="C1009" s="145" t="s">
        <v>26</v>
      </c>
      <c r="D1009" s="145"/>
      <c r="E1009" s="145" t="s">
        <v>1290</v>
      </c>
      <c r="F1009" s="146">
        <v>-14.31</v>
      </c>
      <c r="G1009" s="138"/>
      <c r="H1009" s="147" t="s">
        <v>66</v>
      </c>
      <c r="I1009" s="147" t="s">
        <v>119</v>
      </c>
      <c r="J1009" s="145"/>
      <c r="K1009" s="135"/>
      <c r="L1009" s="153">
        <f t="shared" si="47"/>
        <v>-14.31</v>
      </c>
      <c r="M1009" s="145" t="s">
        <v>1291</v>
      </c>
    </row>
    <row r="1010" spans="1:13" customFormat="1" x14ac:dyDescent="0.35">
      <c r="A1010" s="109">
        <v>45546</v>
      </c>
      <c r="B1010" s="111" t="s">
        <v>65</v>
      </c>
      <c r="C1010" s="111" t="s">
        <v>26</v>
      </c>
      <c r="D1010" s="111"/>
      <c r="E1010" s="111" t="s">
        <v>1292</v>
      </c>
      <c r="F1010" s="131">
        <v>-377.78</v>
      </c>
      <c r="G1010" s="135"/>
      <c r="H1010" s="133" t="s">
        <v>66</v>
      </c>
      <c r="I1010" s="133" t="s">
        <v>119</v>
      </c>
      <c r="J1010" s="111"/>
      <c r="K1010" s="135"/>
      <c r="L1010" s="153">
        <f t="shared" si="47"/>
        <v>-377.78</v>
      </c>
      <c r="M1010" s="111" t="s">
        <v>1266</v>
      </c>
    </row>
    <row r="1011" spans="1:13" customFormat="1" x14ac:dyDescent="0.35">
      <c r="A1011" s="109">
        <v>45553</v>
      </c>
      <c r="B1011" s="111" t="s">
        <v>65</v>
      </c>
      <c r="C1011" s="111" t="s">
        <v>26</v>
      </c>
      <c r="D1011" s="111"/>
      <c r="E1011" s="111" t="s">
        <v>1293</v>
      </c>
      <c r="F1011" s="131">
        <v>-212.67</v>
      </c>
      <c r="G1011" s="135"/>
      <c r="H1011" s="133" t="s">
        <v>66</v>
      </c>
      <c r="I1011" s="133" t="s">
        <v>119</v>
      </c>
      <c r="J1011" s="111"/>
      <c r="K1011" s="135"/>
      <c r="L1011" s="153">
        <f t="shared" si="47"/>
        <v>-212.67</v>
      </c>
      <c r="M1011" s="111" t="s">
        <v>1266</v>
      </c>
    </row>
    <row r="1012" spans="1:13" customFormat="1" x14ac:dyDescent="0.35">
      <c r="A1012" s="109">
        <v>45608</v>
      </c>
      <c r="B1012" s="111" t="s">
        <v>65</v>
      </c>
      <c r="C1012" s="111" t="s">
        <v>26</v>
      </c>
      <c r="D1012" s="111"/>
      <c r="E1012" s="111" t="s">
        <v>1294</v>
      </c>
      <c r="F1012" s="131">
        <v>-169.89</v>
      </c>
      <c r="G1012" s="135"/>
      <c r="H1012" s="133" t="s">
        <v>66</v>
      </c>
      <c r="I1012" s="133" t="s">
        <v>119</v>
      </c>
      <c r="J1012" s="111"/>
      <c r="K1012" s="135">
        <v>45629</v>
      </c>
      <c r="L1012" s="153">
        <f t="shared" si="47"/>
        <v>-169.89</v>
      </c>
      <c r="M1012" s="111"/>
    </row>
    <row r="1013" spans="1:13" customFormat="1" x14ac:dyDescent="0.35">
      <c r="A1013" s="109">
        <v>45628</v>
      </c>
      <c r="B1013" s="111" t="s">
        <v>65</v>
      </c>
      <c r="C1013" s="111" t="s">
        <v>26</v>
      </c>
      <c r="D1013" s="111"/>
      <c r="E1013" s="111" t="s">
        <v>1295</v>
      </c>
      <c r="F1013" s="131">
        <v>-154.97999999999999</v>
      </c>
      <c r="G1013" s="135">
        <f>IF(OR(C1013="Matosinhos",C1013="Bolhão"),A1013,A1013+30)</f>
        <v>45658</v>
      </c>
      <c r="H1013" s="133" t="s">
        <v>66</v>
      </c>
      <c r="I1013" s="133" t="s">
        <v>119</v>
      </c>
      <c r="J1013" s="111"/>
      <c r="K1013" s="135">
        <v>45901</v>
      </c>
      <c r="L1013" s="153">
        <f t="shared" si="47"/>
        <v>-154.97999999999999</v>
      </c>
      <c r="M1013" s="111"/>
    </row>
    <row r="1014" spans="1:13" customFormat="1" x14ac:dyDescent="0.35">
      <c r="A1014" s="109">
        <v>45684</v>
      </c>
      <c r="B1014" s="111" t="s">
        <v>65</v>
      </c>
      <c r="C1014" s="111" t="s">
        <v>26</v>
      </c>
      <c r="D1014" s="111"/>
      <c r="E1014" s="111" t="s">
        <v>1296</v>
      </c>
      <c r="F1014" s="149">
        <v>-154.97999999999999</v>
      </c>
      <c r="G1014" s="135">
        <v>45692</v>
      </c>
      <c r="H1014" s="133" t="s">
        <v>66</v>
      </c>
      <c r="I1014" s="133" t="s">
        <v>119</v>
      </c>
      <c r="J1014" s="111"/>
      <c r="K1014" s="135">
        <v>45695</v>
      </c>
      <c r="L1014" s="153">
        <f t="shared" si="47"/>
        <v>-154.97999999999999</v>
      </c>
      <c r="M1014" s="111"/>
    </row>
    <row r="1015" spans="1:13" customFormat="1" x14ac:dyDescent="0.35">
      <c r="A1015" s="109">
        <v>45698</v>
      </c>
      <c r="B1015" s="143" t="s">
        <v>65</v>
      </c>
      <c r="C1015" s="143" t="s">
        <v>26</v>
      </c>
      <c r="D1015" s="140"/>
      <c r="E1015" s="143" t="s">
        <v>1297</v>
      </c>
      <c r="F1015" s="174">
        <v>-151.72999999999999</v>
      </c>
      <c r="G1015" s="135">
        <v>45727</v>
      </c>
      <c r="H1015" s="175" t="s">
        <v>66</v>
      </c>
      <c r="I1015" s="142" t="s">
        <v>119</v>
      </c>
      <c r="J1015" s="140"/>
      <c r="K1015" s="135">
        <v>45727</v>
      </c>
      <c r="L1015" s="153">
        <f t="shared" si="47"/>
        <v>-151.72999999999999</v>
      </c>
      <c r="M1015" s="140"/>
    </row>
    <row r="1016" spans="1:13" customFormat="1" x14ac:dyDescent="0.35">
      <c r="A1016" s="109">
        <v>45721</v>
      </c>
      <c r="B1016" s="111" t="s">
        <v>65</v>
      </c>
      <c r="C1016" s="111" t="s">
        <v>26</v>
      </c>
      <c r="D1016" s="111"/>
      <c r="E1016" s="111" t="s">
        <v>1298</v>
      </c>
      <c r="F1016" s="153">
        <v>-151.72999999999999</v>
      </c>
      <c r="G1016" s="135"/>
      <c r="H1016" s="133" t="s">
        <v>66</v>
      </c>
      <c r="I1016" s="133" t="s">
        <v>119</v>
      </c>
      <c r="J1016" s="111"/>
      <c r="K1016" s="135">
        <v>45756</v>
      </c>
      <c r="L1016" s="153">
        <f t="shared" si="47"/>
        <v>-151.72999999999999</v>
      </c>
      <c r="M1016" s="111"/>
    </row>
    <row r="1017" spans="1:13" customFormat="1" x14ac:dyDescent="0.35">
      <c r="A1017" s="109">
        <v>45727</v>
      </c>
      <c r="B1017" s="154" t="s">
        <v>65</v>
      </c>
      <c r="C1017" s="154" t="s">
        <v>26</v>
      </c>
      <c r="D1017" s="76"/>
      <c r="E1017" s="154" t="s">
        <v>1299</v>
      </c>
      <c r="F1017" s="201">
        <v>-64.44</v>
      </c>
      <c r="G1017" s="135"/>
      <c r="H1017" s="133" t="s">
        <v>66</v>
      </c>
      <c r="I1017" s="159" t="s">
        <v>119</v>
      </c>
      <c r="J1017" s="76"/>
      <c r="K1017" s="135">
        <v>45756</v>
      </c>
      <c r="L1017" s="153">
        <f t="shared" si="47"/>
        <v>-64.44</v>
      </c>
      <c r="M1017" s="154"/>
    </row>
    <row r="1018" spans="1:13" customFormat="1" x14ac:dyDescent="0.35">
      <c r="A1018" s="109">
        <v>45756</v>
      </c>
      <c r="B1018" s="111" t="s">
        <v>65</v>
      </c>
      <c r="C1018" s="111" t="s">
        <v>26</v>
      </c>
      <c r="D1018" s="111"/>
      <c r="E1018" s="111" t="s">
        <v>1300</v>
      </c>
      <c r="F1018" s="153">
        <v>-60.64</v>
      </c>
      <c r="G1018" s="135">
        <v>45764</v>
      </c>
      <c r="H1018" s="134" t="s">
        <v>66</v>
      </c>
      <c r="I1018" s="133" t="s">
        <v>119</v>
      </c>
      <c r="J1018" s="111"/>
      <c r="K1018" s="135">
        <v>45785</v>
      </c>
      <c r="L1018" s="153">
        <f t="shared" si="47"/>
        <v>-60.64</v>
      </c>
      <c r="M1018" s="111"/>
    </row>
    <row r="1019" spans="1:13" customFormat="1" x14ac:dyDescent="0.35">
      <c r="A1019" s="109">
        <v>45749</v>
      </c>
      <c r="B1019" s="111" t="s">
        <v>65</v>
      </c>
      <c r="C1019" s="111" t="s">
        <v>26</v>
      </c>
      <c r="D1019" s="111"/>
      <c r="E1019" s="111" t="s">
        <v>1301</v>
      </c>
      <c r="F1019" s="153">
        <v>-303.47000000000003</v>
      </c>
      <c r="G1019" s="135">
        <v>45757</v>
      </c>
      <c r="H1019" s="134" t="s">
        <v>66</v>
      </c>
      <c r="I1019" s="133" t="s">
        <v>119</v>
      </c>
      <c r="J1019" s="111"/>
      <c r="K1019" s="135">
        <v>45785</v>
      </c>
      <c r="L1019" s="153">
        <f t="shared" si="47"/>
        <v>-303.47000000000003</v>
      </c>
      <c r="M1019" s="111"/>
    </row>
    <row r="1020" spans="1:13" customFormat="1" x14ac:dyDescent="0.35">
      <c r="A1020" s="109">
        <v>45762</v>
      </c>
      <c r="B1020" s="111" t="s">
        <v>65</v>
      </c>
      <c r="C1020" s="111" t="s">
        <v>26</v>
      </c>
      <c r="D1020" s="111"/>
      <c r="E1020" s="111" t="s">
        <v>1302</v>
      </c>
      <c r="F1020" s="153">
        <v>-546.24</v>
      </c>
      <c r="G1020" s="135">
        <v>45405</v>
      </c>
      <c r="H1020" s="133" t="s">
        <v>66</v>
      </c>
      <c r="I1020" s="133" t="s">
        <v>119</v>
      </c>
      <c r="J1020" s="111"/>
      <c r="K1020" s="135">
        <v>45789</v>
      </c>
      <c r="L1020" s="153">
        <f t="shared" si="47"/>
        <v>-546.24</v>
      </c>
      <c r="M1020" s="111"/>
    </row>
    <row r="1021" spans="1:13" customFormat="1" x14ac:dyDescent="0.35">
      <c r="A1021" s="109">
        <v>45776</v>
      </c>
      <c r="B1021" s="111" t="s">
        <v>65</v>
      </c>
      <c r="C1021" s="111" t="s">
        <v>26</v>
      </c>
      <c r="D1021" s="111"/>
      <c r="E1021" s="121" t="s">
        <v>1303</v>
      </c>
      <c r="F1021" s="153">
        <v>-151.72999999999999</v>
      </c>
      <c r="G1021" s="135">
        <v>45784</v>
      </c>
      <c r="H1021" s="133" t="s">
        <v>66</v>
      </c>
      <c r="I1021" s="133" t="s">
        <v>119</v>
      </c>
      <c r="J1021" s="111"/>
      <c r="K1021" s="135">
        <v>45789</v>
      </c>
      <c r="L1021" s="153">
        <f t="shared" si="47"/>
        <v>-151.72999999999999</v>
      </c>
      <c r="M1021" s="111"/>
    </row>
    <row r="1022" spans="1:13" customFormat="1" x14ac:dyDescent="0.35">
      <c r="A1022" s="109">
        <v>45804</v>
      </c>
      <c r="B1022" s="111" t="s">
        <v>65</v>
      </c>
      <c r="C1022" s="111" t="s">
        <v>26</v>
      </c>
      <c r="D1022" s="111"/>
      <c r="E1022" s="111" t="s">
        <v>1304</v>
      </c>
      <c r="F1022" s="153">
        <v>-228.4</v>
      </c>
      <c r="G1022" s="133"/>
      <c r="H1022" s="133" t="s">
        <v>66</v>
      </c>
      <c r="I1022" s="133" t="s">
        <v>119</v>
      </c>
      <c r="J1022" s="111"/>
      <c r="K1022" s="135">
        <v>45814</v>
      </c>
      <c r="L1022" s="111"/>
      <c r="M1022" s="111"/>
    </row>
    <row r="1023" spans="1:13" customFormat="1" x14ac:dyDescent="0.35">
      <c r="A1023" s="109">
        <v>45819</v>
      </c>
      <c r="B1023" s="111" t="s">
        <v>65</v>
      </c>
      <c r="C1023" s="111" t="s">
        <v>26</v>
      </c>
      <c r="D1023" s="111"/>
      <c r="E1023" s="111" t="s">
        <v>1305</v>
      </c>
      <c r="F1023" s="153">
        <v>-303.47000000000003</v>
      </c>
      <c r="G1023" s="133"/>
      <c r="H1023" s="133" t="s">
        <v>66</v>
      </c>
      <c r="I1023" s="133" t="s">
        <v>119</v>
      </c>
      <c r="J1023" s="111"/>
      <c r="K1023" s="135">
        <v>45833</v>
      </c>
      <c r="L1023" s="111"/>
      <c r="M1023" s="111"/>
    </row>
    <row r="1024" spans="1:13" customFormat="1" x14ac:dyDescent="0.35">
      <c r="A1024" s="109">
        <v>45826</v>
      </c>
      <c r="B1024" s="111" t="s">
        <v>65</v>
      </c>
      <c r="C1024" s="111" t="s">
        <v>26</v>
      </c>
      <c r="D1024" s="111"/>
      <c r="E1024" s="111" t="s">
        <v>1306</v>
      </c>
      <c r="F1024" s="153">
        <v>-424.74</v>
      </c>
      <c r="G1024" s="135">
        <v>45834</v>
      </c>
      <c r="H1024" s="133" t="s">
        <v>66</v>
      </c>
      <c r="I1024" s="133" t="s">
        <v>119</v>
      </c>
      <c r="J1024" s="111"/>
      <c r="K1024" s="135">
        <v>45833</v>
      </c>
      <c r="L1024" s="111"/>
      <c r="M1024" s="111"/>
    </row>
    <row r="1025" spans="1:13" customFormat="1" x14ac:dyDescent="0.35">
      <c r="A1025" s="109">
        <v>45840</v>
      </c>
      <c r="B1025" s="111" t="s">
        <v>65</v>
      </c>
      <c r="C1025" s="111" t="s">
        <v>26</v>
      </c>
      <c r="D1025" s="111"/>
      <c r="E1025" s="111" t="s">
        <v>1307</v>
      </c>
      <c r="F1025" s="153">
        <v>-151.72999999999999</v>
      </c>
      <c r="G1025" s="135">
        <v>45848</v>
      </c>
      <c r="H1025" s="134" t="s">
        <v>66</v>
      </c>
      <c r="I1025" s="133" t="s">
        <v>119</v>
      </c>
      <c r="J1025" s="111"/>
      <c r="K1025" s="135">
        <v>45867</v>
      </c>
      <c r="L1025" s="111"/>
      <c r="M1025" s="111"/>
    </row>
    <row r="1026" spans="1:13" customFormat="1" x14ac:dyDescent="0.35">
      <c r="A1026" s="109">
        <v>45847</v>
      </c>
      <c r="B1026" s="111" t="s">
        <v>65</v>
      </c>
      <c r="C1026" s="111" t="s">
        <v>26</v>
      </c>
      <c r="D1026" s="111"/>
      <c r="E1026" s="111" t="s">
        <v>1308</v>
      </c>
      <c r="F1026" s="153">
        <v>-303.47000000000003</v>
      </c>
      <c r="G1026" s="135">
        <v>45855</v>
      </c>
      <c r="H1026" s="134" t="s">
        <v>66</v>
      </c>
      <c r="I1026" s="133" t="s">
        <v>119</v>
      </c>
      <c r="J1026" s="111"/>
      <c r="K1026" s="135">
        <v>45867</v>
      </c>
      <c r="L1026" s="111"/>
      <c r="M1026" s="196"/>
    </row>
    <row r="1027" spans="1:13" customFormat="1" x14ac:dyDescent="0.35">
      <c r="A1027" s="109">
        <v>45689</v>
      </c>
      <c r="B1027" s="121" t="s">
        <v>57</v>
      </c>
      <c r="C1027" s="111" t="s">
        <v>20</v>
      </c>
      <c r="D1027" s="111" t="s">
        <v>1200</v>
      </c>
      <c r="E1027" s="121" t="s">
        <v>1309</v>
      </c>
      <c r="F1027" s="149">
        <v>28.44</v>
      </c>
      <c r="G1027" s="135">
        <v>45717</v>
      </c>
      <c r="H1027" s="134" t="s">
        <v>66</v>
      </c>
      <c r="I1027" s="133" t="s">
        <v>135</v>
      </c>
      <c r="J1027" s="111"/>
      <c r="K1027" s="135">
        <v>45692</v>
      </c>
      <c r="L1027" s="153">
        <f>F1027</f>
        <v>28.44</v>
      </c>
      <c r="M1027" s="111"/>
    </row>
    <row r="1028" spans="1:13" customFormat="1" x14ac:dyDescent="0.35">
      <c r="A1028" s="109">
        <v>45861</v>
      </c>
      <c r="B1028" s="111" t="s">
        <v>65</v>
      </c>
      <c r="C1028" s="111" t="s">
        <v>26</v>
      </c>
      <c r="D1028" s="111"/>
      <c r="E1028" s="111" t="s">
        <v>1310</v>
      </c>
      <c r="F1028" s="153">
        <v>-455.2</v>
      </c>
      <c r="G1028" s="133"/>
      <c r="H1028" s="134" t="s">
        <v>66</v>
      </c>
      <c r="I1028" s="133" t="s">
        <v>119</v>
      </c>
      <c r="J1028" s="111"/>
      <c r="K1028" s="135">
        <v>45873</v>
      </c>
      <c r="L1028" s="111"/>
      <c r="M1028" s="196"/>
    </row>
    <row r="1029" spans="1:13" customFormat="1" x14ac:dyDescent="0.35">
      <c r="A1029" s="109">
        <v>45700</v>
      </c>
      <c r="B1029" s="111" t="s">
        <v>57</v>
      </c>
      <c r="C1029" s="111" t="s">
        <v>20</v>
      </c>
      <c r="D1029" s="111" t="s">
        <v>1200</v>
      </c>
      <c r="E1029" s="111" t="s">
        <v>1311</v>
      </c>
      <c r="F1029" s="153">
        <v>14.75</v>
      </c>
      <c r="G1029" s="135">
        <v>45727</v>
      </c>
      <c r="H1029" s="134" t="s">
        <v>66</v>
      </c>
      <c r="I1029" s="133" t="s">
        <v>135</v>
      </c>
      <c r="J1029" s="111"/>
      <c r="K1029" s="135">
        <v>45706</v>
      </c>
      <c r="L1029" s="153">
        <f>F1029</f>
        <v>14.75</v>
      </c>
      <c r="M1029" s="111">
        <v>517897849</v>
      </c>
    </row>
    <row r="1030" spans="1:13" customFormat="1" x14ac:dyDescent="0.35">
      <c r="A1030" s="109">
        <v>45706</v>
      </c>
      <c r="B1030" s="121" t="s">
        <v>57</v>
      </c>
      <c r="C1030" s="111" t="s">
        <v>20</v>
      </c>
      <c r="D1030" s="121" t="s">
        <v>1200</v>
      </c>
      <c r="E1030" s="121" t="s">
        <v>1312</v>
      </c>
      <c r="F1030" s="153">
        <v>15.93</v>
      </c>
      <c r="G1030" s="135">
        <v>45706</v>
      </c>
      <c r="H1030" s="134" t="s">
        <v>66</v>
      </c>
      <c r="I1030" s="134" t="s">
        <v>135</v>
      </c>
      <c r="J1030" s="111"/>
      <c r="K1030" s="135" t="s">
        <v>1313</v>
      </c>
      <c r="L1030" s="153">
        <f>F1030</f>
        <v>15.93</v>
      </c>
      <c r="M1030" s="111">
        <v>517897849</v>
      </c>
    </row>
    <row r="1031" spans="1:13" customFormat="1" x14ac:dyDescent="0.35">
      <c r="A1031" s="109">
        <v>45706</v>
      </c>
      <c r="B1031" s="121" t="s">
        <v>57</v>
      </c>
      <c r="C1031" s="111" t="s">
        <v>20</v>
      </c>
      <c r="D1031" s="121" t="s">
        <v>1200</v>
      </c>
      <c r="E1031" s="111" t="s">
        <v>1312</v>
      </c>
      <c r="F1031" s="153">
        <v>15.93</v>
      </c>
      <c r="G1031" s="135">
        <v>45734</v>
      </c>
      <c r="H1031" s="133" t="s">
        <v>66</v>
      </c>
      <c r="I1031" s="133" t="s">
        <v>135</v>
      </c>
      <c r="J1031" s="111"/>
      <c r="K1031" s="135" t="s">
        <v>1313</v>
      </c>
      <c r="L1031" s="153">
        <f>F1031</f>
        <v>15.93</v>
      </c>
      <c r="M1031" s="111">
        <v>517897849</v>
      </c>
    </row>
    <row r="1032" spans="1:13" customFormat="1" x14ac:dyDescent="0.35">
      <c r="A1032" s="109">
        <v>374586</v>
      </c>
      <c r="B1032" s="111" t="s">
        <v>65</v>
      </c>
      <c r="C1032" s="121" t="s">
        <v>26</v>
      </c>
      <c r="D1032" s="111"/>
      <c r="E1032" s="121" t="s">
        <v>1314</v>
      </c>
      <c r="F1032" s="153">
        <v>-151.72999999999999</v>
      </c>
      <c r="G1032" s="135">
        <v>45876</v>
      </c>
      <c r="H1032" s="134" t="s">
        <v>66</v>
      </c>
      <c r="I1032" s="133" t="s">
        <v>119</v>
      </c>
      <c r="J1032" s="111"/>
      <c r="K1032" s="135">
        <v>45876</v>
      </c>
      <c r="L1032" s="111"/>
      <c r="M1032" s="196"/>
    </row>
    <row r="1033" spans="1:13" customFormat="1" ht="18.399999999999999" customHeight="1" x14ac:dyDescent="0.35">
      <c r="A1033" s="109">
        <v>374586</v>
      </c>
      <c r="B1033" s="111" t="s">
        <v>65</v>
      </c>
      <c r="C1033" s="121" t="s">
        <v>26</v>
      </c>
      <c r="D1033" s="111"/>
      <c r="E1033" s="121" t="s">
        <v>1315</v>
      </c>
      <c r="F1033" s="153">
        <v>-32.049999999999997</v>
      </c>
      <c r="G1033" s="214">
        <v>45876</v>
      </c>
      <c r="H1033" s="134" t="s">
        <v>66</v>
      </c>
      <c r="I1033" s="133" t="s">
        <v>119</v>
      </c>
      <c r="J1033" s="111"/>
      <c r="K1033" s="135">
        <v>45876</v>
      </c>
      <c r="L1033" s="111"/>
      <c r="M1033" s="196"/>
    </row>
    <row r="1034" spans="1:13" customFormat="1" x14ac:dyDescent="0.35">
      <c r="A1034" s="109">
        <v>45875</v>
      </c>
      <c r="B1034" s="111" t="s">
        <v>65</v>
      </c>
      <c r="C1034" s="121" t="s">
        <v>26</v>
      </c>
      <c r="D1034" s="111"/>
      <c r="E1034" s="121" t="s">
        <v>1316</v>
      </c>
      <c r="F1034" s="153">
        <v>-424.74</v>
      </c>
      <c r="G1034" s="135">
        <v>45883</v>
      </c>
      <c r="H1034" s="133" t="s">
        <v>66</v>
      </c>
      <c r="I1034" s="133" t="s">
        <v>119</v>
      </c>
      <c r="J1034" s="111"/>
      <c r="K1034" s="135">
        <v>45882</v>
      </c>
      <c r="L1034" s="111"/>
      <c r="M1034" s="196"/>
    </row>
    <row r="1035" spans="1:13" customFormat="1" x14ac:dyDescent="0.35">
      <c r="A1035" s="109">
        <v>45882</v>
      </c>
      <c r="B1035" s="111" t="s">
        <v>65</v>
      </c>
      <c r="C1035" s="121" t="s">
        <v>26</v>
      </c>
      <c r="D1035" s="111"/>
      <c r="E1035" s="121" t="s">
        <v>1317</v>
      </c>
      <c r="F1035" s="153">
        <v>-151.72999999999999</v>
      </c>
      <c r="G1035" s="135">
        <v>45890</v>
      </c>
      <c r="H1035" s="133" t="s">
        <v>66</v>
      </c>
      <c r="I1035" s="133" t="s">
        <v>119</v>
      </c>
      <c r="J1035" s="111"/>
      <c r="K1035" s="135">
        <v>45903</v>
      </c>
      <c r="L1035" s="111"/>
      <c r="M1035" s="196"/>
    </row>
    <row r="1036" spans="1:13" customFormat="1" x14ac:dyDescent="0.35">
      <c r="A1036" s="109">
        <v>45888</v>
      </c>
      <c r="B1036" s="111" t="s">
        <v>65</v>
      </c>
      <c r="C1036" s="111" t="s">
        <v>26</v>
      </c>
      <c r="D1036" s="111"/>
      <c r="E1036" s="111" t="s">
        <v>1318</v>
      </c>
      <c r="F1036" s="153">
        <v>-151.72999999999999</v>
      </c>
      <c r="G1036" s="135">
        <v>45918</v>
      </c>
      <c r="H1036" s="134" t="s">
        <v>66</v>
      </c>
      <c r="I1036" s="133" t="s">
        <v>119</v>
      </c>
      <c r="J1036" s="111"/>
      <c r="K1036" s="135">
        <v>45918</v>
      </c>
      <c r="L1036" s="111"/>
      <c r="M1036" s="196"/>
    </row>
    <row r="1037" spans="1:13" customFormat="1" x14ac:dyDescent="0.35">
      <c r="A1037" s="109">
        <v>45903</v>
      </c>
      <c r="B1037" s="121" t="s">
        <v>65</v>
      </c>
      <c r="C1037" s="121" t="s">
        <v>26</v>
      </c>
      <c r="D1037" s="111"/>
      <c r="E1037" s="121" t="s">
        <v>1319</v>
      </c>
      <c r="F1037" s="153">
        <v>-230.31</v>
      </c>
      <c r="G1037" s="135">
        <f>A1037+30</f>
        <v>45933</v>
      </c>
      <c r="H1037" s="134" t="s">
        <v>66</v>
      </c>
      <c r="I1037" s="133" t="s">
        <v>119</v>
      </c>
      <c r="J1037" s="111"/>
      <c r="K1037" s="135">
        <v>45933</v>
      </c>
      <c r="L1037" s="111"/>
      <c r="M1037" s="196"/>
    </row>
    <row r="1038" spans="1:13" x14ac:dyDescent="0.35">
      <c r="A1038" s="109">
        <v>45713</v>
      </c>
      <c r="B1038" s="111" t="s">
        <v>57</v>
      </c>
      <c r="C1038" s="111" t="s">
        <v>20</v>
      </c>
      <c r="D1038" s="121" t="s">
        <v>1200</v>
      </c>
      <c r="E1038" s="111" t="s">
        <v>1320</v>
      </c>
      <c r="F1038" s="153">
        <v>28.82</v>
      </c>
      <c r="G1038" s="135">
        <v>45741</v>
      </c>
      <c r="H1038" s="133" t="s">
        <v>66</v>
      </c>
      <c r="I1038" s="133" t="s">
        <v>135</v>
      </c>
      <c r="K1038" s="135">
        <v>45356</v>
      </c>
      <c r="L1038" s="153">
        <f>F1038</f>
        <v>28.82</v>
      </c>
      <c r="M1038" s="111">
        <v>517897849</v>
      </c>
    </row>
    <row r="1039" spans="1:13" s="76" customFormat="1" x14ac:dyDescent="0.35">
      <c r="A1039" s="109">
        <v>45911</v>
      </c>
      <c r="B1039" s="144" t="s">
        <v>65</v>
      </c>
      <c r="C1039" s="144" t="s">
        <v>26</v>
      </c>
      <c r="D1039" s="145"/>
      <c r="E1039" s="144" t="s">
        <v>1321</v>
      </c>
      <c r="F1039" s="169">
        <v>-151.72999999999999</v>
      </c>
      <c r="G1039" s="138">
        <f>A1039+30</f>
        <v>45941</v>
      </c>
      <c r="H1039" s="148" t="s">
        <v>66</v>
      </c>
      <c r="I1039" s="147" t="s">
        <v>119</v>
      </c>
      <c r="J1039" s="145"/>
      <c r="K1039" s="135">
        <v>45933</v>
      </c>
      <c r="L1039" s="111"/>
      <c r="M1039" s="198"/>
    </row>
    <row r="1040" spans="1:13" customFormat="1" x14ac:dyDescent="0.35">
      <c r="A1040" s="109">
        <v>45924</v>
      </c>
      <c r="B1040" s="111" t="s">
        <v>65</v>
      </c>
      <c r="C1040" s="111" t="s">
        <v>26</v>
      </c>
      <c r="D1040" s="111"/>
      <c r="E1040" s="111" t="s">
        <v>1322</v>
      </c>
      <c r="F1040" s="153">
        <v>-230.31</v>
      </c>
      <c r="G1040" s="135">
        <f>A1040+30</f>
        <v>45954</v>
      </c>
      <c r="H1040" s="134" t="s">
        <v>66</v>
      </c>
      <c r="I1040" s="133" t="s">
        <v>119</v>
      </c>
      <c r="J1040" s="111"/>
      <c r="K1040" s="135">
        <v>45954</v>
      </c>
      <c r="L1040" s="111"/>
      <c r="M1040" s="196"/>
    </row>
    <row r="1041" spans="1:13" customFormat="1" x14ac:dyDescent="0.35">
      <c r="A1041" s="109">
        <v>45924</v>
      </c>
      <c r="B1041" s="111" t="s">
        <v>65</v>
      </c>
      <c r="C1041" s="111" t="s">
        <v>26</v>
      </c>
      <c r="D1041" s="111"/>
      <c r="E1041" s="111" t="s">
        <v>1323</v>
      </c>
      <c r="F1041" s="153">
        <v>-169.67</v>
      </c>
      <c r="G1041" s="135">
        <f>A1041+30</f>
        <v>45954</v>
      </c>
      <c r="H1041" s="148" t="s">
        <v>66</v>
      </c>
      <c r="I1041" s="133" t="s">
        <v>119</v>
      </c>
      <c r="J1041" s="111"/>
      <c r="K1041" s="135">
        <v>45954</v>
      </c>
      <c r="L1041" s="111"/>
      <c r="M1041" s="196"/>
    </row>
    <row r="1042" spans="1:13" customFormat="1" x14ac:dyDescent="0.35">
      <c r="A1042" s="109">
        <v>45938</v>
      </c>
      <c r="B1042" s="111" t="s">
        <v>65</v>
      </c>
      <c r="C1042" s="121" t="s">
        <v>26</v>
      </c>
      <c r="D1042" s="111"/>
      <c r="E1042" s="121" t="s">
        <v>1324</v>
      </c>
      <c r="F1042" s="153">
        <v>-212.37</v>
      </c>
      <c r="G1042" s="135">
        <f>A1042+30</f>
        <v>45968</v>
      </c>
      <c r="H1042" s="133" t="s">
        <v>66</v>
      </c>
      <c r="I1042" s="134" t="s">
        <v>145</v>
      </c>
      <c r="J1042" s="111"/>
      <c r="K1042" s="135">
        <v>45968</v>
      </c>
      <c r="L1042" s="111"/>
      <c r="M1042" s="196"/>
    </row>
    <row r="1043" spans="1:13" x14ac:dyDescent="0.35">
      <c r="A1043" s="109">
        <v>45739</v>
      </c>
      <c r="B1043" s="111" t="s">
        <v>57</v>
      </c>
      <c r="C1043" s="111" t="s">
        <v>20</v>
      </c>
      <c r="D1043" s="111" t="s">
        <v>1200</v>
      </c>
      <c r="E1043" s="121" t="s">
        <v>1325</v>
      </c>
      <c r="F1043" s="153">
        <v>21.42</v>
      </c>
      <c r="G1043" s="135">
        <v>45769</v>
      </c>
      <c r="H1043" s="133" t="s">
        <v>66</v>
      </c>
      <c r="I1043" s="133" t="s">
        <v>135</v>
      </c>
      <c r="K1043" s="135">
        <v>45818</v>
      </c>
      <c r="L1043" s="153">
        <f>F1043</f>
        <v>21.42</v>
      </c>
      <c r="M1043" s="111">
        <v>517897849</v>
      </c>
    </row>
    <row r="1044" spans="1:13" x14ac:dyDescent="0.35">
      <c r="A1044" s="109">
        <v>45783</v>
      </c>
      <c r="B1044" s="111" t="s">
        <v>57</v>
      </c>
      <c r="C1044" s="111" t="s">
        <v>20</v>
      </c>
      <c r="D1044" s="111" t="s">
        <v>1200</v>
      </c>
      <c r="E1044" s="121" t="s">
        <v>1326</v>
      </c>
      <c r="F1044" s="153">
        <v>33.17</v>
      </c>
      <c r="G1044" s="135"/>
      <c r="H1044" s="133" t="s">
        <v>66</v>
      </c>
      <c r="I1044" s="133" t="s">
        <v>135</v>
      </c>
      <c r="K1044" s="135">
        <v>45791</v>
      </c>
      <c r="L1044" s="153">
        <f>F1044</f>
        <v>33.17</v>
      </c>
      <c r="M1044" s="111">
        <v>517897849</v>
      </c>
    </row>
    <row r="1045" spans="1:13" x14ac:dyDescent="0.35">
      <c r="A1045" s="109">
        <v>45784</v>
      </c>
      <c r="B1045" s="111" t="s">
        <v>57</v>
      </c>
      <c r="C1045" s="111" t="s">
        <v>20</v>
      </c>
      <c r="D1045" s="111" t="s">
        <v>1200</v>
      </c>
      <c r="E1045" s="121" t="s">
        <v>1327</v>
      </c>
      <c r="F1045" s="153">
        <v>30.06</v>
      </c>
      <c r="G1045" s="135"/>
      <c r="H1045" s="133" t="s">
        <v>66</v>
      </c>
      <c r="I1045" s="133" t="s">
        <v>135</v>
      </c>
      <c r="K1045" s="135">
        <v>45791</v>
      </c>
      <c r="L1045" s="111">
        <f>F1045</f>
        <v>30.06</v>
      </c>
      <c r="M1045" s="111">
        <v>517897849</v>
      </c>
    </row>
    <row r="1046" spans="1:13" x14ac:dyDescent="0.35">
      <c r="A1046" s="109">
        <v>45792</v>
      </c>
      <c r="B1046" s="111" t="s">
        <v>57</v>
      </c>
      <c r="C1046" s="111" t="s">
        <v>20</v>
      </c>
      <c r="D1046" s="111" t="s">
        <v>1200</v>
      </c>
      <c r="E1046" s="121" t="s">
        <v>1328</v>
      </c>
      <c r="F1046" s="153">
        <v>33.590000000000003</v>
      </c>
      <c r="G1046" s="135"/>
      <c r="H1046" s="133" t="s">
        <v>66</v>
      </c>
      <c r="I1046" s="133" t="s">
        <v>135</v>
      </c>
      <c r="K1046" s="135">
        <v>45798</v>
      </c>
      <c r="M1046" s="111">
        <v>517897849</v>
      </c>
    </row>
    <row r="1047" spans="1:13" x14ac:dyDescent="0.35">
      <c r="A1047" s="109">
        <v>45798</v>
      </c>
      <c r="B1047" s="111" t="s">
        <v>57</v>
      </c>
      <c r="C1047" s="111" t="s">
        <v>20</v>
      </c>
      <c r="D1047" s="111" t="s">
        <v>1200</v>
      </c>
      <c r="E1047" s="121" t="s">
        <v>1329</v>
      </c>
      <c r="F1047" s="153">
        <v>65.28</v>
      </c>
      <c r="G1047" s="135">
        <v>45828</v>
      </c>
      <c r="H1047" s="133" t="s">
        <v>66</v>
      </c>
      <c r="I1047" s="133" t="s">
        <v>135</v>
      </c>
      <c r="K1047" s="135">
        <v>45818</v>
      </c>
      <c r="L1047" s="111">
        <f>F1047</f>
        <v>65.28</v>
      </c>
      <c r="M1047" s="111">
        <v>517897849</v>
      </c>
    </row>
    <row r="1048" spans="1:13" x14ac:dyDescent="0.35">
      <c r="A1048" s="109">
        <v>45813</v>
      </c>
      <c r="B1048" s="111" t="s">
        <v>57</v>
      </c>
      <c r="C1048" s="111" t="s">
        <v>20</v>
      </c>
      <c r="D1048" s="111" t="s">
        <v>1200</v>
      </c>
      <c r="E1048" s="121" t="s">
        <v>1330</v>
      </c>
      <c r="F1048" s="153">
        <v>63.87</v>
      </c>
      <c r="H1048" s="133" t="s">
        <v>66</v>
      </c>
      <c r="I1048" s="133" t="s">
        <v>135</v>
      </c>
      <c r="K1048" s="135">
        <v>45818</v>
      </c>
      <c r="M1048" s="111"/>
    </row>
    <row r="1049" spans="1:13" x14ac:dyDescent="0.35">
      <c r="A1049" s="109">
        <v>45895</v>
      </c>
      <c r="B1049" s="121" t="s">
        <v>57</v>
      </c>
      <c r="C1049" s="111" t="s">
        <v>20</v>
      </c>
      <c r="D1049" s="121" t="s">
        <v>1200</v>
      </c>
      <c r="E1049" s="121" t="s">
        <v>1331</v>
      </c>
      <c r="F1049" s="153">
        <v>31.97</v>
      </c>
      <c r="G1049" s="135">
        <f>A1049+30</f>
        <v>45925</v>
      </c>
      <c r="H1049" s="134" t="s">
        <v>66</v>
      </c>
      <c r="I1049" s="133" t="s">
        <v>135</v>
      </c>
      <c r="K1049" s="135">
        <v>45903</v>
      </c>
    </row>
    <row r="1050" spans="1:13" x14ac:dyDescent="0.35">
      <c r="A1050" s="109">
        <v>45903</v>
      </c>
      <c r="B1050" s="121" t="s">
        <v>57</v>
      </c>
      <c r="C1050" s="111" t="s">
        <v>20</v>
      </c>
      <c r="D1050" s="121" t="s">
        <v>1200</v>
      </c>
      <c r="E1050" s="121" t="s">
        <v>1332</v>
      </c>
      <c r="F1050" s="153">
        <v>33.14</v>
      </c>
      <c r="G1050" s="135">
        <f>A1050+30</f>
        <v>45933</v>
      </c>
      <c r="H1050" s="134" t="s">
        <v>66</v>
      </c>
      <c r="I1050" s="133" t="s">
        <v>135</v>
      </c>
      <c r="K1050" s="135">
        <v>45909</v>
      </c>
    </row>
    <row r="1051" spans="1:13" x14ac:dyDescent="0.35">
      <c r="A1051" s="109">
        <v>45905</v>
      </c>
      <c r="B1051" s="121" t="s">
        <v>57</v>
      </c>
      <c r="C1051" s="111" t="s">
        <v>20</v>
      </c>
      <c r="D1051" s="121" t="s">
        <v>1200</v>
      </c>
      <c r="E1051" s="121" t="s">
        <v>1333</v>
      </c>
      <c r="F1051" s="153">
        <v>30.65</v>
      </c>
      <c r="G1051" s="135">
        <f>A1051+30</f>
        <v>45935</v>
      </c>
      <c r="H1051" s="134" t="s">
        <v>66</v>
      </c>
      <c r="I1051" s="133" t="s">
        <v>135</v>
      </c>
      <c r="K1051" s="135">
        <v>45909</v>
      </c>
    </row>
    <row r="1052" spans="1:13" s="76" customFormat="1" x14ac:dyDescent="0.35">
      <c r="A1052" s="109">
        <v>45950</v>
      </c>
      <c r="B1052" s="145" t="s">
        <v>65</v>
      </c>
      <c r="C1052" s="145" t="s">
        <v>26</v>
      </c>
      <c r="D1052" s="145"/>
      <c r="E1052" s="237" t="s">
        <v>1334</v>
      </c>
      <c r="F1052" s="169">
        <v>-151.72999999999999</v>
      </c>
      <c r="G1052" s="138">
        <v>45980</v>
      </c>
      <c r="H1052" s="148" t="s">
        <v>66</v>
      </c>
      <c r="I1052" s="147" t="s">
        <v>145</v>
      </c>
      <c r="J1052" s="145"/>
      <c r="K1052" s="135">
        <v>45980</v>
      </c>
      <c r="L1052" s="111"/>
      <c r="M1052" s="198"/>
    </row>
    <row r="1053" spans="1:13" customFormat="1" x14ac:dyDescent="0.35">
      <c r="A1053" s="109">
        <v>46026</v>
      </c>
      <c r="B1053" s="111" t="s">
        <v>65</v>
      </c>
      <c r="C1053" s="111" t="s">
        <v>26</v>
      </c>
      <c r="D1053" s="111"/>
      <c r="E1053" s="218" t="s">
        <v>1335</v>
      </c>
      <c r="F1053" s="153">
        <v>-151.72999999999999</v>
      </c>
      <c r="G1053" s="241">
        <v>46056</v>
      </c>
      <c r="H1053" s="134" t="s">
        <v>66</v>
      </c>
      <c r="I1053" s="133" t="s">
        <v>145</v>
      </c>
      <c r="J1053" s="111"/>
      <c r="K1053" s="160">
        <v>46062</v>
      </c>
      <c r="L1053" s="111"/>
      <c r="M1053" s="196"/>
    </row>
    <row r="1054" spans="1:13" x14ac:dyDescent="0.35">
      <c r="A1054" s="109">
        <v>45491</v>
      </c>
      <c r="B1054" s="121" t="s">
        <v>57</v>
      </c>
      <c r="C1054" s="111" t="s">
        <v>20</v>
      </c>
      <c r="D1054" s="111" t="s">
        <v>1200</v>
      </c>
      <c r="E1054" s="111" t="s">
        <v>1336</v>
      </c>
      <c r="F1054" s="149">
        <v>22.63</v>
      </c>
      <c r="G1054" s="135">
        <f>A1054+30</f>
        <v>45521</v>
      </c>
      <c r="H1054" s="133" t="s">
        <v>66</v>
      </c>
      <c r="I1054" s="133" t="s">
        <v>135</v>
      </c>
      <c r="K1054" s="135"/>
      <c r="L1054" s="153">
        <f>F1054</f>
        <v>22.63</v>
      </c>
      <c r="M1054" s="111">
        <v>517897849</v>
      </c>
    </row>
    <row r="1055" spans="1:13" x14ac:dyDescent="0.35">
      <c r="A1055" s="109">
        <v>45659</v>
      </c>
      <c r="B1055" s="121" t="s">
        <v>57</v>
      </c>
      <c r="C1055" s="121" t="s">
        <v>1337</v>
      </c>
      <c r="F1055" s="149">
        <v>181.5</v>
      </c>
      <c r="G1055" s="135">
        <v>45659</v>
      </c>
      <c r="I1055" s="133" t="s">
        <v>1338</v>
      </c>
      <c r="K1055" s="135">
        <v>45659</v>
      </c>
      <c r="L1055" s="153">
        <v>124.37499999999999</v>
      </c>
      <c r="M1055" s="111"/>
    </row>
    <row r="1056" spans="1:13" x14ac:dyDescent="0.35">
      <c r="A1056" s="109">
        <v>45660</v>
      </c>
      <c r="B1056" s="121" t="s">
        <v>57</v>
      </c>
      <c r="C1056" s="121" t="s">
        <v>1337</v>
      </c>
      <c r="F1056" s="149">
        <v>283.91000000000003</v>
      </c>
      <c r="G1056" s="135">
        <v>45660</v>
      </c>
      <c r="I1056" s="133" t="s">
        <v>1338</v>
      </c>
      <c r="K1056" s="135">
        <v>45660</v>
      </c>
      <c r="L1056" s="153">
        <v>280.31</v>
      </c>
      <c r="M1056" s="111"/>
    </row>
    <row r="1057" spans="1:13" x14ac:dyDescent="0.35">
      <c r="A1057" s="109">
        <v>45224</v>
      </c>
      <c r="B1057" s="111" t="s">
        <v>65</v>
      </c>
      <c r="C1057" s="111" t="s">
        <v>1339</v>
      </c>
      <c r="E1057" s="111" t="s">
        <v>1340</v>
      </c>
      <c r="F1057" s="131">
        <v>-154.97999999999999</v>
      </c>
      <c r="G1057" s="135"/>
      <c r="H1057" s="133" t="s">
        <v>66</v>
      </c>
      <c r="I1057" s="133" t="s">
        <v>119</v>
      </c>
      <c r="K1057" s="135"/>
      <c r="L1057" s="153">
        <f>F1057</f>
        <v>-154.97999999999999</v>
      </c>
      <c r="M1057" s="111" t="s">
        <v>1266</v>
      </c>
    </row>
    <row r="1058" spans="1:13" x14ac:dyDescent="0.35">
      <c r="A1058" s="109">
        <v>45661</v>
      </c>
      <c r="B1058" s="121" t="s">
        <v>57</v>
      </c>
      <c r="C1058" s="121" t="s">
        <v>1337</v>
      </c>
      <c r="F1058" s="149">
        <v>187.26</v>
      </c>
      <c r="G1058" s="135">
        <v>45661</v>
      </c>
      <c r="I1058" s="133" t="s">
        <v>1338</v>
      </c>
      <c r="K1058" s="135">
        <v>45661</v>
      </c>
      <c r="L1058" s="153">
        <v>561.65875000000005</v>
      </c>
      <c r="M1058" s="111"/>
    </row>
    <row r="1059" spans="1:13" x14ac:dyDescent="0.35">
      <c r="A1059" s="109">
        <v>45662</v>
      </c>
      <c r="B1059" s="121" t="s">
        <v>57</v>
      </c>
      <c r="C1059" s="121" t="s">
        <v>1337</v>
      </c>
      <c r="F1059" s="167">
        <v>92.82</v>
      </c>
      <c r="G1059" s="135">
        <v>45662</v>
      </c>
      <c r="I1059" s="133" t="s">
        <v>1338</v>
      </c>
      <c r="K1059" s="135">
        <v>45662</v>
      </c>
      <c r="L1059" s="153">
        <v>496.00875000000002</v>
      </c>
      <c r="M1059" s="111"/>
    </row>
    <row r="1060" spans="1:13" x14ac:dyDescent="0.35">
      <c r="A1060" s="109">
        <v>45663</v>
      </c>
      <c r="B1060" s="121" t="s">
        <v>57</v>
      </c>
      <c r="C1060" s="121" t="s">
        <v>1337</v>
      </c>
      <c r="F1060" s="167"/>
      <c r="G1060" s="135">
        <v>45663</v>
      </c>
      <c r="I1060" s="133" t="s">
        <v>1338</v>
      </c>
      <c r="K1060" s="135">
        <v>45663</v>
      </c>
      <c r="L1060" s="153">
        <v>0</v>
      </c>
      <c r="M1060" s="111"/>
    </row>
    <row r="1061" spans="1:13" x14ac:dyDescent="0.35">
      <c r="A1061" s="109">
        <v>45664</v>
      </c>
      <c r="B1061" s="121" t="s">
        <v>57</v>
      </c>
      <c r="C1061" s="121" t="s">
        <v>1337</v>
      </c>
      <c r="F1061" s="167">
        <v>189.66</v>
      </c>
      <c r="G1061" s="135">
        <v>45664</v>
      </c>
      <c r="I1061" s="133" t="s">
        <v>1338</v>
      </c>
      <c r="K1061" s="135">
        <v>45664</v>
      </c>
      <c r="L1061" s="153">
        <v>129.178</v>
      </c>
      <c r="M1061" s="111"/>
    </row>
    <row r="1062" spans="1:13" x14ac:dyDescent="0.35">
      <c r="A1062" s="180">
        <v>45723</v>
      </c>
      <c r="B1062" s="111" t="s">
        <v>65</v>
      </c>
      <c r="C1062" s="181" t="s">
        <v>90</v>
      </c>
      <c r="E1062" s="182" t="s">
        <v>1341</v>
      </c>
      <c r="F1062" s="153">
        <v>-977.28</v>
      </c>
      <c r="G1062" s="135"/>
      <c r="H1062" s="133" t="s">
        <v>66</v>
      </c>
      <c r="I1062" s="133" t="s">
        <v>119</v>
      </c>
      <c r="K1062" s="135">
        <v>45769</v>
      </c>
      <c r="L1062" s="153">
        <f>F1062</f>
        <v>-977.28</v>
      </c>
      <c r="M1062" s="111"/>
    </row>
    <row r="1063" spans="1:13" x14ac:dyDescent="0.35">
      <c r="A1063" s="109">
        <v>45854</v>
      </c>
      <c r="B1063" s="111" t="s">
        <v>65</v>
      </c>
      <c r="C1063" s="111" t="s">
        <v>90</v>
      </c>
      <c r="E1063" s="111" t="s">
        <v>1342</v>
      </c>
      <c r="F1063" s="153">
        <v>-831.86</v>
      </c>
      <c r="G1063" s="135">
        <v>45885</v>
      </c>
      <c r="H1063" s="134" t="s">
        <v>66</v>
      </c>
      <c r="I1063" s="133" t="s">
        <v>119</v>
      </c>
      <c r="K1063" s="135">
        <v>45887</v>
      </c>
    </row>
    <row r="1064" spans="1:13" x14ac:dyDescent="0.35">
      <c r="A1064" s="109">
        <v>45954</v>
      </c>
      <c r="B1064" s="121" t="s">
        <v>65</v>
      </c>
      <c r="C1064" s="111" t="s">
        <v>90</v>
      </c>
      <c r="E1064" s="121" t="s">
        <v>1343</v>
      </c>
      <c r="F1064" s="153">
        <v>-690.73</v>
      </c>
      <c r="G1064" s="135">
        <f>A1064+30</f>
        <v>45984</v>
      </c>
      <c r="H1064" s="133" t="s">
        <v>66</v>
      </c>
      <c r="I1064" s="134" t="s">
        <v>145</v>
      </c>
      <c r="K1064" s="135">
        <v>45985</v>
      </c>
      <c r="M1064" s="186" t="s">
        <v>1344</v>
      </c>
    </row>
    <row r="1065" spans="1:13" x14ac:dyDescent="0.35">
      <c r="A1065" s="109">
        <v>45954</v>
      </c>
      <c r="B1065" s="121" t="s">
        <v>65</v>
      </c>
      <c r="C1065" s="111" t="s">
        <v>90</v>
      </c>
      <c r="E1065" s="111" t="s">
        <v>1345</v>
      </c>
      <c r="F1065" s="153">
        <v>236.56</v>
      </c>
      <c r="G1065" s="135">
        <f>A1065+30</f>
        <v>45984</v>
      </c>
      <c r="H1065" s="133" t="s">
        <v>66</v>
      </c>
      <c r="I1065" s="133" t="s">
        <v>145</v>
      </c>
      <c r="K1065" s="135">
        <v>45985</v>
      </c>
    </row>
    <row r="1066" spans="1:13" x14ac:dyDescent="0.35">
      <c r="A1066" s="109">
        <v>45667</v>
      </c>
      <c r="B1066" s="111" t="s">
        <v>65</v>
      </c>
      <c r="C1066" s="111" t="s">
        <v>91</v>
      </c>
      <c r="E1066" s="111" t="s">
        <v>1346</v>
      </c>
      <c r="F1066" s="151">
        <v>-350</v>
      </c>
      <c r="G1066" s="135">
        <v>45688</v>
      </c>
      <c r="H1066" s="133" t="s">
        <v>66</v>
      </c>
      <c r="I1066" s="133" t="s">
        <v>119</v>
      </c>
      <c r="K1066" s="135">
        <v>45677</v>
      </c>
      <c r="L1066" s="153">
        <f>F1066</f>
        <v>-350</v>
      </c>
      <c r="M1066" s="111"/>
    </row>
    <row r="1067" spans="1:13" x14ac:dyDescent="0.35">
      <c r="A1067" s="109">
        <v>45813</v>
      </c>
      <c r="B1067" s="111" t="s">
        <v>65</v>
      </c>
      <c r="C1067" s="111" t="s">
        <v>92</v>
      </c>
      <c r="F1067" s="153">
        <v>-292.39999999999998</v>
      </c>
      <c r="H1067" s="133" t="s">
        <v>66</v>
      </c>
      <c r="I1067" s="133" t="s">
        <v>119</v>
      </c>
      <c r="K1067" s="135">
        <v>45813</v>
      </c>
      <c r="M1067" s="111"/>
    </row>
    <row r="1068" spans="1:13" x14ac:dyDescent="0.35">
      <c r="A1068" s="109">
        <v>45514</v>
      </c>
      <c r="B1068" s="111" t="s">
        <v>65</v>
      </c>
      <c r="C1068" s="111" t="s">
        <v>1347</v>
      </c>
      <c r="E1068" s="111" t="s">
        <v>1348</v>
      </c>
      <c r="F1068" s="131">
        <v>-360</v>
      </c>
      <c r="G1068" s="135"/>
      <c r="H1068" s="133" t="s">
        <v>66</v>
      </c>
      <c r="I1068" s="133" t="s">
        <v>119</v>
      </c>
      <c r="K1068" s="135"/>
      <c r="L1068" s="153">
        <f>F1068</f>
        <v>-360</v>
      </c>
      <c r="M1068" s="111" t="s">
        <v>1349</v>
      </c>
    </row>
    <row r="1069" spans="1:13" x14ac:dyDescent="0.35">
      <c r="A1069" s="109">
        <v>46008</v>
      </c>
      <c r="B1069" s="111" t="s">
        <v>65</v>
      </c>
      <c r="C1069" s="111" t="s">
        <v>1350</v>
      </c>
      <c r="E1069" s="218" t="s">
        <v>1351</v>
      </c>
      <c r="F1069" s="153">
        <v>-80</v>
      </c>
      <c r="H1069" s="134" t="s">
        <v>66</v>
      </c>
      <c r="I1069" s="133" t="s">
        <v>170</v>
      </c>
      <c r="K1069" s="160">
        <v>46013</v>
      </c>
      <c r="M1069" s="196" t="s">
        <v>1352</v>
      </c>
    </row>
    <row r="1070" spans="1:13" x14ac:dyDescent="0.35">
      <c r="A1070" s="109">
        <v>45883</v>
      </c>
      <c r="B1070" s="111" t="s">
        <v>65</v>
      </c>
      <c r="C1070" s="199" t="s">
        <v>78</v>
      </c>
      <c r="E1070" s="121" t="s">
        <v>1353</v>
      </c>
      <c r="F1070" s="153">
        <v>-2827.68</v>
      </c>
      <c r="G1070" s="135">
        <f>A1070+30</f>
        <v>45913</v>
      </c>
      <c r="H1070" s="134" t="s">
        <v>1354</v>
      </c>
      <c r="I1070" s="133" t="s">
        <v>119</v>
      </c>
      <c r="K1070" s="135">
        <v>46108</v>
      </c>
    </row>
    <row r="1071" spans="1:13" x14ac:dyDescent="0.35">
      <c r="A1071" s="109">
        <v>45899</v>
      </c>
      <c r="B1071" s="111" t="s">
        <v>65</v>
      </c>
      <c r="C1071" s="199" t="s">
        <v>78</v>
      </c>
      <c r="E1071" s="121" t="s">
        <v>1355</v>
      </c>
      <c r="F1071" s="153">
        <v>-1343.13</v>
      </c>
      <c r="G1071" s="135">
        <f>A1071+30</f>
        <v>45929</v>
      </c>
      <c r="H1071" s="134" t="s">
        <v>1354</v>
      </c>
      <c r="I1071" s="133" t="s">
        <v>119</v>
      </c>
      <c r="K1071" s="135">
        <v>46076</v>
      </c>
    </row>
    <row r="1072" spans="1:13" x14ac:dyDescent="0.35">
      <c r="A1072" s="109">
        <v>45377</v>
      </c>
      <c r="B1072" s="111" t="s">
        <v>65</v>
      </c>
      <c r="C1072" s="111" t="s">
        <v>1350</v>
      </c>
      <c r="E1072" s="111" t="s">
        <v>1356</v>
      </c>
      <c r="F1072" s="131">
        <v>-121.87</v>
      </c>
      <c r="G1072" s="135"/>
      <c r="H1072" s="133" t="s">
        <v>66</v>
      </c>
      <c r="K1072" s="135"/>
      <c r="L1072" s="153">
        <f>F1072</f>
        <v>-121.87</v>
      </c>
      <c r="M1072" s="111" t="s">
        <v>1357</v>
      </c>
    </row>
    <row r="1073" spans="1:13" x14ac:dyDescent="0.35">
      <c r="A1073" s="109">
        <v>45589</v>
      </c>
      <c r="B1073" s="111" t="s">
        <v>65</v>
      </c>
      <c r="C1073" s="111" t="s">
        <v>1350</v>
      </c>
      <c r="E1073" s="111" t="s">
        <v>1358</v>
      </c>
      <c r="F1073" s="131">
        <v>-100</v>
      </c>
      <c r="G1073" s="135"/>
      <c r="H1073" s="133" t="s">
        <v>66</v>
      </c>
      <c r="I1073" s="133" t="s">
        <v>119</v>
      </c>
      <c r="K1073" s="135"/>
      <c r="L1073" s="153">
        <f>F1073</f>
        <v>-100</v>
      </c>
      <c r="M1073" s="111" t="s">
        <v>1359</v>
      </c>
    </row>
    <row r="1074" spans="1:13" x14ac:dyDescent="0.35">
      <c r="A1074" s="109">
        <v>45381</v>
      </c>
      <c r="B1074" s="111" t="s">
        <v>65</v>
      </c>
      <c r="C1074" s="111" t="s">
        <v>1360</v>
      </c>
      <c r="E1074" s="111" t="s">
        <v>1361</v>
      </c>
      <c r="F1074" s="131">
        <v>-2699.85</v>
      </c>
      <c r="G1074" s="135"/>
      <c r="H1074" s="133" t="s">
        <v>66</v>
      </c>
      <c r="I1074" s="133" t="s">
        <v>170</v>
      </c>
      <c r="K1074" s="135"/>
      <c r="L1074" s="153">
        <f>F1074</f>
        <v>-2699.85</v>
      </c>
      <c r="M1074" s="111" t="s">
        <v>1362</v>
      </c>
    </row>
    <row r="1075" spans="1:13" x14ac:dyDescent="0.35">
      <c r="A1075" s="109">
        <v>45665</v>
      </c>
      <c r="B1075" s="121" t="s">
        <v>57</v>
      </c>
      <c r="C1075" s="121" t="s">
        <v>1337</v>
      </c>
      <c r="F1075" s="167">
        <v>127.19</v>
      </c>
      <c r="G1075" s="135">
        <v>45665</v>
      </c>
      <c r="I1075" s="133" t="s">
        <v>1338</v>
      </c>
      <c r="K1075" s="135">
        <v>45665</v>
      </c>
      <c r="L1075" s="153">
        <v>164.34099999999998</v>
      </c>
      <c r="M1075" s="111"/>
    </row>
    <row r="1076" spans="1:13" x14ac:dyDescent="0.35">
      <c r="A1076" s="109">
        <v>45666</v>
      </c>
      <c r="B1076" s="121" t="s">
        <v>57</v>
      </c>
      <c r="C1076" s="121" t="s">
        <v>1337</v>
      </c>
      <c r="F1076" s="167">
        <v>126.37</v>
      </c>
      <c r="G1076" s="135">
        <v>45666</v>
      </c>
      <c r="I1076" s="133" t="s">
        <v>1338</v>
      </c>
      <c r="K1076" s="135">
        <v>45666</v>
      </c>
      <c r="L1076" s="153">
        <v>124.37499999999999</v>
      </c>
      <c r="M1076" s="111"/>
    </row>
    <row r="1077" spans="1:13" x14ac:dyDescent="0.35">
      <c r="A1077" s="109">
        <v>45667</v>
      </c>
      <c r="B1077" s="121" t="s">
        <v>57</v>
      </c>
      <c r="C1077" s="121" t="s">
        <v>1337</v>
      </c>
      <c r="F1077" s="167">
        <v>106.37</v>
      </c>
      <c r="G1077" s="135">
        <v>45667</v>
      </c>
      <c r="I1077" s="133" t="s">
        <v>1338</v>
      </c>
      <c r="K1077" s="135">
        <v>45667</v>
      </c>
      <c r="L1077" s="153">
        <v>280.31</v>
      </c>
      <c r="M1077" s="111"/>
    </row>
    <row r="1078" spans="1:13" x14ac:dyDescent="0.35">
      <c r="A1078" s="109">
        <v>45668</v>
      </c>
      <c r="B1078" s="121" t="s">
        <v>57</v>
      </c>
      <c r="C1078" s="121" t="s">
        <v>1337</v>
      </c>
      <c r="F1078" s="167">
        <v>314.42</v>
      </c>
      <c r="G1078" s="135">
        <v>45668</v>
      </c>
      <c r="I1078" s="133" t="s">
        <v>1338</v>
      </c>
      <c r="K1078" s="135">
        <v>45668</v>
      </c>
      <c r="L1078" s="153">
        <v>561.65875000000005</v>
      </c>
      <c r="M1078" s="111"/>
    </row>
    <row r="1079" spans="1:13" x14ac:dyDescent="0.35">
      <c r="A1079" s="109">
        <v>45420</v>
      </c>
      <c r="B1079" s="111" t="s">
        <v>65</v>
      </c>
      <c r="C1079" s="111" t="s">
        <v>1360</v>
      </c>
      <c r="E1079" s="111" t="s">
        <v>1363</v>
      </c>
      <c r="F1079" s="131">
        <v>-1254.5999999999999</v>
      </c>
      <c r="G1079" s="135"/>
      <c r="H1079" s="133" t="s">
        <v>66</v>
      </c>
      <c r="I1079" s="133" t="s">
        <v>170</v>
      </c>
      <c r="K1079" s="135"/>
      <c r="L1079" s="153">
        <f>F1079</f>
        <v>-1254.5999999999999</v>
      </c>
      <c r="M1079" s="111" t="s">
        <v>1364</v>
      </c>
    </row>
    <row r="1080" spans="1:13" x14ac:dyDescent="0.35">
      <c r="A1080" s="109">
        <v>45669</v>
      </c>
      <c r="B1080" s="121" t="s">
        <v>57</v>
      </c>
      <c r="C1080" s="121" t="s">
        <v>1337</v>
      </c>
      <c r="F1080" s="167">
        <v>367.55</v>
      </c>
      <c r="G1080" s="135">
        <v>45669</v>
      </c>
      <c r="I1080" s="133" t="s">
        <v>1338</v>
      </c>
      <c r="K1080" s="135">
        <v>45669</v>
      </c>
      <c r="L1080" s="153">
        <v>496.00875000000002</v>
      </c>
      <c r="M1080" s="111"/>
    </row>
    <row r="1081" spans="1:13" x14ac:dyDescent="0.35">
      <c r="A1081" s="109">
        <v>45670</v>
      </c>
      <c r="B1081" s="121" t="s">
        <v>57</v>
      </c>
      <c r="C1081" s="121" t="s">
        <v>1337</v>
      </c>
      <c r="F1081" s="167"/>
      <c r="G1081" s="135">
        <v>45670</v>
      </c>
      <c r="I1081" s="133" t="s">
        <v>1338</v>
      </c>
      <c r="K1081" s="135">
        <v>45670</v>
      </c>
      <c r="L1081" s="153">
        <v>0</v>
      </c>
      <c r="M1081" s="111"/>
    </row>
    <row r="1082" spans="1:13" x14ac:dyDescent="0.35">
      <c r="A1082" s="109">
        <v>45671</v>
      </c>
      <c r="B1082" s="121" t="s">
        <v>57</v>
      </c>
      <c r="C1082" s="121" t="s">
        <v>1337</v>
      </c>
      <c r="F1082" s="167"/>
      <c r="G1082" s="135">
        <v>45671</v>
      </c>
      <c r="I1082" s="133" t="s">
        <v>1338</v>
      </c>
      <c r="K1082" s="135">
        <v>45671</v>
      </c>
      <c r="L1082" s="153">
        <v>0</v>
      </c>
      <c r="M1082" s="111"/>
    </row>
    <row r="1083" spans="1:13" x14ac:dyDescent="0.35">
      <c r="A1083" s="109">
        <v>45672</v>
      </c>
      <c r="B1083" s="121" t="s">
        <v>57</v>
      </c>
      <c r="C1083" s="121" t="s">
        <v>1337</v>
      </c>
      <c r="F1083" s="167"/>
      <c r="G1083" s="135">
        <v>45672</v>
      </c>
      <c r="I1083" s="133" t="s">
        <v>1338</v>
      </c>
      <c r="K1083" s="135">
        <v>45672</v>
      </c>
      <c r="L1083" s="153">
        <v>0</v>
      </c>
      <c r="M1083" s="111"/>
    </row>
    <row r="1084" spans="1:13" x14ac:dyDescent="0.35">
      <c r="A1084" s="109">
        <v>45673</v>
      </c>
      <c r="B1084" s="121" t="s">
        <v>57</v>
      </c>
      <c r="C1084" s="121" t="s">
        <v>1337</v>
      </c>
      <c r="F1084" s="167"/>
      <c r="G1084" s="135">
        <v>45673</v>
      </c>
      <c r="I1084" s="133" t="s">
        <v>1338</v>
      </c>
      <c r="K1084" s="135">
        <v>45673</v>
      </c>
      <c r="L1084" s="153">
        <v>0</v>
      </c>
      <c r="M1084"/>
    </row>
    <row r="1085" spans="1:13" x14ac:dyDescent="0.35">
      <c r="A1085" s="109">
        <v>45565</v>
      </c>
      <c r="B1085" s="111" t="s">
        <v>65</v>
      </c>
      <c r="C1085" s="111" t="s">
        <v>1360</v>
      </c>
      <c r="E1085" s="111" t="s">
        <v>1365</v>
      </c>
      <c r="F1085" s="131">
        <v>-418.2</v>
      </c>
      <c r="G1085" s="135"/>
      <c r="H1085" s="133" t="s">
        <v>66</v>
      </c>
      <c r="I1085" s="133" t="s">
        <v>131</v>
      </c>
      <c r="K1085" s="135"/>
      <c r="L1085" s="153">
        <f>F1085</f>
        <v>-418.2</v>
      </c>
      <c r="M1085" s="111" t="s">
        <v>1366</v>
      </c>
    </row>
    <row r="1086" spans="1:13" x14ac:dyDescent="0.35">
      <c r="A1086" s="109">
        <v>45603</v>
      </c>
      <c r="B1086" s="111" t="s">
        <v>65</v>
      </c>
      <c r="C1086" s="111" t="s">
        <v>1360</v>
      </c>
      <c r="E1086" s="111" t="s">
        <v>1367</v>
      </c>
      <c r="F1086" s="131">
        <v>-344.4</v>
      </c>
      <c r="G1086" s="135"/>
      <c r="H1086" s="133" t="s">
        <v>66</v>
      </c>
      <c r="I1086" s="133" t="s">
        <v>119</v>
      </c>
      <c r="K1086" s="135">
        <v>45670</v>
      </c>
      <c r="L1086" s="153">
        <f>F1086</f>
        <v>-344.4</v>
      </c>
      <c r="M1086" s="111" t="s">
        <v>1368</v>
      </c>
    </row>
    <row r="1087" spans="1:13" x14ac:dyDescent="0.35">
      <c r="A1087" s="109">
        <v>45674</v>
      </c>
      <c r="B1087" s="121" t="s">
        <v>57</v>
      </c>
      <c r="C1087" s="121" t="s">
        <v>1337</v>
      </c>
      <c r="F1087" s="167"/>
      <c r="G1087" s="135">
        <v>45674</v>
      </c>
      <c r="I1087" s="133" t="s">
        <v>1338</v>
      </c>
      <c r="K1087" s="135">
        <v>45674</v>
      </c>
      <c r="L1087" s="153">
        <v>0</v>
      </c>
      <c r="M1087" s="111"/>
    </row>
    <row r="1088" spans="1:13" x14ac:dyDescent="0.35">
      <c r="A1088" s="109">
        <v>45145</v>
      </c>
      <c r="B1088" s="111" t="s">
        <v>65</v>
      </c>
      <c r="C1088" s="111" t="s">
        <v>1369</v>
      </c>
      <c r="E1088" s="111" t="s">
        <v>1370</v>
      </c>
      <c r="F1088" s="131">
        <v>-184.5</v>
      </c>
      <c r="G1088" s="135"/>
      <c r="H1088" s="133" t="s">
        <v>66</v>
      </c>
      <c r="K1088" s="135"/>
      <c r="L1088" s="153">
        <f t="shared" ref="L1088:L1093" si="48">F1088</f>
        <v>-184.5</v>
      </c>
      <c r="M1088" s="111" t="s">
        <v>1371</v>
      </c>
    </row>
    <row r="1089" spans="1:13" x14ac:dyDescent="0.35">
      <c r="A1089" s="109">
        <v>45533</v>
      </c>
      <c r="B1089" s="111" t="s">
        <v>65</v>
      </c>
      <c r="C1089" s="111" t="s">
        <v>1372</v>
      </c>
      <c r="E1089" s="111" t="s">
        <v>1373</v>
      </c>
      <c r="F1089" s="131">
        <v>-270.60000000000002</v>
      </c>
      <c r="G1089" s="135"/>
      <c r="H1089" s="133" t="s">
        <v>66</v>
      </c>
      <c r="I1089" s="133" t="s">
        <v>131</v>
      </c>
      <c r="K1089" s="135"/>
      <c r="L1089" s="153">
        <f t="shared" si="48"/>
        <v>-270.60000000000002</v>
      </c>
      <c r="M1089" s="111" t="s">
        <v>1374</v>
      </c>
    </row>
    <row r="1090" spans="1:13" x14ac:dyDescent="0.35">
      <c r="A1090" s="109">
        <v>45534</v>
      </c>
      <c r="B1090" s="111" t="s">
        <v>65</v>
      </c>
      <c r="C1090" s="111" t="s">
        <v>1372</v>
      </c>
      <c r="E1090" s="111" t="s">
        <v>1168</v>
      </c>
      <c r="F1090" s="131">
        <v>-162.36000000000001</v>
      </c>
      <c r="G1090" s="135"/>
      <c r="H1090" s="133" t="s">
        <v>66</v>
      </c>
      <c r="I1090" s="133" t="s">
        <v>131</v>
      </c>
      <c r="K1090" s="135"/>
      <c r="L1090" s="153">
        <f t="shared" si="48"/>
        <v>-162.36000000000001</v>
      </c>
      <c r="M1090" s="111" t="s">
        <v>1375</v>
      </c>
    </row>
    <row r="1091" spans="1:13" x14ac:dyDescent="0.35">
      <c r="A1091" s="109">
        <v>45447</v>
      </c>
      <c r="B1091" s="111" t="s">
        <v>65</v>
      </c>
      <c r="C1091" s="111" t="s">
        <v>93</v>
      </c>
      <c r="E1091" s="111" t="s">
        <v>217</v>
      </c>
      <c r="F1091" s="131">
        <v>-164.24</v>
      </c>
      <c r="G1091" s="135"/>
      <c r="H1091" s="133" t="s">
        <v>66</v>
      </c>
      <c r="K1091" s="135">
        <v>45299</v>
      </c>
      <c r="L1091" s="153">
        <f t="shared" si="48"/>
        <v>-164.24</v>
      </c>
      <c r="M1091" s="111" t="s">
        <v>1376</v>
      </c>
    </row>
    <row r="1092" spans="1:13" x14ac:dyDescent="0.35">
      <c r="A1092" s="109">
        <v>45510</v>
      </c>
      <c r="B1092" s="111" t="s">
        <v>65</v>
      </c>
      <c r="C1092" s="111" t="s">
        <v>93</v>
      </c>
      <c r="E1092" s="111" t="s">
        <v>1377</v>
      </c>
      <c r="F1092" s="131">
        <v>-1771.2</v>
      </c>
      <c r="G1092" s="135"/>
      <c r="H1092" s="133" t="s">
        <v>66</v>
      </c>
      <c r="I1092" s="133" t="s">
        <v>119</v>
      </c>
      <c r="K1092" s="135"/>
      <c r="L1092" s="153">
        <f t="shared" si="48"/>
        <v>-1771.2</v>
      </c>
      <c r="M1092" s="111" t="s">
        <v>1378</v>
      </c>
    </row>
    <row r="1093" spans="1:13" x14ac:dyDescent="0.35">
      <c r="A1093" s="109">
        <v>45594</v>
      </c>
      <c r="B1093" s="111" t="s">
        <v>65</v>
      </c>
      <c r="C1093" s="111" t="s">
        <v>93</v>
      </c>
      <c r="E1093" s="111" t="s">
        <v>221</v>
      </c>
      <c r="F1093" s="131">
        <v>-110.7</v>
      </c>
      <c r="G1093" s="135"/>
      <c r="H1093" s="133" t="s">
        <v>66</v>
      </c>
      <c r="I1093" s="133" t="s">
        <v>131</v>
      </c>
      <c r="K1093" s="135">
        <v>45423</v>
      </c>
      <c r="L1093" s="153">
        <f t="shared" si="48"/>
        <v>-110.7</v>
      </c>
      <c r="M1093" s="111" t="s">
        <v>1379</v>
      </c>
    </row>
    <row r="1094" spans="1:13" x14ac:dyDescent="0.35">
      <c r="A1094" s="109">
        <v>45831</v>
      </c>
      <c r="B1094" s="111" t="s">
        <v>65</v>
      </c>
      <c r="C1094" s="111" t="s">
        <v>93</v>
      </c>
      <c r="E1094" s="111" t="s">
        <v>1380</v>
      </c>
      <c r="F1094" s="153">
        <v>-230.01</v>
      </c>
      <c r="H1094" s="133" t="s">
        <v>66</v>
      </c>
      <c r="I1094" s="133" t="s">
        <v>119</v>
      </c>
      <c r="K1094" s="135">
        <v>45842</v>
      </c>
      <c r="M1094" s="111"/>
    </row>
    <row r="1095" spans="1:13" x14ac:dyDescent="0.35">
      <c r="A1095" s="109">
        <v>45675</v>
      </c>
      <c r="B1095" s="121" t="s">
        <v>57</v>
      </c>
      <c r="C1095" s="121" t="s">
        <v>1337</v>
      </c>
      <c r="F1095" s="167"/>
      <c r="G1095" s="135">
        <v>45675</v>
      </c>
      <c r="I1095" s="133" t="s">
        <v>1338</v>
      </c>
      <c r="K1095" s="135">
        <v>45675</v>
      </c>
      <c r="L1095" s="153">
        <v>0</v>
      </c>
      <c r="M1095" s="111"/>
    </row>
    <row r="1096" spans="1:13" x14ac:dyDescent="0.35">
      <c r="A1096" s="109">
        <v>45929</v>
      </c>
      <c r="B1096" s="111" t="s">
        <v>65</v>
      </c>
      <c r="C1096" s="111" t="s">
        <v>93</v>
      </c>
      <c r="E1096" s="111" t="s">
        <v>1381</v>
      </c>
      <c r="F1096" s="153">
        <v>-29.98</v>
      </c>
      <c r="G1096" s="135">
        <f>A1096+30</f>
        <v>45959</v>
      </c>
      <c r="H1096" s="134" t="s">
        <v>66</v>
      </c>
      <c r="I1096" s="133" t="s">
        <v>119</v>
      </c>
      <c r="K1096" s="135">
        <v>45929</v>
      </c>
      <c r="M1096" s="196" t="s">
        <v>1382</v>
      </c>
    </row>
    <row r="1097" spans="1:13" x14ac:dyDescent="0.35">
      <c r="A1097" s="109">
        <v>45514</v>
      </c>
      <c r="B1097" s="111" t="s">
        <v>65</v>
      </c>
      <c r="C1097" s="111" t="s">
        <v>1383</v>
      </c>
      <c r="E1097" s="111" t="s">
        <v>1384</v>
      </c>
      <c r="F1097" s="131">
        <v>-246</v>
      </c>
      <c r="G1097" s="135"/>
      <c r="H1097" s="133" t="s">
        <v>66</v>
      </c>
      <c r="I1097" s="133" t="s">
        <v>131</v>
      </c>
      <c r="K1097" s="135"/>
      <c r="L1097" s="153">
        <f t="shared" ref="L1097:L1102" si="49">F1097</f>
        <v>-246</v>
      </c>
      <c r="M1097" s="111" t="s">
        <v>1385</v>
      </c>
    </row>
    <row r="1098" spans="1:13" x14ac:dyDescent="0.35">
      <c r="A1098" s="109">
        <v>45147</v>
      </c>
      <c r="B1098" s="111" t="s">
        <v>65</v>
      </c>
      <c r="C1098" s="111" t="s">
        <v>1386</v>
      </c>
      <c r="E1098" s="111" t="s">
        <v>1387</v>
      </c>
      <c r="F1098" s="131">
        <v>-119.31</v>
      </c>
      <c r="G1098" s="135"/>
      <c r="H1098" s="133" t="s">
        <v>66</v>
      </c>
      <c r="K1098" s="135"/>
      <c r="L1098" s="153">
        <f t="shared" si="49"/>
        <v>-119.31</v>
      </c>
      <c r="M1098" s="111" t="s">
        <v>1388</v>
      </c>
    </row>
    <row r="1099" spans="1:13" x14ac:dyDescent="0.35">
      <c r="A1099" s="109">
        <v>45709</v>
      </c>
      <c r="B1099" s="111" t="s">
        <v>65</v>
      </c>
      <c r="C1099" s="111" t="s">
        <v>94</v>
      </c>
      <c r="E1099" s="111" t="s">
        <v>1389</v>
      </c>
      <c r="F1099" s="153">
        <v>-117.81</v>
      </c>
      <c r="G1099" s="135"/>
      <c r="H1099" s="133" t="s">
        <v>66</v>
      </c>
      <c r="I1099" s="133" t="s">
        <v>119</v>
      </c>
      <c r="K1099" s="135">
        <v>45733</v>
      </c>
      <c r="L1099" s="153">
        <f t="shared" si="49"/>
        <v>-117.81</v>
      </c>
      <c r="M1099" s="111"/>
    </row>
    <row r="1100" spans="1:13" x14ac:dyDescent="0.35">
      <c r="A1100" s="109">
        <v>45709</v>
      </c>
      <c r="B1100" s="111" t="s">
        <v>65</v>
      </c>
      <c r="C1100" s="111" t="s">
        <v>94</v>
      </c>
      <c r="E1100" s="111" t="s">
        <v>1390</v>
      </c>
      <c r="F1100" s="153">
        <v>-20.22</v>
      </c>
      <c r="G1100" s="135"/>
      <c r="H1100" s="133" t="s">
        <v>66</v>
      </c>
      <c r="I1100" s="133" t="s">
        <v>119</v>
      </c>
      <c r="K1100" s="135">
        <v>45733</v>
      </c>
      <c r="L1100" s="153">
        <f t="shared" si="49"/>
        <v>-20.22</v>
      </c>
      <c r="M1100" s="111"/>
    </row>
    <row r="1101" spans="1:13" x14ac:dyDescent="0.35">
      <c r="A1101" s="109">
        <v>45797</v>
      </c>
      <c r="B1101" s="111" t="s">
        <v>65</v>
      </c>
      <c r="C1101" s="111" t="s">
        <v>52</v>
      </c>
      <c r="E1101" s="111" t="s">
        <v>1391</v>
      </c>
      <c r="F1101" s="153">
        <v>-142.22</v>
      </c>
      <c r="G1101" s="135">
        <v>45827</v>
      </c>
      <c r="H1101" s="133" t="s">
        <v>66</v>
      </c>
      <c r="I1101" s="133" t="s">
        <v>119</v>
      </c>
      <c r="K1101" s="135">
        <v>45814</v>
      </c>
      <c r="L1101" s="153">
        <f t="shared" si="49"/>
        <v>-142.22</v>
      </c>
      <c r="M1101" s="111"/>
    </row>
    <row r="1102" spans="1:13" x14ac:dyDescent="0.35">
      <c r="A1102" s="74">
        <v>45799</v>
      </c>
      <c r="B1102" s="111" t="s">
        <v>65</v>
      </c>
      <c r="C1102" t="s">
        <v>52</v>
      </c>
      <c r="E1102" t="s">
        <v>1392</v>
      </c>
      <c r="F1102" s="153">
        <v>-49.8</v>
      </c>
      <c r="G1102" s="135">
        <v>45829</v>
      </c>
      <c r="H1102" s="133" t="s">
        <v>66</v>
      </c>
      <c r="I1102" s="133" t="s">
        <v>119</v>
      </c>
      <c r="K1102" s="135">
        <v>45814</v>
      </c>
      <c r="L1102" s="153">
        <f t="shared" si="49"/>
        <v>-49.8</v>
      </c>
      <c r="M1102" s="111"/>
    </row>
    <row r="1103" spans="1:13" x14ac:dyDescent="0.35">
      <c r="A1103" s="109">
        <v>45676</v>
      </c>
      <c r="B1103" s="121" t="s">
        <v>57</v>
      </c>
      <c r="C1103" s="121" t="s">
        <v>1337</v>
      </c>
      <c r="F1103" s="167"/>
      <c r="G1103" s="135">
        <v>45676</v>
      </c>
      <c r="I1103" s="133" t="s">
        <v>1338</v>
      </c>
      <c r="K1103" s="135">
        <v>45676</v>
      </c>
      <c r="L1103" s="153">
        <v>0</v>
      </c>
      <c r="M1103" s="111"/>
    </row>
    <row r="1104" spans="1:13" x14ac:dyDescent="0.35">
      <c r="A1104" s="109">
        <v>45677</v>
      </c>
      <c r="B1104" s="121" t="s">
        <v>57</v>
      </c>
      <c r="C1104" s="121" t="s">
        <v>1337</v>
      </c>
      <c r="F1104" s="167"/>
      <c r="G1104" s="135">
        <v>45677</v>
      </c>
      <c r="I1104" s="133" t="s">
        <v>1338</v>
      </c>
      <c r="K1104" s="135">
        <v>45677</v>
      </c>
      <c r="L1104" s="153">
        <v>0</v>
      </c>
      <c r="M1104" s="111"/>
    </row>
    <row r="1105" spans="1:13" x14ac:dyDescent="0.35">
      <c r="A1105" s="109">
        <v>45678</v>
      </c>
      <c r="B1105" s="121" t="s">
        <v>57</v>
      </c>
      <c r="C1105" s="121" t="s">
        <v>1337</v>
      </c>
      <c r="F1105" s="167"/>
      <c r="G1105" s="135">
        <v>45678</v>
      </c>
      <c r="I1105" s="133" t="s">
        <v>1338</v>
      </c>
      <c r="K1105" s="135">
        <v>45678</v>
      </c>
      <c r="L1105" s="153">
        <v>129.178</v>
      </c>
      <c r="M1105" s="111"/>
    </row>
    <row r="1106" spans="1:13" x14ac:dyDescent="0.35">
      <c r="A1106" s="109">
        <v>45679</v>
      </c>
      <c r="B1106" s="121" t="s">
        <v>57</v>
      </c>
      <c r="C1106" s="121" t="s">
        <v>1337</v>
      </c>
      <c r="F1106" s="167">
        <v>58.39</v>
      </c>
      <c r="G1106" s="135">
        <v>45679</v>
      </c>
      <c r="I1106" s="133" t="s">
        <v>1338</v>
      </c>
      <c r="K1106" s="135">
        <v>45679</v>
      </c>
      <c r="L1106" s="153">
        <v>164.34099999999998</v>
      </c>
      <c r="M1106" s="111"/>
    </row>
    <row r="1107" spans="1:13" x14ac:dyDescent="0.35">
      <c r="A1107" s="109">
        <v>45797</v>
      </c>
      <c r="B1107" s="111" t="s">
        <v>65</v>
      </c>
      <c r="C1107" s="111" t="s">
        <v>52</v>
      </c>
      <c r="E1107" s="111" t="s">
        <v>1393</v>
      </c>
      <c r="F1107" s="153">
        <v>-21.99</v>
      </c>
      <c r="G1107" s="135">
        <v>45827</v>
      </c>
      <c r="H1107" s="133" t="s">
        <v>66</v>
      </c>
      <c r="I1107" s="133" t="s">
        <v>168</v>
      </c>
      <c r="K1107" s="135">
        <v>45814</v>
      </c>
      <c r="L1107" s="153">
        <f>F1107</f>
        <v>-21.99</v>
      </c>
      <c r="M1107" s="111"/>
    </row>
    <row r="1108" spans="1:13" x14ac:dyDescent="0.35">
      <c r="A1108" s="109">
        <v>45804</v>
      </c>
      <c r="B1108" s="111" t="s">
        <v>65</v>
      </c>
      <c r="C1108" s="111" t="s">
        <v>52</v>
      </c>
      <c r="E1108" s="111" t="s">
        <v>1394</v>
      </c>
      <c r="F1108" s="153">
        <v>-162.27000000000001</v>
      </c>
      <c r="H1108" s="133" t="s">
        <v>66</v>
      </c>
      <c r="I1108" s="133" t="s">
        <v>119</v>
      </c>
      <c r="K1108" s="135">
        <v>45814</v>
      </c>
      <c r="L1108" s="111">
        <f>F1108</f>
        <v>-162.27000000000001</v>
      </c>
      <c r="M1108" s="111"/>
    </row>
    <row r="1109" spans="1:13" x14ac:dyDescent="0.35">
      <c r="A1109" s="109">
        <v>45811</v>
      </c>
      <c r="B1109" s="111" t="s">
        <v>65</v>
      </c>
      <c r="C1109" s="111" t="s">
        <v>52</v>
      </c>
      <c r="E1109" s="111" t="s">
        <v>1395</v>
      </c>
      <c r="F1109" s="153">
        <v>-133.56</v>
      </c>
      <c r="H1109" s="133" t="s">
        <v>66</v>
      </c>
      <c r="I1109" s="133" t="s">
        <v>119</v>
      </c>
      <c r="K1109" s="135">
        <v>45814</v>
      </c>
      <c r="L1109" s="111">
        <f>F1109</f>
        <v>-133.56</v>
      </c>
      <c r="M1109" s="111"/>
    </row>
    <row r="1110" spans="1:13" x14ac:dyDescent="0.35">
      <c r="A1110" s="109">
        <v>45804</v>
      </c>
      <c r="B1110" s="111" t="s">
        <v>65</v>
      </c>
      <c r="C1110" s="111" t="s">
        <v>52</v>
      </c>
      <c r="E1110" s="111" t="s">
        <v>1396</v>
      </c>
      <c r="F1110" s="153">
        <v>-38.6</v>
      </c>
      <c r="H1110" s="133" t="s">
        <v>66</v>
      </c>
      <c r="I1110" s="133" t="s">
        <v>168</v>
      </c>
      <c r="K1110" s="135">
        <v>45814</v>
      </c>
      <c r="M1110" s="111"/>
    </row>
    <row r="1111" spans="1:13" x14ac:dyDescent="0.35">
      <c r="A1111" s="109">
        <v>45814</v>
      </c>
      <c r="B1111" s="111" t="s">
        <v>65</v>
      </c>
      <c r="C1111" s="111" t="s">
        <v>52</v>
      </c>
      <c r="E1111" s="111" t="s">
        <v>1397</v>
      </c>
      <c r="F1111" s="153">
        <v>-70.819999999999993</v>
      </c>
      <c r="H1111" s="133" t="s">
        <v>66</v>
      </c>
      <c r="I1111" s="133" t="s">
        <v>170</v>
      </c>
      <c r="K1111" s="135">
        <v>45848</v>
      </c>
      <c r="M1111" s="111"/>
    </row>
    <row r="1112" spans="1:13" x14ac:dyDescent="0.35">
      <c r="A1112" s="109">
        <v>45819</v>
      </c>
      <c r="B1112" s="111" t="s">
        <v>65</v>
      </c>
      <c r="C1112" s="111" t="s">
        <v>52</v>
      </c>
      <c r="E1112" s="111" t="s">
        <v>1398</v>
      </c>
      <c r="F1112" s="153">
        <v>-52.72</v>
      </c>
      <c r="H1112" s="133" t="s">
        <v>66</v>
      </c>
      <c r="I1112" s="133" t="s">
        <v>170</v>
      </c>
      <c r="K1112" s="135">
        <v>45848</v>
      </c>
      <c r="M1112" s="111"/>
    </row>
    <row r="1113" spans="1:13" x14ac:dyDescent="0.35">
      <c r="A1113" s="109">
        <v>45819</v>
      </c>
      <c r="B1113" s="111" t="s">
        <v>65</v>
      </c>
      <c r="C1113" s="111" t="s">
        <v>52</v>
      </c>
      <c r="E1113" s="111" t="s">
        <v>1399</v>
      </c>
      <c r="F1113" s="153">
        <v>-140.94</v>
      </c>
      <c r="H1113" s="133" t="s">
        <v>66</v>
      </c>
      <c r="I1113" s="133" t="s">
        <v>119</v>
      </c>
      <c r="K1113" s="135">
        <v>45848</v>
      </c>
      <c r="M1113" s="111"/>
    </row>
    <row r="1114" spans="1:13" x14ac:dyDescent="0.35">
      <c r="A1114" s="109">
        <v>45826</v>
      </c>
      <c r="B1114" s="111" t="s">
        <v>65</v>
      </c>
      <c r="C1114" s="111" t="s">
        <v>52</v>
      </c>
      <c r="E1114" s="111" t="s">
        <v>1400</v>
      </c>
      <c r="F1114" s="153">
        <v>-42.54</v>
      </c>
      <c r="G1114" s="135">
        <v>45856</v>
      </c>
      <c r="H1114" s="147" t="s">
        <v>66</v>
      </c>
      <c r="I1114" s="133" t="s">
        <v>168</v>
      </c>
      <c r="K1114" s="135">
        <v>45848</v>
      </c>
      <c r="M1114" s="111"/>
    </row>
    <row r="1115" spans="1:13" x14ac:dyDescent="0.35">
      <c r="A1115" s="109">
        <v>45831</v>
      </c>
      <c r="B1115" s="111" t="s">
        <v>65</v>
      </c>
      <c r="C1115" s="111" t="s">
        <v>52</v>
      </c>
      <c r="E1115" s="111" t="s">
        <v>1401</v>
      </c>
      <c r="F1115" s="153">
        <v>-206.49</v>
      </c>
      <c r="G1115" s="135">
        <v>45861</v>
      </c>
      <c r="H1115" s="133" t="s">
        <v>66</v>
      </c>
      <c r="I1115" s="133" t="s">
        <v>119</v>
      </c>
      <c r="K1115" s="135">
        <v>45848</v>
      </c>
      <c r="M1115" s="111"/>
    </row>
    <row r="1116" spans="1:13" x14ac:dyDescent="0.35">
      <c r="A1116" s="109">
        <v>45680</v>
      </c>
      <c r="B1116" s="121" t="s">
        <v>57</v>
      </c>
      <c r="C1116" s="121" t="s">
        <v>1337</v>
      </c>
      <c r="F1116" s="167">
        <v>181.68</v>
      </c>
      <c r="G1116" s="135">
        <v>45680</v>
      </c>
      <c r="I1116" s="133" t="s">
        <v>1338</v>
      </c>
      <c r="K1116" s="135">
        <v>45680</v>
      </c>
      <c r="L1116" s="153">
        <v>124.37499999999999</v>
      </c>
      <c r="M1116" s="111"/>
    </row>
    <row r="1117" spans="1:13" x14ac:dyDescent="0.35">
      <c r="A1117" s="109">
        <v>45681</v>
      </c>
      <c r="B1117" s="121" t="s">
        <v>57</v>
      </c>
      <c r="C1117" s="121" t="s">
        <v>1337</v>
      </c>
      <c r="F1117" s="167">
        <v>236.61</v>
      </c>
      <c r="G1117" s="135">
        <v>45681</v>
      </c>
      <c r="I1117" s="133" t="s">
        <v>1338</v>
      </c>
      <c r="K1117" s="135">
        <v>45681</v>
      </c>
      <c r="L1117" s="153">
        <v>280.31</v>
      </c>
      <c r="M1117" s="111"/>
    </row>
    <row r="1118" spans="1:13" x14ac:dyDescent="0.35">
      <c r="A1118" s="109">
        <v>45682</v>
      </c>
      <c r="B1118" s="121" t="s">
        <v>57</v>
      </c>
      <c r="C1118" s="121" t="s">
        <v>1337</v>
      </c>
      <c r="F1118" s="167">
        <v>338.29</v>
      </c>
      <c r="G1118" s="135">
        <v>45682</v>
      </c>
      <c r="I1118" s="133" t="s">
        <v>1338</v>
      </c>
      <c r="K1118" s="135">
        <v>45682</v>
      </c>
      <c r="L1118" s="153">
        <v>561.65875000000005</v>
      </c>
      <c r="M1118" s="111"/>
    </row>
    <row r="1119" spans="1:13" x14ac:dyDescent="0.35">
      <c r="A1119" s="109">
        <v>45683</v>
      </c>
      <c r="B1119" s="121" t="s">
        <v>57</v>
      </c>
      <c r="C1119" s="121" t="s">
        <v>1337</v>
      </c>
      <c r="F1119" s="167">
        <v>64.25</v>
      </c>
      <c r="G1119" s="135">
        <v>45683</v>
      </c>
      <c r="I1119" s="133" t="s">
        <v>1338</v>
      </c>
      <c r="K1119" s="135">
        <v>45683</v>
      </c>
      <c r="L1119" s="153">
        <v>496.00875000000002</v>
      </c>
      <c r="M1119" s="111"/>
    </row>
    <row r="1120" spans="1:13" x14ac:dyDescent="0.35">
      <c r="A1120" s="109">
        <v>45684</v>
      </c>
      <c r="B1120" s="121" t="s">
        <v>57</v>
      </c>
      <c r="C1120" s="121" t="s">
        <v>1337</v>
      </c>
      <c r="G1120" s="135">
        <v>45684</v>
      </c>
      <c r="I1120" s="133" t="s">
        <v>1338</v>
      </c>
      <c r="K1120" s="135">
        <v>45684</v>
      </c>
      <c r="L1120" s="153">
        <v>0</v>
      </c>
      <c r="M1120" s="111"/>
    </row>
    <row r="1121" spans="1:13" x14ac:dyDescent="0.35">
      <c r="A1121" s="109">
        <v>45685</v>
      </c>
      <c r="B1121" s="121" t="s">
        <v>57</v>
      </c>
      <c r="C1121" s="121" t="s">
        <v>1337</v>
      </c>
      <c r="F1121" s="167">
        <v>207.22</v>
      </c>
      <c r="G1121" s="135">
        <v>45685</v>
      </c>
      <c r="I1121" s="133" t="s">
        <v>1338</v>
      </c>
      <c r="K1121" s="135">
        <v>45685</v>
      </c>
      <c r="L1121" s="153">
        <v>129.178</v>
      </c>
      <c r="M1121" s="111"/>
    </row>
    <row r="1122" spans="1:13" x14ac:dyDescent="0.35">
      <c r="A1122" s="109"/>
      <c r="F1122" s="153"/>
      <c r="G1122" s="135"/>
      <c r="K1122" s="135"/>
      <c r="L1122" s="153"/>
      <c r="M1122" s="111"/>
    </row>
    <row r="1123" spans="1:13" x14ac:dyDescent="0.35">
      <c r="A1123" s="109">
        <v>45826</v>
      </c>
      <c r="B1123" s="111" t="s">
        <v>65</v>
      </c>
      <c r="C1123" s="111" t="s">
        <v>52</v>
      </c>
      <c r="E1123" s="111" t="s">
        <v>1402</v>
      </c>
      <c r="F1123" s="153">
        <v>-187.16</v>
      </c>
      <c r="G1123" s="135">
        <v>45856</v>
      </c>
      <c r="H1123" s="133" t="s">
        <v>66</v>
      </c>
      <c r="I1123" s="133" t="s">
        <v>119</v>
      </c>
      <c r="K1123" s="135">
        <v>45848</v>
      </c>
      <c r="M1123" s="111"/>
    </row>
    <row r="1124" spans="1:13" x14ac:dyDescent="0.35">
      <c r="A1124" s="109">
        <v>45839</v>
      </c>
      <c r="B1124" s="111" t="s">
        <v>65</v>
      </c>
      <c r="C1124" s="111" t="s">
        <v>52</v>
      </c>
      <c r="E1124" s="111" t="s">
        <v>1403</v>
      </c>
      <c r="F1124" s="153">
        <v>-179</v>
      </c>
      <c r="G1124" s="135">
        <v>45869</v>
      </c>
      <c r="H1124" s="134" t="s">
        <v>66</v>
      </c>
      <c r="I1124" s="133" t="s">
        <v>119</v>
      </c>
      <c r="K1124" s="135">
        <v>45861</v>
      </c>
      <c r="M1124"/>
    </row>
    <row r="1125" spans="1:13" x14ac:dyDescent="0.35">
      <c r="A1125" s="109">
        <v>45834</v>
      </c>
      <c r="B1125" s="111" t="s">
        <v>65</v>
      </c>
      <c r="C1125" s="111" t="s">
        <v>52</v>
      </c>
      <c r="E1125" s="111" t="s">
        <v>1404</v>
      </c>
      <c r="F1125" s="153">
        <v>-39.24</v>
      </c>
      <c r="G1125" s="135">
        <v>45864</v>
      </c>
      <c r="H1125" s="134" t="s">
        <v>66</v>
      </c>
      <c r="I1125" s="133" t="s">
        <v>168</v>
      </c>
      <c r="K1125" s="135">
        <v>45861</v>
      </c>
      <c r="M1125" s="111"/>
    </row>
    <row r="1126" spans="1:13" x14ac:dyDescent="0.35">
      <c r="A1126" s="109">
        <v>45833</v>
      </c>
      <c r="B1126" s="111" t="s">
        <v>65</v>
      </c>
      <c r="C1126" s="111" t="s">
        <v>52</v>
      </c>
      <c r="E1126" s="111" t="s">
        <v>1405</v>
      </c>
      <c r="F1126" s="153">
        <v>-40.840000000000003</v>
      </c>
      <c r="G1126" s="135">
        <v>45863</v>
      </c>
      <c r="H1126" s="134" t="s">
        <v>66</v>
      </c>
      <c r="I1126" s="133" t="s">
        <v>119</v>
      </c>
      <c r="K1126" s="135">
        <v>45861</v>
      </c>
      <c r="M1126" s="111"/>
    </row>
    <row r="1127" spans="1:13" x14ac:dyDescent="0.35">
      <c r="A1127" s="109">
        <v>45839</v>
      </c>
      <c r="B1127" s="111" t="s">
        <v>65</v>
      </c>
      <c r="C1127" s="111" t="s">
        <v>52</v>
      </c>
      <c r="E1127" s="111" t="s">
        <v>1406</v>
      </c>
      <c r="F1127" s="153">
        <v>-59.46</v>
      </c>
      <c r="G1127" s="135">
        <f>A1127+30</f>
        <v>45869</v>
      </c>
      <c r="H1127" s="134" t="s">
        <v>66</v>
      </c>
      <c r="I1127" s="133" t="s">
        <v>168</v>
      </c>
      <c r="K1127" s="135">
        <v>45861</v>
      </c>
    </row>
    <row r="1128" spans="1:13" x14ac:dyDescent="0.35">
      <c r="A1128" s="109">
        <v>45840</v>
      </c>
      <c r="B1128" s="111" t="s">
        <v>65</v>
      </c>
      <c r="C1128" s="111" t="s">
        <v>52</v>
      </c>
      <c r="E1128" s="111" t="s">
        <v>1407</v>
      </c>
      <c r="F1128" s="153">
        <v>-138.97999999999999</v>
      </c>
      <c r="G1128" s="135">
        <v>45870</v>
      </c>
      <c r="H1128" s="134" t="s">
        <v>66</v>
      </c>
      <c r="I1128" s="133" t="s">
        <v>168</v>
      </c>
      <c r="K1128" s="135">
        <v>45873</v>
      </c>
      <c r="M1128" s="111"/>
    </row>
    <row r="1129" spans="1:13" x14ac:dyDescent="0.35">
      <c r="A1129" s="109">
        <v>45840</v>
      </c>
      <c r="B1129" s="111" t="s">
        <v>65</v>
      </c>
      <c r="C1129" s="111" t="s">
        <v>52</v>
      </c>
      <c r="E1129" s="111" t="s">
        <v>1408</v>
      </c>
      <c r="F1129" s="153">
        <v>-328.39</v>
      </c>
      <c r="G1129" s="135">
        <v>45870</v>
      </c>
      <c r="H1129" s="134" t="s">
        <v>66</v>
      </c>
      <c r="I1129" s="133" t="s">
        <v>119</v>
      </c>
      <c r="K1129" s="135">
        <v>45873</v>
      </c>
      <c r="M1129" s="111"/>
    </row>
    <row r="1130" spans="1:13" x14ac:dyDescent="0.35">
      <c r="A1130" s="109">
        <v>45846</v>
      </c>
      <c r="B1130" s="111" t="s">
        <v>65</v>
      </c>
      <c r="C1130" s="111" t="s">
        <v>52</v>
      </c>
      <c r="E1130" s="111" t="s">
        <v>1409</v>
      </c>
      <c r="F1130" s="153">
        <v>-70.709999999999994</v>
      </c>
      <c r="G1130" s="135">
        <f>A1130+30</f>
        <v>45876</v>
      </c>
      <c r="H1130" s="134" t="s">
        <v>66</v>
      </c>
      <c r="I1130" s="133" t="s">
        <v>168</v>
      </c>
      <c r="K1130" s="135">
        <v>45876</v>
      </c>
    </row>
    <row r="1131" spans="1:13" x14ac:dyDescent="0.35">
      <c r="A1131" s="109">
        <v>45846</v>
      </c>
      <c r="B1131" s="111" t="s">
        <v>65</v>
      </c>
      <c r="C1131" s="111" t="s">
        <v>52</v>
      </c>
      <c r="E1131" s="111" t="s">
        <v>1410</v>
      </c>
      <c r="F1131" s="153">
        <v>-149.27000000000001</v>
      </c>
      <c r="G1131" s="135">
        <f>A1131+30</f>
        <v>45876</v>
      </c>
      <c r="H1131" s="134" t="s">
        <v>66</v>
      </c>
      <c r="I1131" s="133" t="s">
        <v>119</v>
      </c>
      <c r="K1131" s="135">
        <v>45876</v>
      </c>
    </row>
    <row r="1132" spans="1:13" x14ac:dyDescent="0.35">
      <c r="A1132" s="109">
        <v>45847</v>
      </c>
      <c r="B1132" s="111" t="s">
        <v>65</v>
      </c>
      <c r="C1132" s="111" t="s">
        <v>52</v>
      </c>
      <c r="E1132" s="111" t="s">
        <v>1411</v>
      </c>
      <c r="F1132" s="153">
        <v>-15.38</v>
      </c>
      <c r="G1132" s="135">
        <f>A1132+30</f>
        <v>45877</v>
      </c>
      <c r="H1132" s="134" t="s">
        <v>66</v>
      </c>
      <c r="I1132" s="133" t="s">
        <v>119</v>
      </c>
      <c r="K1132" s="135">
        <v>45876</v>
      </c>
    </row>
    <row r="1133" spans="1:13" x14ac:dyDescent="0.35">
      <c r="A1133" s="109">
        <v>45686</v>
      </c>
      <c r="B1133" s="121" t="s">
        <v>57</v>
      </c>
      <c r="C1133" s="121" t="s">
        <v>1337</v>
      </c>
      <c r="F1133" s="167"/>
      <c r="G1133" s="135">
        <v>45686</v>
      </c>
      <c r="I1133" s="133" t="s">
        <v>1338</v>
      </c>
      <c r="K1133" s="135">
        <v>45686</v>
      </c>
      <c r="L1133" s="153">
        <v>164.34099999999998</v>
      </c>
      <c r="M1133" s="111"/>
    </row>
    <row r="1134" spans="1:13" x14ac:dyDescent="0.35">
      <c r="A1134" s="109">
        <v>45687</v>
      </c>
      <c r="B1134" s="121" t="s">
        <v>57</v>
      </c>
      <c r="C1134" s="121" t="s">
        <v>1337</v>
      </c>
      <c r="F1134" s="167"/>
      <c r="G1134" s="135">
        <v>45687</v>
      </c>
      <c r="I1134" s="133" t="s">
        <v>1338</v>
      </c>
      <c r="K1134" s="135">
        <v>45687</v>
      </c>
      <c r="L1134" s="153">
        <v>124.37499999999999</v>
      </c>
      <c r="M1134" s="111"/>
    </row>
    <row r="1135" spans="1:13" x14ac:dyDescent="0.35">
      <c r="A1135" s="109"/>
      <c r="F1135" s="153"/>
      <c r="G1135" s="135"/>
      <c r="K1135" s="135"/>
      <c r="L1135" s="153"/>
      <c r="M1135" s="111"/>
    </row>
    <row r="1136" spans="1:13" x14ac:dyDescent="0.35">
      <c r="A1136" s="109">
        <v>45841</v>
      </c>
      <c r="B1136" s="111" t="s">
        <v>65</v>
      </c>
      <c r="C1136" s="111" t="s">
        <v>52</v>
      </c>
      <c r="E1136" s="76" t="s">
        <v>1412</v>
      </c>
      <c r="F1136" s="153">
        <v>-18.510000000000002</v>
      </c>
      <c r="G1136" s="135">
        <f>A1136+30</f>
        <v>45871</v>
      </c>
      <c r="H1136" s="134" t="s">
        <v>66</v>
      </c>
      <c r="I1136" s="133" t="s">
        <v>119</v>
      </c>
      <c r="K1136" s="135">
        <v>45876</v>
      </c>
    </row>
    <row r="1137" spans="1:14" x14ac:dyDescent="0.35">
      <c r="A1137" s="109">
        <v>45841</v>
      </c>
      <c r="B1137" s="111" t="s">
        <v>65</v>
      </c>
      <c r="C1137" s="111" t="s">
        <v>52</v>
      </c>
      <c r="E1137" s="111" t="s">
        <v>1413</v>
      </c>
      <c r="F1137" s="153">
        <v>-13.59</v>
      </c>
      <c r="G1137" s="135">
        <f>A1137+30</f>
        <v>45871</v>
      </c>
      <c r="H1137" s="134" t="s">
        <v>66</v>
      </c>
      <c r="I1137" s="133" t="s">
        <v>119</v>
      </c>
      <c r="K1137" s="135">
        <v>45876</v>
      </c>
    </row>
    <row r="1138" spans="1:14" x14ac:dyDescent="0.35">
      <c r="A1138" s="109">
        <v>45688</v>
      </c>
      <c r="B1138" s="121" t="s">
        <v>57</v>
      </c>
      <c r="C1138" s="121" t="s">
        <v>1337</v>
      </c>
      <c r="F1138" s="167"/>
      <c r="G1138" s="135">
        <v>45688</v>
      </c>
      <c r="I1138" s="133" t="s">
        <v>1338</v>
      </c>
      <c r="K1138" s="135">
        <v>45688</v>
      </c>
      <c r="L1138" s="153">
        <v>280.31</v>
      </c>
      <c r="M1138" s="111"/>
      <c r="N1138" s="183"/>
    </row>
    <row r="1139" spans="1:14" x14ac:dyDescent="0.35">
      <c r="A1139" s="109">
        <v>45659</v>
      </c>
      <c r="B1139" s="121" t="s">
        <v>57</v>
      </c>
      <c r="C1139" s="121" t="s">
        <v>1414</v>
      </c>
      <c r="F1139" s="167">
        <v>335.34</v>
      </c>
      <c r="G1139" s="135">
        <v>45659</v>
      </c>
      <c r="I1139" s="133" t="s">
        <v>1338</v>
      </c>
      <c r="K1139" s="135">
        <v>45659</v>
      </c>
      <c r="L1139" s="153">
        <v>248.74999999999997</v>
      </c>
      <c r="M1139" s="111"/>
      <c r="N1139" s="183"/>
    </row>
    <row r="1140" spans="1:14" x14ac:dyDescent="0.35">
      <c r="A1140" s="109">
        <v>45860</v>
      </c>
      <c r="B1140" s="111" t="s">
        <v>65</v>
      </c>
      <c r="C1140" s="111" t="s">
        <v>52</v>
      </c>
      <c r="E1140" s="121" t="s">
        <v>1415</v>
      </c>
      <c r="F1140" s="153">
        <v>-105.52</v>
      </c>
      <c r="G1140" s="135">
        <v>45890</v>
      </c>
      <c r="H1140" s="133" t="s">
        <v>66</v>
      </c>
      <c r="I1140" s="133" t="s">
        <v>168</v>
      </c>
      <c r="K1140" s="135">
        <v>45890</v>
      </c>
    </row>
    <row r="1141" spans="1:14" x14ac:dyDescent="0.35">
      <c r="A1141" s="109">
        <v>45860</v>
      </c>
      <c r="B1141" s="111" t="s">
        <v>65</v>
      </c>
      <c r="C1141" s="111" t="s">
        <v>52</v>
      </c>
      <c r="E1141" s="111" t="s">
        <v>1416</v>
      </c>
      <c r="F1141" s="153">
        <v>-244.67</v>
      </c>
      <c r="G1141" s="135">
        <v>45890</v>
      </c>
      <c r="H1141" s="133" t="s">
        <v>66</v>
      </c>
      <c r="I1141" s="133" t="s">
        <v>119</v>
      </c>
      <c r="K1141" s="135">
        <v>45890</v>
      </c>
    </row>
    <row r="1142" spans="1:14" x14ac:dyDescent="0.35">
      <c r="A1142" s="109">
        <v>45852</v>
      </c>
      <c r="B1142" s="111" t="s">
        <v>65</v>
      </c>
      <c r="C1142" s="111" t="s">
        <v>52</v>
      </c>
      <c r="E1142" s="111" t="s">
        <v>1417</v>
      </c>
      <c r="F1142" s="153">
        <v>-33.71</v>
      </c>
      <c r="G1142" s="135">
        <v>45882</v>
      </c>
      <c r="H1142" s="134" t="s">
        <v>66</v>
      </c>
      <c r="I1142" s="133" t="s">
        <v>168</v>
      </c>
      <c r="K1142" s="135">
        <v>45882</v>
      </c>
      <c r="M1142" s="75"/>
    </row>
    <row r="1143" spans="1:14" x14ac:dyDescent="0.35">
      <c r="A1143" s="109">
        <v>45856</v>
      </c>
      <c r="B1143" s="111" t="s">
        <v>65</v>
      </c>
      <c r="C1143" s="111" t="s">
        <v>52</v>
      </c>
      <c r="E1143" s="111" t="s">
        <v>1418</v>
      </c>
      <c r="F1143" s="153">
        <v>-7.5</v>
      </c>
      <c r="G1143" s="135">
        <v>45886</v>
      </c>
      <c r="H1143" s="134" t="s">
        <v>66</v>
      </c>
      <c r="I1143" s="133" t="s">
        <v>119</v>
      </c>
      <c r="K1143" s="135">
        <v>45882</v>
      </c>
      <c r="M1143" s="75"/>
    </row>
    <row r="1144" spans="1:14" x14ac:dyDescent="0.35">
      <c r="A1144" s="109">
        <v>45852</v>
      </c>
      <c r="B1144" s="111" t="s">
        <v>65</v>
      </c>
      <c r="C1144" s="111" t="s">
        <v>52</v>
      </c>
      <c r="E1144" s="111" t="s">
        <v>1419</v>
      </c>
      <c r="F1144" s="153">
        <v>-5.0999999999999996</v>
      </c>
      <c r="G1144" s="135">
        <v>45882</v>
      </c>
      <c r="H1144" s="134" t="s">
        <v>66</v>
      </c>
      <c r="I1144" s="133" t="s">
        <v>119</v>
      </c>
      <c r="K1144" s="135">
        <v>45882</v>
      </c>
    </row>
    <row r="1145" spans="1:14" x14ac:dyDescent="0.35">
      <c r="A1145" s="109">
        <v>45660</v>
      </c>
      <c r="B1145" s="121" t="s">
        <v>57</v>
      </c>
      <c r="C1145" s="121" t="s">
        <v>1414</v>
      </c>
      <c r="F1145" s="167">
        <v>596.75</v>
      </c>
      <c r="G1145" s="135">
        <v>45660</v>
      </c>
      <c r="I1145" s="133" t="s">
        <v>1338</v>
      </c>
      <c r="K1145" s="135">
        <v>45660</v>
      </c>
      <c r="L1145" s="153">
        <v>560.62</v>
      </c>
      <c r="M1145" s="111"/>
    </row>
    <row r="1146" spans="1:14" x14ac:dyDescent="0.35">
      <c r="A1146" s="109">
        <v>45852</v>
      </c>
      <c r="B1146" s="111" t="s">
        <v>65</v>
      </c>
      <c r="C1146" s="111" t="s">
        <v>52</v>
      </c>
      <c r="E1146" s="111" t="s">
        <v>1420</v>
      </c>
      <c r="F1146" s="153">
        <v>-75</v>
      </c>
      <c r="G1146" s="135">
        <v>45882</v>
      </c>
      <c r="H1146" s="134" t="s">
        <v>66</v>
      </c>
      <c r="I1146" s="133" t="s">
        <v>119</v>
      </c>
      <c r="K1146" s="135">
        <v>45882</v>
      </c>
    </row>
    <row r="1147" spans="1:14" x14ac:dyDescent="0.35">
      <c r="A1147" s="109">
        <v>45852</v>
      </c>
      <c r="B1147" s="111" t="s">
        <v>65</v>
      </c>
      <c r="C1147" s="111" t="s">
        <v>52</v>
      </c>
      <c r="E1147" s="111" t="s">
        <v>1421</v>
      </c>
      <c r="F1147" s="153">
        <v>-158.24</v>
      </c>
      <c r="G1147" s="135">
        <v>45882</v>
      </c>
      <c r="H1147" s="134" t="s">
        <v>66</v>
      </c>
      <c r="I1147" s="133" t="s">
        <v>119</v>
      </c>
      <c r="K1147" s="135">
        <v>45882</v>
      </c>
    </row>
    <row r="1148" spans="1:14" x14ac:dyDescent="0.35">
      <c r="A1148" s="109">
        <v>45866</v>
      </c>
      <c r="B1148" s="111" t="s">
        <v>65</v>
      </c>
      <c r="C1148" s="111" t="s">
        <v>52</v>
      </c>
      <c r="E1148" s="121" t="s">
        <v>1422</v>
      </c>
      <c r="F1148" s="153">
        <v>-188.04</v>
      </c>
      <c r="G1148" s="135">
        <v>45896</v>
      </c>
      <c r="H1148" s="133" t="s">
        <v>66</v>
      </c>
      <c r="I1148" s="133" t="s">
        <v>119</v>
      </c>
      <c r="K1148" s="135">
        <v>45890</v>
      </c>
    </row>
    <row r="1149" spans="1:14" x14ac:dyDescent="0.35">
      <c r="A1149" s="109">
        <v>45875</v>
      </c>
      <c r="B1149" s="111" t="s">
        <v>65</v>
      </c>
      <c r="C1149" s="121" t="s">
        <v>52</v>
      </c>
      <c r="E1149" s="121" t="s">
        <v>1423</v>
      </c>
      <c r="F1149" s="153">
        <v>-81.260000000000005</v>
      </c>
      <c r="G1149" s="135">
        <v>45905</v>
      </c>
      <c r="H1149" s="133" t="s">
        <v>66</v>
      </c>
      <c r="I1149" s="133" t="s">
        <v>170</v>
      </c>
      <c r="K1149" s="135">
        <v>45903</v>
      </c>
    </row>
    <row r="1150" spans="1:14" x14ac:dyDescent="0.35">
      <c r="A1150" s="109">
        <v>45875</v>
      </c>
      <c r="B1150" s="111" t="s">
        <v>65</v>
      </c>
      <c r="C1150" s="121" t="s">
        <v>52</v>
      </c>
      <c r="E1150" s="121" t="s">
        <v>1424</v>
      </c>
      <c r="F1150" s="153">
        <v>-202.34</v>
      </c>
      <c r="G1150" s="135">
        <v>45905</v>
      </c>
      <c r="H1150" s="133" t="s">
        <v>66</v>
      </c>
      <c r="I1150" s="133" t="s">
        <v>119</v>
      </c>
      <c r="K1150" s="135">
        <v>45903</v>
      </c>
    </row>
    <row r="1151" spans="1:14" x14ac:dyDescent="0.35">
      <c r="A1151" s="109">
        <v>45866</v>
      </c>
      <c r="B1151" s="111" t="s">
        <v>65</v>
      </c>
      <c r="C1151" s="121" t="s">
        <v>52</v>
      </c>
      <c r="E1151" s="121" t="s">
        <v>1425</v>
      </c>
      <c r="F1151" s="153">
        <v>-40.1</v>
      </c>
      <c r="G1151" s="135">
        <v>45896</v>
      </c>
      <c r="H1151" s="133" t="s">
        <v>66</v>
      </c>
      <c r="I1151" s="134" t="s">
        <v>170</v>
      </c>
      <c r="K1151" s="135">
        <v>45903</v>
      </c>
    </row>
    <row r="1152" spans="1:14" x14ac:dyDescent="0.35">
      <c r="A1152" s="109">
        <v>45881</v>
      </c>
      <c r="B1152" s="111" t="s">
        <v>65</v>
      </c>
      <c r="C1152" s="121" t="s">
        <v>52</v>
      </c>
      <c r="E1152" s="121" t="s">
        <v>1426</v>
      </c>
      <c r="F1152" s="153">
        <v>-79.5</v>
      </c>
      <c r="G1152" s="135">
        <v>45911</v>
      </c>
      <c r="H1152" s="133" t="s">
        <v>66</v>
      </c>
      <c r="I1152" s="134" t="s">
        <v>170</v>
      </c>
      <c r="K1152" s="135">
        <v>45903</v>
      </c>
    </row>
    <row r="1153" spans="1:13" x14ac:dyDescent="0.35">
      <c r="A1153" s="109">
        <v>45881</v>
      </c>
      <c r="B1153" s="111" t="s">
        <v>65</v>
      </c>
      <c r="C1153" s="121" t="s">
        <v>52</v>
      </c>
      <c r="E1153" s="121" t="s">
        <v>1427</v>
      </c>
      <c r="F1153" s="153">
        <v>-147.34</v>
      </c>
      <c r="G1153" s="135">
        <v>45911</v>
      </c>
      <c r="H1153" s="133" t="s">
        <v>66</v>
      </c>
      <c r="I1153" s="133" t="s">
        <v>119</v>
      </c>
      <c r="K1153" s="135">
        <v>45903</v>
      </c>
    </row>
    <row r="1154" spans="1:13" x14ac:dyDescent="0.35">
      <c r="A1154" s="109">
        <v>45888</v>
      </c>
      <c r="B1154" s="111" t="s">
        <v>65</v>
      </c>
      <c r="C1154" s="111" t="s">
        <v>52</v>
      </c>
      <c r="E1154" s="111" t="s">
        <v>1428</v>
      </c>
      <c r="F1154" s="153">
        <v>-103.89</v>
      </c>
      <c r="G1154" s="135">
        <v>45918</v>
      </c>
      <c r="H1154" s="134" t="s">
        <v>66</v>
      </c>
      <c r="I1154" s="133" t="s">
        <v>170</v>
      </c>
      <c r="K1154" s="135">
        <v>45918</v>
      </c>
    </row>
    <row r="1155" spans="1:13" x14ac:dyDescent="0.35">
      <c r="A1155" s="109">
        <v>45984</v>
      </c>
      <c r="B1155" s="121" t="s">
        <v>65</v>
      </c>
      <c r="C1155" s="111" t="s">
        <v>37</v>
      </c>
      <c r="F1155" s="150">
        <v>-4080</v>
      </c>
      <c r="G1155" s="135">
        <f>A1155+30</f>
        <v>46014</v>
      </c>
      <c r="I1155" s="134" t="s">
        <v>170</v>
      </c>
      <c r="K1155" s="135">
        <v>45984</v>
      </c>
      <c r="L1155" s="153">
        <v>-4080</v>
      </c>
      <c r="M1155" s="111"/>
    </row>
    <row r="1156" spans="1:13" x14ac:dyDescent="0.35">
      <c r="A1156" s="109">
        <v>46014</v>
      </c>
      <c r="B1156" s="121" t="s">
        <v>65</v>
      </c>
      <c r="C1156" s="111" t="s">
        <v>37</v>
      </c>
      <c r="F1156" s="150">
        <v>-4080</v>
      </c>
      <c r="G1156" s="135">
        <f>A1156+30</f>
        <v>46044</v>
      </c>
      <c r="I1156" s="134" t="s">
        <v>170</v>
      </c>
      <c r="K1156" s="135">
        <v>46014</v>
      </c>
      <c r="L1156" s="153">
        <v>-4080</v>
      </c>
      <c r="M1156" s="111"/>
    </row>
    <row r="1157" spans="1:13" x14ac:dyDescent="0.35">
      <c r="A1157" s="109">
        <v>45888</v>
      </c>
      <c r="B1157" s="111" t="s">
        <v>65</v>
      </c>
      <c r="C1157" s="111" t="s">
        <v>52</v>
      </c>
      <c r="E1157" s="111" t="s">
        <v>1429</v>
      </c>
      <c r="F1157" s="153">
        <v>-192.61</v>
      </c>
      <c r="G1157" s="135">
        <v>45918</v>
      </c>
      <c r="H1157" s="134" t="s">
        <v>66</v>
      </c>
      <c r="I1157" s="133" t="s">
        <v>119</v>
      </c>
      <c r="K1157" s="135">
        <v>45918</v>
      </c>
    </row>
    <row r="1158" spans="1:13" x14ac:dyDescent="0.35">
      <c r="A1158" s="109">
        <v>45894</v>
      </c>
      <c r="B1158" s="111" t="s">
        <v>65</v>
      </c>
      <c r="C1158" s="111" t="s">
        <v>52</v>
      </c>
      <c r="E1158" s="111" t="s">
        <v>1430</v>
      </c>
      <c r="F1158" s="153">
        <v>-7.4</v>
      </c>
      <c r="G1158" s="135">
        <v>45924</v>
      </c>
      <c r="H1158" s="134" t="s">
        <v>66</v>
      </c>
      <c r="I1158" s="133" t="s">
        <v>119</v>
      </c>
      <c r="K1158" s="135">
        <v>45922</v>
      </c>
      <c r="M1158" s="75"/>
    </row>
    <row r="1159" spans="1:13" x14ac:dyDescent="0.35">
      <c r="A1159" s="109">
        <v>45894</v>
      </c>
      <c r="B1159" s="111" t="s">
        <v>65</v>
      </c>
      <c r="C1159" s="111" t="s">
        <v>52</v>
      </c>
      <c r="E1159" s="111" t="s">
        <v>1431</v>
      </c>
      <c r="F1159" s="153">
        <v>-140.22</v>
      </c>
      <c r="G1159" s="135">
        <v>45924</v>
      </c>
      <c r="H1159" s="134" t="s">
        <v>66</v>
      </c>
      <c r="I1159" s="133" t="s">
        <v>119</v>
      </c>
      <c r="K1159" s="135">
        <v>45922</v>
      </c>
    </row>
    <row r="1160" spans="1:13" x14ac:dyDescent="0.35">
      <c r="A1160" s="109">
        <v>45909</v>
      </c>
      <c r="B1160" s="111" t="s">
        <v>65</v>
      </c>
      <c r="C1160" s="121" t="s">
        <v>52</v>
      </c>
      <c r="E1160" s="121" t="s">
        <v>1432</v>
      </c>
      <c r="F1160" s="153">
        <v>-85.32</v>
      </c>
      <c r="G1160" s="135">
        <f>A1160+30</f>
        <v>45939</v>
      </c>
      <c r="H1160" s="134" t="s">
        <v>66</v>
      </c>
      <c r="I1160" s="133" t="s">
        <v>119</v>
      </c>
      <c r="K1160" s="135">
        <v>45922</v>
      </c>
    </row>
    <row r="1161" spans="1:13" x14ac:dyDescent="0.35">
      <c r="A1161" s="109">
        <v>45903</v>
      </c>
      <c r="B1161" s="111" t="s">
        <v>65</v>
      </c>
      <c r="C1161" s="121" t="s">
        <v>52</v>
      </c>
      <c r="E1161" s="121" t="s">
        <v>1433</v>
      </c>
      <c r="F1161" s="153">
        <v>-148.96</v>
      </c>
      <c r="G1161" s="135">
        <f>A1161+30</f>
        <v>45933</v>
      </c>
      <c r="H1161" s="134" t="s">
        <v>66</v>
      </c>
      <c r="I1161" s="133" t="s">
        <v>119</v>
      </c>
      <c r="K1161" s="135">
        <v>45922</v>
      </c>
    </row>
    <row r="1162" spans="1:13" x14ac:dyDescent="0.35">
      <c r="A1162" s="109">
        <v>45661</v>
      </c>
      <c r="B1162" s="121" t="s">
        <v>57</v>
      </c>
      <c r="C1162" s="121" t="s">
        <v>1414</v>
      </c>
      <c r="F1162" s="167">
        <v>653.83000000000004</v>
      </c>
      <c r="G1162" s="135">
        <v>45661</v>
      </c>
      <c r="I1162" s="133" t="s">
        <v>1338</v>
      </c>
      <c r="K1162" s="135">
        <v>45661</v>
      </c>
      <c r="L1162" s="153">
        <v>1123.3175000000001</v>
      </c>
      <c r="M1162" s="111"/>
    </row>
    <row r="1163" spans="1:13" x14ac:dyDescent="0.35">
      <c r="A1163" s="109">
        <v>45662</v>
      </c>
      <c r="B1163" s="121" t="s">
        <v>57</v>
      </c>
      <c r="C1163" s="121" t="s">
        <v>1414</v>
      </c>
      <c r="F1163" s="167">
        <v>145.30000000000001</v>
      </c>
      <c r="G1163" s="135">
        <v>45662</v>
      </c>
      <c r="I1163" s="133" t="s">
        <v>1338</v>
      </c>
      <c r="K1163" s="135">
        <v>45662</v>
      </c>
      <c r="L1163" s="153">
        <v>992.01750000000004</v>
      </c>
      <c r="M1163" s="111"/>
    </row>
    <row r="1164" spans="1:13" x14ac:dyDescent="0.35">
      <c r="A1164" s="109">
        <v>45663</v>
      </c>
      <c r="B1164" s="121" t="s">
        <v>57</v>
      </c>
      <c r="C1164" s="121" t="s">
        <v>1414</v>
      </c>
      <c r="F1164" s="167"/>
      <c r="G1164" s="135">
        <v>45663</v>
      </c>
      <c r="I1164" s="133" t="s">
        <v>1338</v>
      </c>
      <c r="K1164" s="135">
        <v>45663</v>
      </c>
      <c r="L1164" s="153">
        <v>0</v>
      </c>
      <c r="M1164" s="111"/>
    </row>
    <row r="1165" spans="1:13" x14ac:dyDescent="0.35">
      <c r="A1165" s="109">
        <v>45664</v>
      </c>
      <c r="B1165" s="121" t="s">
        <v>57</v>
      </c>
      <c r="C1165" s="121" t="s">
        <v>1414</v>
      </c>
      <c r="F1165" s="167"/>
      <c r="G1165" s="135">
        <v>45664</v>
      </c>
      <c r="I1165" s="133" t="s">
        <v>1338</v>
      </c>
      <c r="K1165" s="135">
        <v>45664</v>
      </c>
      <c r="L1165" s="153">
        <v>0</v>
      </c>
      <c r="M1165" s="111"/>
    </row>
    <row r="1166" spans="1:13" x14ac:dyDescent="0.35">
      <c r="A1166" s="109">
        <v>45903</v>
      </c>
      <c r="B1166" s="111" t="s">
        <v>65</v>
      </c>
      <c r="C1166" s="121" t="s">
        <v>52</v>
      </c>
      <c r="E1166" s="121" t="s">
        <v>1434</v>
      </c>
      <c r="F1166" s="153">
        <v>-65.06</v>
      </c>
      <c r="G1166" s="135">
        <f t="shared" ref="G1166:G1174" si="50">A1166+30</f>
        <v>45933</v>
      </c>
      <c r="H1166" s="134" t="s">
        <v>66</v>
      </c>
      <c r="I1166" s="134" t="s">
        <v>170</v>
      </c>
      <c r="K1166" s="135">
        <v>45922</v>
      </c>
    </row>
    <row r="1167" spans="1:13" x14ac:dyDescent="0.35">
      <c r="A1167" s="109">
        <v>45904</v>
      </c>
      <c r="B1167" s="111" t="s">
        <v>65</v>
      </c>
      <c r="C1167" s="121" t="s">
        <v>52</v>
      </c>
      <c r="E1167" s="121" t="s">
        <v>1435</v>
      </c>
      <c r="F1167" s="153">
        <v>-7.5</v>
      </c>
      <c r="G1167" s="135">
        <f t="shared" si="50"/>
        <v>45934</v>
      </c>
      <c r="H1167" s="134" t="s">
        <v>66</v>
      </c>
      <c r="I1167" s="134" t="s">
        <v>170</v>
      </c>
      <c r="K1167" s="135">
        <v>45922</v>
      </c>
    </row>
    <row r="1168" spans="1:13" x14ac:dyDescent="0.35">
      <c r="A1168" s="109">
        <v>45905</v>
      </c>
      <c r="B1168" s="111" t="s">
        <v>65</v>
      </c>
      <c r="C1168" s="121" t="s">
        <v>52</v>
      </c>
      <c r="E1168" s="121" t="s">
        <v>1436</v>
      </c>
      <c r="F1168" s="153">
        <v>-16.61</v>
      </c>
      <c r="G1168" s="135">
        <f t="shared" si="50"/>
        <v>45935</v>
      </c>
      <c r="H1168" s="134" t="s">
        <v>66</v>
      </c>
      <c r="I1168" s="133" t="s">
        <v>119</v>
      </c>
      <c r="K1168" s="135">
        <v>45922</v>
      </c>
    </row>
    <row r="1169" spans="1:13" x14ac:dyDescent="0.35">
      <c r="A1169" s="109">
        <v>45908</v>
      </c>
      <c r="B1169" s="121" t="s">
        <v>65</v>
      </c>
      <c r="C1169" s="121" t="s">
        <v>52</v>
      </c>
      <c r="E1169" s="121" t="s">
        <v>1437</v>
      </c>
      <c r="F1169" s="153">
        <v>-58.33</v>
      </c>
      <c r="G1169" s="135">
        <f t="shared" si="50"/>
        <v>45938</v>
      </c>
      <c r="H1169" s="134" t="s">
        <v>66</v>
      </c>
      <c r="I1169" s="134" t="s">
        <v>170</v>
      </c>
      <c r="K1169" s="135">
        <v>45922</v>
      </c>
    </row>
    <row r="1170" spans="1:13" x14ac:dyDescent="0.35">
      <c r="A1170" s="109">
        <v>45916</v>
      </c>
      <c r="B1170" s="111" t="s">
        <v>65</v>
      </c>
      <c r="C1170" s="111" t="s">
        <v>52</v>
      </c>
      <c r="E1170" s="111" t="s">
        <v>1438</v>
      </c>
      <c r="F1170" s="153">
        <v>-195.63</v>
      </c>
      <c r="G1170" s="135">
        <f t="shared" si="50"/>
        <v>45946</v>
      </c>
      <c r="H1170" s="134" t="s">
        <v>66</v>
      </c>
      <c r="I1170" s="133" t="s">
        <v>119</v>
      </c>
      <c r="K1170" s="135">
        <v>45961</v>
      </c>
    </row>
    <row r="1171" spans="1:13" x14ac:dyDescent="0.35">
      <c r="A1171" s="109">
        <v>45917</v>
      </c>
      <c r="B1171" s="111" t="s">
        <v>65</v>
      </c>
      <c r="C1171" s="111" t="s">
        <v>52</v>
      </c>
      <c r="E1171" s="111" t="s">
        <v>1439</v>
      </c>
      <c r="F1171" s="153">
        <v>-1.72</v>
      </c>
      <c r="G1171" s="135">
        <f t="shared" si="50"/>
        <v>45947</v>
      </c>
      <c r="H1171" s="134" t="s">
        <v>66</v>
      </c>
      <c r="I1171" s="133" t="s">
        <v>119</v>
      </c>
      <c r="K1171" s="135">
        <v>45961</v>
      </c>
    </row>
    <row r="1172" spans="1:13" x14ac:dyDescent="0.35">
      <c r="A1172" s="109">
        <v>45923</v>
      </c>
      <c r="B1172" s="111" t="s">
        <v>65</v>
      </c>
      <c r="C1172" s="111" t="s">
        <v>52</v>
      </c>
      <c r="E1172" s="111" t="s">
        <v>1440</v>
      </c>
      <c r="F1172" s="153">
        <v>-125.08</v>
      </c>
      <c r="G1172" s="135">
        <f t="shared" si="50"/>
        <v>45953</v>
      </c>
      <c r="H1172" s="134" t="s">
        <v>66</v>
      </c>
      <c r="I1172" s="133" t="s">
        <v>119</v>
      </c>
      <c r="K1172" s="135">
        <v>45961</v>
      </c>
    </row>
    <row r="1173" spans="1:13" x14ac:dyDescent="0.35">
      <c r="A1173" s="109">
        <v>45923</v>
      </c>
      <c r="B1173" s="121" t="s">
        <v>65</v>
      </c>
      <c r="C1173" s="121" t="s">
        <v>52</v>
      </c>
      <c r="E1173" s="121" t="s">
        <v>1441</v>
      </c>
      <c r="F1173" s="153">
        <v>-15.9</v>
      </c>
      <c r="G1173" s="135">
        <f t="shared" si="50"/>
        <v>45953</v>
      </c>
      <c r="H1173" s="134" t="s">
        <v>66</v>
      </c>
      <c r="I1173" s="134" t="s">
        <v>170</v>
      </c>
      <c r="K1173" s="135">
        <v>45961</v>
      </c>
    </row>
    <row r="1174" spans="1:13" x14ac:dyDescent="0.35">
      <c r="A1174" s="109">
        <v>45924</v>
      </c>
      <c r="B1174" s="111" t="s">
        <v>65</v>
      </c>
      <c r="C1174" s="111" t="s">
        <v>52</v>
      </c>
      <c r="E1174" s="111" t="s">
        <v>1442</v>
      </c>
      <c r="F1174" s="153">
        <v>-37.5</v>
      </c>
      <c r="G1174" s="135">
        <f t="shared" si="50"/>
        <v>45954</v>
      </c>
      <c r="H1174" s="134" t="s">
        <v>66</v>
      </c>
      <c r="I1174" s="133" t="s">
        <v>119</v>
      </c>
      <c r="K1174" s="135">
        <v>45961</v>
      </c>
    </row>
    <row r="1175" spans="1:13" x14ac:dyDescent="0.35">
      <c r="A1175" s="109">
        <v>45665</v>
      </c>
      <c r="B1175" s="121" t="s">
        <v>57</v>
      </c>
      <c r="C1175" s="121" t="s">
        <v>1414</v>
      </c>
      <c r="F1175" s="167"/>
      <c r="G1175" s="135">
        <v>45665</v>
      </c>
      <c r="I1175" s="133" t="s">
        <v>1338</v>
      </c>
      <c r="K1175" s="135">
        <v>45665</v>
      </c>
      <c r="L1175" s="153">
        <v>0</v>
      </c>
      <c r="M1175" s="111"/>
    </row>
    <row r="1176" spans="1:13" x14ac:dyDescent="0.35">
      <c r="A1176" s="109">
        <v>45666</v>
      </c>
      <c r="B1176" s="121" t="s">
        <v>57</v>
      </c>
      <c r="C1176" s="121" t="s">
        <v>1414</v>
      </c>
      <c r="F1176" s="167"/>
      <c r="G1176" s="135">
        <v>45666</v>
      </c>
      <c r="I1176" s="133" t="s">
        <v>1338</v>
      </c>
      <c r="K1176" s="135">
        <v>45666</v>
      </c>
      <c r="L1176" s="153">
        <v>0</v>
      </c>
      <c r="M1176" s="111"/>
    </row>
    <row r="1177" spans="1:13" x14ac:dyDescent="0.35">
      <c r="A1177" s="109">
        <v>45667</v>
      </c>
      <c r="B1177" s="121" t="s">
        <v>57</v>
      </c>
      <c r="C1177" s="121" t="s">
        <v>1414</v>
      </c>
      <c r="F1177" s="167"/>
      <c r="G1177" s="135">
        <v>45667</v>
      </c>
      <c r="I1177" s="133" t="s">
        <v>1338</v>
      </c>
      <c r="K1177" s="135">
        <v>45667</v>
      </c>
      <c r="L1177" s="153">
        <v>0</v>
      </c>
      <c r="M1177" s="111"/>
    </row>
    <row r="1178" spans="1:13" x14ac:dyDescent="0.35">
      <c r="A1178" s="109">
        <v>45668</v>
      </c>
      <c r="B1178" s="121" t="s">
        <v>57</v>
      </c>
      <c r="C1178" s="121" t="s">
        <v>1414</v>
      </c>
      <c r="F1178" s="167"/>
      <c r="G1178" s="135">
        <v>45668</v>
      </c>
      <c r="I1178" s="133" t="s">
        <v>1338</v>
      </c>
      <c r="K1178" s="135">
        <v>45668</v>
      </c>
      <c r="L1178" s="153">
        <v>0</v>
      </c>
      <c r="M1178" s="111"/>
    </row>
    <row r="1179" spans="1:13" x14ac:dyDescent="0.35">
      <c r="A1179" s="109">
        <v>45669</v>
      </c>
      <c r="B1179" s="121" t="s">
        <v>57</v>
      </c>
      <c r="C1179" s="121" t="s">
        <v>1414</v>
      </c>
      <c r="F1179" s="167"/>
      <c r="G1179" s="135">
        <v>45669</v>
      </c>
      <c r="I1179" s="133" t="s">
        <v>1338</v>
      </c>
      <c r="K1179" s="135">
        <v>45669</v>
      </c>
      <c r="L1179" s="153">
        <v>0</v>
      </c>
      <c r="M1179" s="111"/>
    </row>
    <row r="1180" spans="1:13" x14ac:dyDescent="0.35">
      <c r="A1180" s="109">
        <v>45670</v>
      </c>
      <c r="B1180" s="121" t="s">
        <v>57</v>
      </c>
      <c r="C1180" s="121" t="s">
        <v>1414</v>
      </c>
      <c r="F1180" s="167"/>
      <c r="G1180" s="135">
        <v>45670</v>
      </c>
      <c r="I1180" s="133" t="s">
        <v>1338</v>
      </c>
      <c r="K1180" s="135">
        <v>45670</v>
      </c>
      <c r="L1180" s="153">
        <v>0</v>
      </c>
      <c r="M1180" s="111"/>
    </row>
    <row r="1181" spans="1:13" x14ac:dyDescent="0.35">
      <c r="A1181" s="109">
        <v>45671</v>
      </c>
      <c r="B1181" s="121" t="s">
        <v>57</v>
      </c>
      <c r="C1181" s="121" t="s">
        <v>1414</v>
      </c>
      <c r="F1181" s="167"/>
      <c r="G1181" s="135">
        <v>45671</v>
      </c>
      <c r="I1181" s="133" t="s">
        <v>1338</v>
      </c>
      <c r="K1181" s="135">
        <v>45671</v>
      </c>
      <c r="L1181" s="153">
        <v>0</v>
      </c>
      <c r="M1181" s="111"/>
    </row>
    <row r="1182" spans="1:13" x14ac:dyDescent="0.35">
      <c r="A1182" s="109">
        <v>45672</v>
      </c>
      <c r="B1182" s="121" t="s">
        <v>57</v>
      </c>
      <c r="C1182" s="121" t="s">
        <v>1414</v>
      </c>
      <c r="F1182" s="167"/>
      <c r="G1182" s="135">
        <v>45672</v>
      </c>
      <c r="I1182" s="133" t="s">
        <v>1338</v>
      </c>
      <c r="K1182" s="135">
        <v>45672</v>
      </c>
      <c r="L1182" s="153">
        <v>0</v>
      </c>
      <c r="M1182" s="111"/>
    </row>
    <row r="1183" spans="1:13" x14ac:dyDescent="0.35">
      <c r="A1183" s="109">
        <v>45931</v>
      </c>
      <c r="B1183" s="121" t="s">
        <v>65</v>
      </c>
      <c r="C1183" s="121" t="s">
        <v>52</v>
      </c>
      <c r="E1183" s="121" t="s">
        <v>1443</v>
      </c>
      <c r="F1183" s="153">
        <v>-161.63</v>
      </c>
      <c r="G1183" s="135">
        <f t="shared" ref="G1183:G1191" si="51">A1183+30</f>
        <v>45961</v>
      </c>
      <c r="H1183" s="134" t="s">
        <v>66</v>
      </c>
      <c r="I1183" s="134" t="s">
        <v>119</v>
      </c>
      <c r="K1183" s="135">
        <v>45961</v>
      </c>
    </row>
    <row r="1184" spans="1:13" x14ac:dyDescent="0.35">
      <c r="A1184" s="109">
        <v>45931</v>
      </c>
      <c r="B1184" s="121" t="s">
        <v>65</v>
      </c>
      <c r="C1184" s="121" t="s">
        <v>52</v>
      </c>
      <c r="E1184" s="121" t="s">
        <v>1444</v>
      </c>
      <c r="F1184" s="153">
        <v>-31.75</v>
      </c>
      <c r="G1184" s="135">
        <f t="shared" si="51"/>
        <v>45961</v>
      </c>
      <c r="H1184" s="134" t="s">
        <v>66</v>
      </c>
      <c r="I1184" s="134" t="s">
        <v>170</v>
      </c>
      <c r="K1184" s="135">
        <v>45961</v>
      </c>
    </row>
    <row r="1185" spans="1:11" x14ac:dyDescent="0.35">
      <c r="A1185" s="109">
        <v>45937</v>
      </c>
      <c r="B1185" s="121" t="s">
        <v>65</v>
      </c>
      <c r="C1185" s="121" t="s">
        <v>52</v>
      </c>
      <c r="E1185" s="121" t="s">
        <v>1445</v>
      </c>
      <c r="F1185" s="153">
        <v>-79.739999999999995</v>
      </c>
      <c r="G1185" s="135">
        <f t="shared" si="51"/>
        <v>45967</v>
      </c>
      <c r="H1185" s="133" t="s">
        <v>66</v>
      </c>
      <c r="I1185" s="134" t="s">
        <v>633</v>
      </c>
      <c r="K1185" s="135">
        <v>45967</v>
      </c>
    </row>
    <row r="1186" spans="1:11" x14ac:dyDescent="0.35">
      <c r="A1186" s="109">
        <v>45945</v>
      </c>
      <c r="B1186" s="111" t="s">
        <v>65</v>
      </c>
      <c r="C1186" s="111" t="s">
        <v>52</v>
      </c>
      <c r="E1186" s="218" t="s">
        <v>1446</v>
      </c>
      <c r="F1186" s="153">
        <v>-161.65</v>
      </c>
      <c r="G1186" s="135">
        <f t="shared" si="51"/>
        <v>45975</v>
      </c>
      <c r="H1186" s="134" t="s">
        <v>66</v>
      </c>
      <c r="I1186" s="133" t="s">
        <v>119</v>
      </c>
      <c r="K1186" s="135">
        <v>45974</v>
      </c>
    </row>
    <row r="1187" spans="1:11" x14ac:dyDescent="0.35">
      <c r="A1187" s="109">
        <v>45944</v>
      </c>
      <c r="B1187" s="111" t="s">
        <v>65</v>
      </c>
      <c r="C1187" s="111" t="s">
        <v>52</v>
      </c>
      <c r="E1187" s="218" t="s">
        <v>1447</v>
      </c>
      <c r="F1187" s="153">
        <v>-16.61</v>
      </c>
      <c r="G1187" s="135">
        <f t="shared" si="51"/>
        <v>45974</v>
      </c>
      <c r="H1187" s="134" t="s">
        <v>66</v>
      </c>
      <c r="I1187" s="133" t="s">
        <v>119</v>
      </c>
      <c r="K1187" s="135">
        <v>45974</v>
      </c>
    </row>
    <row r="1188" spans="1:11" x14ac:dyDescent="0.35">
      <c r="A1188" s="109">
        <v>45950</v>
      </c>
      <c r="B1188" s="111" t="s">
        <v>65</v>
      </c>
      <c r="C1188" s="111" t="s">
        <v>52</v>
      </c>
      <c r="E1188" s="218" t="s">
        <v>1448</v>
      </c>
      <c r="F1188" s="153">
        <v>-62.96</v>
      </c>
      <c r="G1188" s="135">
        <f t="shared" si="51"/>
        <v>45980</v>
      </c>
      <c r="H1188" s="134" t="s">
        <v>66</v>
      </c>
      <c r="I1188" s="133" t="s">
        <v>119</v>
      </c>
      <c r="K1188" s="135">
        <v>45980</v>
      </c>
    </row>
    <row r="1189" spans="1:11" x14ac:dyDescent="0.35">
      <c r="A1189" s="109">
        <v>45958</v>
      </c>
      <c r="B1189" s="111" t="s">
        <v>65</v>
      </c>
      <c r="C1189" s="111" t="s">
        <v>52</v>
      </c>
      <c r="E1189" s="111" t="s">
        <v>1449</v>
      </c>
      <c r="F1189" s="153">
        <v>-218.2</v>
      </c>
      <c r="G1189" s="135">
        <f t="shared" si="51"/>
        <v>45988</v>
      </c>
      <c r="H1189" s="133" t="s">
        <v>66</v>
      </c>
      <c r="I1189" s="133" t="s">
        <v>119</v>
      </c>
      <c r="K1189" s="135">
        <v>45988</v>
      </c>
    </row>
    <row r="1190" spans="1:11" x14ac:dyDescent="0.35">
      <c r="A1190" s="109">
        <v>45958</v>
      </c>
      <c r="B1190" s="111" t="s">
        <v>65</v>
      </c>
      <c r="C1190" s="111" t="s">
        <v>52</v>
      </c>
      <c r="E1190" s="111" t="s">
        <v>1450</v>
      </c>
      <c r="F1190" s="153">
        <v>-54.2</v>
      </c>
      <c r="G1190" s="135">
        <f t="shared" si="51"/>
        <v>45988</v>
      </c>
      <c r="H1190" s="133" t="s">
        <v>66</v>
      </c>
      <c r="I1190" s="133" t="s">
        <v>170</v>
      </c>
      <c r="K1190" s="135">
        <v>45988</v>
      </c>
    </row>
    <row r="1191" spans="1:11" x14ac:dyDescent="0.35">
      <c r="A1191" s="109">
        <v>45964</v>
      </c>
      <c r="B1191" s="111" t="s">
        <v>65</v>
      </c>
      <c r="C1191" s="111" t="s">
        <v>52</v>
      </c>
      <c r="E1191" s="218" t="s">
        <v>1451</v>
      </c>
      <c r="F1191" s="153">
        <v>-21.59</v>
      </c>
      <c r="G1191" s="135">
        <f t="shared" si="51"/>
        <v>45994</v>
      </c>
      <c r="H1191" s="134" t="s">
        <v>66</v>
      </c>
      <c r="I1191" s="147" t="s">
        <v>170</v>
      </c>
      <c r="K1191" s="135">
        <v>45994</v>
      </c>
    </row>
    <row r="1192" spans="1:11" x14ac:dyDescent="0.35">
      <c r="A1192" s="109">
        <v>45965</v>
      </c>
      <c r="B1192" s="111" t="s">
        <v>65</v>
      </c>
      <c r="C1192" s="111" t="s">
        <v>52</v>
      </c>
      <c r="E1192" s="218" t="s">
        <v>1452</v>
      </c>
      <c r="F1192" s="153">
        <v>-35.75</v>
      </c>
      <c r="G1192" s="135">
        <v>45995</v>
      </c>
      <c r="H1192" s="134" t="s">
        <v>66</v>
      </c>
      <c r="I1192" s="133" t="s">
        <v>119</v>
      </c>
      <c r="K1192" s="135">
        <v>45994</v>
      </c>
    </row>
    <row r="1193" spans="1:11" x14ac:dyDescent="0.35">
      <c r="A1193" s="109">
        <v>45972</v>
      </c>
      <c r="B1193" s="121" t="s">
        <v>65</v>
      </c>
      <c r="C1193" s="111" t="s">
        <v>52</v>
      </c>
      <c r="E1193" s="111" t="s">
        <v>1453</v>
      </c>
      <c r="F1193" s="153">
        <v>-118.02</v>
      </c>
      <c r="G1193" s="135">
        <v>46002</v>
      </c>
      <c r="H1193" s="133" t="s">
        <v>66</v>
      </c>
      <c r="I1193" s="133" t="s">
        <v>119</v>
      </c>
      <c r="K1193" s="160">
        <v>46000</v>
      </c>
    </row>
    <row r="1194" spans="1:11" x14ac:dyDescent="0.35">
      <c r="A1194" s="109">
        <v>45978</v>
      </c>
      <c r="B1194" s="121" t="s">
        <v>65</v>
      </c>
      <c r="C1194" s="111" t="s">
        <v>52</v>
      </c>
      <c r="E1194" s="218" t="s">
        <v>1454</v>
      </c>
      <c r="F1194" s="153">
        <v>-65.2</v>
      </c>
      <c r="G1194" s="135">
        <v>46008</v>
      </c>
      <c r="H1194" s="133" t="s">
        <v>66</v>
      </c>
      <c r="I1194" s="133" t="s">
        <v>119</v>
      </c>
      <c r="K1194" s="160">
        <v>46000</v>
      </c>
    </row>
    <row r="1195" spans="1:11" x14ac:dyDescent="0.35">
      <c r="A1195" s="109">
        <v>45972</v>
      </c>
      <c r="B1195" s="111" t="s">
        <v>65</v>
      </c>
      <c r="C1195" s="111" t="s">
        <v>52</v>
      </c>
      <c r="E1195" s="218" t="s">
        <v>1110</v>
      </c>
      <c r="F1195" s="153">
        <v>-13.2</v>
      </c>
      <c r="G1195" s="135">
        <v>46002</v>
      </c>
      <c r="H1195" s="133" t="s">
        <v>66</v>
      </c>
      <c r="I1195" s="133" t="s">
        <v>170</v>
      </c>
      <c r="K1195" s="160">
        <v>46000</v>
      </c>
    </row>
    <row r="1196" spans="1:11" x14ac:dyDescent="0.35">
      <c r="A1196" s="109">
        <v>45978</v>
      </c>
      <c r="B1196" s="111" t="s">
        <v>65</v>
      </c>
      <c r="C1196" s="111" t="s">
        <v>52</v>
      </c>
      <c r="E1196" s="111" t="s">
        <v>1455</v>
      </c>
      <c r="F1196" s="153">
        <v>-40.200000000000003</v>
      </c>
      <c r="G1196" s="135">
        <v>46008</v>
      </c>
      <c r="H1196" s="133" t="s">
        <v>66</v>
      </c>
      <c r="I1196" s="133" t="s">
        <v>170</v>
      </c>
      <c r="K1196" s="160">
        <v>46000</v>
      </c>
    </row>
    <row r="1197" spans="1:11" x14ac:dyDescent="0.35">
      <c r="A1197" s="109">
        <v>45937</v>
      </c>
      <c r="B1197" s="111" t="s">
        <v>65</v>
      </c>
      <c r="C1197" s="111" t="s">
        <v>52</v>
      </c>
      <c r="E1197" s="173" t="s">
        <v>1456</v>
      </c>
      <c r="F1197" s="153">
        <v>-46.9</v>
      </c>
      <c r="G1197" s="135">
        <f>A1197+30</f>
        <v>45967</v>
      </c>
      <c r="H1197" s="133" t="s">
        <v>66</v>
      </c>
      <c r="I1197" s="133" t="s">
        <v>170</v>
      </c>
      <c r="K1197" s="160">
        <v>46000</v>
      </c>
    </row>
    <row r="1198" spans="1:11" x14ac:dyDescent="0.35">
      <c r="A1198" s="109">
        <v>45985</v>
      </c>
      <c r="B1198" s="111" t="s">
        <v>65</v>
      </c>
      <c r="C1198" s="111" t="s">
        <v>52</v>
      </c>
      <c r="E1198" s="218" t="s">
        <v>1457</v>
      </c>
      <c r="F1198" s="153">
        <v>-35.729999999999997</v>
      </c>
      <c r="G1198" s="135">
        <v>46015</v>
      </c>
      <c r="H1198" s="134" t="s">
        <v>66</v>
      </c>
      <c r="I1198" s="133" t="s">
        <v>170</v>
      </c>
      <c r="K1198" s="160">
        <v>46015</v>
      </c>
    </row>
    <row r="1199" spans="1:11" x14ac:dyDescent="0.35">
      <c r="A1199" s="109">
        <v>45985</v>
      </c>
      <c r="B1199" s="111" t="s">
        <v>65</v>
      </c>
      <c r="C1199" s="111" t="s">
        <v>52</v>
      </c>
      <c r="E1199" s="218" t="s">
        <v>1458</v>
      </c>
      <c r="F1199" s="153">
        <v>-9.33</v>
      </c>
      <c r="G1199" s="135">
        <v>46015</v>
      </c>
      <c r="H1199" s="134" t="s">
        <v>66</v>
      </c>
      <c r="I1199" s="133" t="s">
        <v>119</v>
      </c>
      <c r="K1199" s="160">
        <v>46015</v>
      </c>
    </row>
    <row r="1200" spans="1:11" x14ac:dyDescent="0.35">
      <c r="A1200" s="109">
        <v>45993</v>
      </c>
      <c r="B1200" s="111" t="s">
        <v>65</v>
      </c>
      <c r="C1200" s="111" t="s">
        <v>52</v>
      </c>
      <c r="E1200" s="111" t="s">
        <v>1459</v>
      </c>
      <c r="F1200" s="153">
        <v>-25.98</v>
      </c>
      <c r="G1200" s="135">
        <v>46023</v>
      </c>
      <c r="H1200" s="133" t="s">
        <v>66</v>
      </c>
      <c r="I1200" s="133" t="s">
        <v>1093</v>
      </c>
      <c r="K1200" s="160">
        <v>46031</v>
      </c>
    </row>
    <row r="1201" spans="1:13" x14ac:dyDescent="0.35">
      <c r="A1201" s="109">
        <v>46001</v>
      </c>
      <c r="B1201" s="111" t="s">
        <v>65</v>
      </c>
      <c r="C1201" s="111" t="s">
        <v>52</v>
      </c>
      <c r="E1201" s="218" t="s">
        <v>1460</v>
      </c>
      <c r="F1201" s="153">
        <v>-87.43</v>
      </c>
      <c r="G1201" s="135">
        <v>46031</v>
      </c>
      <c r="H1201" s="133" t="s">
        <v>66</v>
      </c>
      <c r="I1201" s="133" t="s">
        <v>170</v>
      </c>
      <c r="K1201" s="160">
        <v>46031</v>
      </c>
    </row>
    <row r="1202" spans="1:13" x14ac:dyDescent="0.35">
      <c r="A1202" s="109">
        <v>45673</v>
      </c>
      <c r="B1202" s="121" t="s">
        <v>57</v>
      </c>
      <c r="C1202" s="121" t="s">
        <v>1414</v>
      </c>
      <c r="F1202" s="167"/>
      <c r="G1202" s="135">
        <v>45673</v>
      </c>
      <c r="I1202" s="133" t="s">
        <v>1338</v>
      </c>
      <c r="K1202" s="135">
        <v>45673</v>
      </c>
      <c r="L1202" s="153">
        <v>0</v>
      </c>
      <c r="M1202" s="111"/>
    </row>
    <row r="1203" spans="1:13" x14ac:dyDescent="0.35">
      <c r="A1203" s="109">
        <v>45674</v>
      </c>
      <c r="B1203" s="121" t="s">
        <v>57</v>
      </c>
      <c r="C1203" s="121" t="s">
        <v>1414</v>
      </c>
      <c r="F1203" s="167"/>
      <c r="G1203" s="135">
        <v>45674</v>
      </c>
      <c r="I1203" s="133" t="s">
        <v>1338</v>
      </c>
      <c r="K1203" s="135">
        <v>45674</v>
      </c>
      <c r="L1203" s="153">
        <v>0</v>
      </c>
      <c r="M1203" s="111"/>
    </row>
    <row r="1204" spans="1:13" x14ac:dyDescent="0.35">
      <c r="A1204" s="109">
        <v>45675</v>
      </c>
      <c r="B1204" s="121" t="s">
        <v>57</v>
      </c>
      <c r="C1204" s="121" t="s">
        <v>1414</v>
      </c>
      <c r="F1204" s="167"/>
      <c r="G1204" s="135">
        <v>45675</v>
      </c>
      <c r="I1204" s="133" t="s">
        <v>1338</v>
      </c>
      <c r="K1204" s="135">
        <v>45675</v>
      </c>
      <c r="L1204" s="153">
        <v>0</v>
      </c>
      <c r="M1204" s="111"/>
    </row>
    <row r="1205" spans="1:13" x14ac:dyDescent="0.35">
      <c r="A1205" s="109">
        <v>45676</v>
      </c>
      <c r="B1205" s="121" t="s">
        <v>57</v>
      </c>
      <c r="C1205" s="121" t="s">
        <v>1414</v>
      </c>
      <c r="F1205" s="167"/>
      <c r="G1205" s="135">
        <v>45676</v>
      </c>
      <c r="I1205" s="133" t="s">
        <v>1338</v>
      </c>
      <c r="K1205" s="135">
        <v>45676</v>
      </c>
      <c r="L1205" s="153">
        <v>0</v>
      </c>
      <c r="M1205" s="111"/>
    </row>
    <row r="1206" spans="1:13" x14ac:dyDescent="0.35">
      <c r="A1206" s="109">
        <v>45677</v>
      </c>
      <c r="B1206" s="121" t="s">
        <v>57</v>
      </c>
      <c r="C1206" s="121" t="s">
        <v>1414</v>
      </c>
      <c r="F1206" s="167"/>
      <c r="G1206" s="135">
        <v>45677</v>
      </c>
      <c r="I1206" s="133" t="s">
        <v>1338</v>
      </c>
      <c r="K1206" s="135">
        <v>45677</v>
      </c>
      <c r="L1206" s="153">
        <v>0</v>
      </c>
      <c r="M1206" s="111"/>
    </row>
    <row r="1207" spans="1:13" x14ac:dyDescent="0.35">
      <c r="A1207" s="109">
        <v>46001</v>
      </c>
      <c r="B1207" s="111" t="s">
        <v>65</v>
      </c>
      <c r="C1207" s="111" t="s">
        <v>52</v>
      </c>
      <c r="E1207" s="218" t="s">
        <v>1461</v>
      </c>
      <c r="F1207" s="153">
        <v>-76</v>
      </c>
      <c r="G1207" s="135">
        <v>46031</v>
      </c>
      <c r="H1207" s="133" t="s">
        <v>66</v>
      </c>
      <c r="I1207" s="133" t="s">
        <v>119</v>
      </c>
      <c r="K1207" s="160">
        <v>46031</v>
      </c>
    </row>
    <row r="1208" spans="1:13" x14ac:dyDescent="0.35">
      <c r="A1208" s="109">
        <v>46007</v>
      </c>
      <c r="B1208" s="111" t="s">
        <v>65</v>
      </c>
      <c r="C1208" s="111" t="s">
        <v>52</v>
      </c>
      <c r="E1208" s="218" t="s">
        <v>1462</v>
      </c>
      <c r="F1208" s="153">
        <v>-115.66</v>
      </c>
      <c r="G1208" s="135">
        <v>46037</v>
      </c>
      <c r="H1208" s="133" t="s">
        <v>66</v>
      </c>
      <c r="I1208" s="133" t="s">
        <v>119</v>
      </c>
      <c r="K1208" s="160">
        <v>46038</v>
      </c>
    </row>
    <row r="1209" spans="1:13" x14ac:dyDescent="0.35">
      <c r="A1209" s="109">
        <v>46007</v>
      </c>
      <c r="B1209" s="111" t="s">
        <v>65</v>
      </c>
      <c r="C1209" s="111" t="s">
        <v>52</v>
      </c>
      <c r="E1209" s="218" t="s">
        <v>1463</v>
      </c>
      <c r="F1209" s="153">
        <v>-9.75</v>
      </c>
      <c r="G1209" s="135">
        <v>46037</v>
      </c>
      <c r="H1209" s="133" t="s">
        <v>66</v>
      </c>
      <c r="I1209" s="133" t="s">
        <v>170</v>
      </c>
      <c r="K1209" s="160">
        <v>46038</v>
      </c>
    </row>
    <row r="1210" spans="1:13" x14ac:dyDescent="0.35">
      <c r="A1210" s="176">
        <v>46021</v>
      </c>
      <c r="B1210" s="140" t="s">
        <v>65</v>
      </c>
      <c r="C1210" s="140" t="s">
        <v>52</v>
      </c>
      <c r="D1210" s="140"/>
      <c r="E1210" s="140" t="s">
        <v>1464</v>
      </c>
      <c r="F1210" s="174">
        <v>-88.51</v>
      </c>
      <c r="G1210" s="246">
        <v>46051</v>
      </c>
      <c r="H1210" s="175" t="s">
        <v>66</v>
      </c>
      <c r="I1210" s="142" t="s">
        <v>119</v>
      </c>
      <c r="K1210" s="160">
        <v>46062</v>
      </c>
    </row>
    <row r="1211" spans="1:13" x14ac:dyDescent="0.35">
      <c r="A1211" s="109">
        <v>46086</v>
      </c>
      <c r="B1211" s="111" t="s">
        <v>65</v>
      </c>
      <c r="C1211" s="111" t="s">
        <v>496</v>
      </c>
      <c r="E1211" s="111" t="s">
        <v>1465</v>
      </c>
      <c r="F1211" s="153">
        <v>-167.08</v>
      </c>
      <c r="G1211" s="135">
        <v>46101</v>
      </c>
      <c r="H1211" s="133" t="s">
        <v>59</v>
      </c>
      <c r="I1211" s="133" t="s">
        <v>145</v>
      </c>
    </row>
    <row r="1212" spans="1:13" x14ac:dyDescent="0.35">
      <c r="A1212" s="176">
        <v>46021</v>
      </c>
      <c r="B1212" s="140" t="s">
        <v>65</v>
      </c>
      <c r="C1212" s="140" t="s">
        <v>52</v>
      </c>
      <c r="D1212" s="140"/>
      <c r="E1212" s="140" t="s">
        <v>1466</v>
      </c>
      <c r="F1212" s="174">
        <v>-39.4</v>
      </c>
      <c r="G1212" s="246">
        <v>46051</v>
      </c>
      <c r="H1212" s="175" t="s">
        <v>66</v>
      </c>
      <c r="I1212" s="142" t="s">
        <v>170</v>
      </c>
      <c r="K1212" s="160">
        <v>46062</v>
      </c>
    </row>
    <row r="1213" spans="1:13" x14ac:dyDescent="0.35">
      <c r="A1213" s="109">
        <v>46035</v>
      </c>
      <c r="B1213" s="111" t="s">
        <v>65</v>
      </c>
      <c r="C1213" s="111" t="s">
        <v>32</v>
      </c>
      <c r="E1213" s="111" t="s">
        <v>1467</v>
      </c>
      <c r="F1213" s="153">
        <v>-42.37</v>
      </c>
      <c r="G1213" s="135">
        <v>46065</v>
      </c>
      <c r="H1213" s="133" t="s">
        <v>66</v>
      </c>
      <c r="I1213" s="133" t="s">
        <v>769</v>
      </c>
      <c r="K1213" s="160">
        <v>46072</v>
      </c>
    </row>
    <row r="1214" spans="1:13" x14ac:dyDescent="0.35">
      <c r="A1214" s="176">
        <v>45678</v>
      </c>
      <c r="B1214" s="143" t="s">
        <v>57</v>
      </c>
      <c r="C1214" s="143" t="s">
        <v>1414</v>
      </c>
      <c r="D1214" s="140"/>
      <c r="E1214" s="140"/>
      <c r="F1214" s="251"/>
      <c r="G1214" s="177">
        <v>45678</v>
      </c>
      <c r="H1214" s="142"/>
      <c r="I1214" s="142" t="s">
        <v>1338</v>
      </c>
      <c r="K1214" s="135">
        <v>45678</v>
      </c>
      <c r="L1214" s="153">
        <v>258.35599999999999</v>
      </c>
      <c r="M1214" s="111"/>
    </row>
    <row r="1215" spans="1:13" x14ac:dyDescent="0.35">
      <c r="A1215" s="109">
        <v>46027</v>
      </c>
      <c r="B1215" s="111" t="s">
        <v>65</v>
      </c>
      <c r="C1215" s="111" t="s">
        <v>52</v>
      </c>
      <c r="E1215" s="111" t="s">
        <v>1468</v>
      </c>
      <c r="F1215" s="153">
        <v>-9.5</v>
      </c>
      <c r="G1215" s="241">
        <v>46058</v>
      </c>
      <c r="H1215" s="133" t="s">
        <v>66</v>
      </c>
      <c r="I1215" s="133" t="s">
        <v>170</v>
      </c>
      <c r="K1215" s="135">
        <v>46072</v>
      </c>
    </row>
    <row r="1216" spans="1:13" x14ac:dyDescent="0.35">
      <c r="A1216" s="109">
        <v>46027</v>
      </c>
      <c r="B1216" s="111" t="s">
        <v>65</v>
      </c>
      <c r="C1216" s="111" t="s">
        <v>52</v>
      </c>
      <c r="E1216" s="111" t="s">
        <v>1469</v>
      </c>
      <c r="F1216" s="153">
        <v>-51.92</v>
      </c>
      <c r="G1216" s="241">
        <v>45693</v>
      </c>
      <c r="H1216" s="133" t="s">
        <v>66</v>
      </c>
      <c r="I1216" s="133" t="s">
        <v>119</v>
      </c>
      <c r="K1216" s="135">
        <v>46072</v>
      </c>
    </row>
    <row r="1217" spans="1:13" x14ac:dyDescent="0.35">
      <c r="A1217" s="109">
        <v>46034</v>
      </c>
      <c r="B1217" s="111" t="s">
        <v>65</v>
      </c>
      <c r="C1217" s="111" t="s">
        <v>52</v>
      </c>
      <c r="E1217" s="111" t="s">
        <v>1470</v>
      </c>
      <c r="F1217" s="153">
        <v>-123.25</v>
      </c>
      <c r="G1217" s="135">
        <v>46064</v>
      </c>
      <c r="H1217" s="133" t="s">
        <v>66</v>
      </c>
      <c r="I1217" s="133" t="s">
        <v>119</v>
      </c>
      <c r="K1217" s="135">
        <v>46072</v>
      </c>
    </row>
    <row r="1218" spans="1:13" x14ac:dyDescent="0.35">
      <c r="A1218" s="109">
        <v>46034</v>
      </c>
      <c r="B1218" s="111" t="s">
        <v>65</v>
      </c>
      <c r="C1218" s="111" t="s">
        <v>52</v>
      </c>
      <c r="E1218" s="111" t="s">
        <v>1471</v>
      </c>
      <c r="F1218" s="153">
        <v>-60.26</v>
      </c>
      <c r="G1218" s="135">
        <v>46064</v>
      </c>
      <c r="H1218" s="133" t="s">
        <v>66</v>
      </c>
      <c r="I1218" s="133" t="s">
        <v>170</v>
      </c>
      <c r="K1218" s="135">
        <v>46072</v>
      </c>
    </row>
    <row r="1219" spans="1:13" x14ac:dyDescent="0.35">
      <c r="A1219" s="109">
        <v>46093</v>
      </c>
      <c r="B1219" s="111" t="s">
        <v>65</v>
      </c>
      <c r="C1219" s="111" t="s">
        <v>496</v>
      </c>
      <c r="E1219" s="111" t="s">
        <v>1472</v>
      </c>
      <c r="F1219" s="153">
        <v>-327.97</v>
      </c>
      <c r="G1219" s="135">
        <v>46108</v>
      </c>
      <c r="H1219" s="133" t="s">
        <v>59</v>
      </c>
      <c r="I1219" s="133" t="s">
        <v>145</v>
      </c>
    </row>
    <row r="1220" spans="1:13" x14ac:dyDescent="0.35">
      <c r="C1220" s="111" t="s">
        <v>1473</v>
      </c>
      <c r="F1220" s="153"/>
      <c r="G1220" s="135"/>
      <c r="K1220" s="135"/>
      <c r="M1220" s="111"/>
    </row>
    <row r="1221" spans="1:13" x14ac:dyDescent="0.35">
      <c r="A1221" s="109">
        <v>45746</v>
      </c>
      <c r="B1221" s="111" t="s">
        <v>65</v>
      </c>
      <c r="C1221" s="111" t="s">
        <v>95</v>
      </c>
      <c r="E1221" s="111" t="s">
        <v>1474</v>
      </c>
      <c r="F1221" s="153">
        <v>-246</v>
      </c>
      <c r="G1221" s="135"/>
      <c r="H1221" s="133" t="s">
        <v>66</v>
      </c>
      <c r="I1221" s="133" t="s">
        <v>119</v>
      </c>
      <c r="K1221" s="135">
        <v>45756</v>
      </c>
      <c r="L1221" s="153">
        <f>F1221</f>
        <v>-246</v>
      </c>
      <c r="M1221" s="121" t="s">
        <v>1475</v>
      </c>
    </row>
    <row r="1222" spans="1:13" x14ac:dyDescent="0.35">
      <c r="A1222" s="109">
        <v>45168</v>
      </c>
      <c r="B1222" s="111" t="s">
        <v>65</v>
      </c>
      <c r="C1222" s="111" t="s">
        <v>31</v>
      </c>
      <c r="E1222" s="111" t="s">
        <v>1476</v>
      </c>
      <c r="F1222" s="131">
        <v>-184.5</v>
      </c>
      <c r="G1222" s="135"/>
      <c r="H1222" s="133" t="s">
        <v>66</v>
      </c>
      <c r="K1222" s="135"/>
      <c r="L1222" s="153">
        <f>F1222</f>
        <v>-184.5</v>
      </c>
      <c r="M1222" s="111" t="s">
        <v>1477</v>
      </c>
    </row>
    <row r="1223" spans="1:13" x14ac:dyDescent="0.35">
      <c r="A1223" s="109">
        <v>45199</v>
      </c>
      <c r="B1223" s="111" t="s">
        <v>65</v>
      </c>
      <c r="C1223" s="111" t="s">
        <v>31</v>
      </c>
      <c r="E1223" s="111" t="s">
        <v>1478</v>
      </c>
      <c r="F1223" s="131">
        <v>-184.5</v>
      </c>
      <c r="G1223" s="135"/>
      <c r="H1223" s="133" t="s">
        <v>66</v>
      </c>
      <c r="K1223" s="135"/>
      <c r="L1223" s="153">
        <f>F1223</f>
        <v>-184.5</v>
      </c>
      <c r="M1223" s="111" t="s">
        <v>1477</v>
      </c>
    </row>
    <row r="1224" spans="1:13" x14ac:dyDescent="0.35">
      <c r="A1224" s="109">
        <v>45229</v>
      </c>
      <c r="B1224" s="111" t="s">
        <v>65</v>
      </c>
      <c r="C1224" s="111" t="s">
        <v>31</v>
      </c>
      <c r="E1224" s="111" t="s">
        <v>1479</v>
      </c>
      <c r="F1224" s="131">
        <v>-184.5</v>
      </c>
      <c r="G1224" s="135"/>
      <c r="H1224" s="133" t="s">
        <v>66</v>
      </c>
      <c r="K1224" s="135"/>
      <c r="L1224" s="153">
        <f>F1224</f>
        <v>-184.5</v>
      </c>
      <c r="M1224" s="111" t="s">
        <v>1477</v>
      </c>
    </row>
    <row r="1225" spans="1:13" x14ac:dyDescent="0.35">
      <c r="A1225" s="109">
        <v>45260</v>
      </c>
      <c r="B1225" s="111" t="s">
        <v>65</v>
      </c>
      <c r="C1225" s="111" t="s">
        <v>31</v>
      </c>
      <c r="E1225" s="111" t="s">
        <v>1480</v>
      </c>
      <c r="F1225" s="131">
        <v>-184.5</v>
      </c>
      <c r="G1225" s="135"/>
      <c r="H1225" s="133" t="s">
        <v>66</v>
      </c>
      <c r="K1225" s="135"/>
      <c r="L1225" s="153">
        <f>F1225</f>
        <v>-184.5</v>
      </c>
      <c r="M1225" s="111" t="s">
        <v>1477</v>
      </c>
    </row>
    <row r="1226" spans="1:13" x14ac:dyDescent="0.35">
      <c r="A1226" s="109">
        <v>45679</v>
      </c>
      <c r="B1226" s="121" t="s">
        <v>57</v>
      </c>
      <c r="C1226" s="121" t="s">
        <v>1414</v>
      </c>
      <c r="F1226" s="167">
        <v>100.89</v>
      </c>
      <c r="G1226" s="135">
        <v>45679</v>
      </c>
      <c r="I1226" s="133" t="s">
        <v>1338</v>
      </c>
      <c r="K1226" s="135">
        <v>45679</v>
      </c>
      <c r="L1226" s="153">
        <v>328.68199999999996</v>
      </c>
      <c r="M1226" s="111"/>
    </row>
    <row r="1227" spans="1:13" x14ac:dyDescent="0.35">
      <c r="A1227" s="109">
        <v>45290</v>
      </c>
      <c r="B1227" s="111" t="s">
        <v>65</v>
      </c>
      <c r="C1227" s="111" t="s">
        <v>31</v>
      </c>
      <c r="E1227" s="111" t="s">
        <v>1481</v>
      </c>
      <c r="F1227" s="131">
        <v>-184.5</v>
      </c>
      <c r="G1227" s="135"/>
      <c r="H1227" s="133" t="s">
        <v>66</v>
      </c>
      <c r="K1227" s="135"/>
      <c r="L1227" s="153">
        <f t="shared" ref="L1227:L1232" si="52">F1227</f>
        <v>-184.5</v>
      </c>
      <c r="M1227" s="111" t="s">
        <v>1482</v>
      </c>
    </row>
    <row r="1228" spans="1:13" x14ac:dyDescent="0.35">
      <c r="A1228" s="109">
        <v>45321</v>
      </c>
      <c r="B1228" s="111" t="s">
        <v>65</v>
      </c>
      <c r="C1228" s="111" t="s">
        <v>31</v>
      </c>
      <c r="E1228" s="111" t="s">
        <v>1483</v>
      </c>
      <c r="F1228" s="131">
        <v>-246</v>
      </c>
      <c r="G1228" s="135"/>
      <c r="H1228" s="133" t="s">
        <v>66</v>
      </c>
      <c r="K1228" s="135"/>
      <c r="L1228" s="153">
        <f t="shared" si="52"/>
        <v>-246</v>
      </c>
      <c r="M1228" s="111" t="s">
        <v>1477</v>
      </c>
    </row>
    <row r="1229" spans="1:13" x14ac:dyDescent="0.35">
      <c r="A1229" s="109">
        <v>45381</v>
      </c>
      <c r="B1229" s="111" t="s">
        <v>65</v>
      </c>
      <c r="C1229" s="111" t="s">
        <v>31</v>
      </c>
      <c r="E1229" s="111" t="s">
        <v>1484</v>
      </c>
      <c r="F1229" s="131">
        <v>-246</v>
      </c>
      <c r="G1229" s="135"/>
      <c r="H1229" s="133" t="s">
        <v>66</v>
      </c>
      <c r="K1229" s="135"/>
      <c r="L1229" s="153">
        <f t="shared" si="52"/>
        <v>-246</v>
      </c>
      <c r="M1229" s="111" t="s">
        <v>1485</v>
      </c>
    </row>
    <row r="1230" spans="1:13" x14ac:dyDescent="0.35">
      <c r="A1230" s="109">
        <v>45412</v>
      </c>
      <c r="B1230" s="111" t="s">
        <v>65</v>
      </c>
      <c r="C1230" s="111" t="s">
        <v>31</v>
      </c>
      <c r="E1230" s="111" t="s">
        <v>1486</v>
      </c>
      <c r="F1230" s="131">
        <v>-246</v>
      </c>
      <c r="G1230" s="135"/>
      <c r="H1230" s="133" t="s">
        <v>66</v>
      </c>
      <c r="K1230" s="135"/>
      <c r="L1230" s="153">
        <f t="shared" si="52"/>
        <v>-246</v>
      </c>
      <c r="M1230" s="111" t="s">
        <v>1477</v>
      </c>
    </row>
    <row r="1231" spans="1:13" x14ac:dyDescent="0.35">
      <c r="A1231" s="109">
        <v>45442</v>
      </c>
      <c r="B1231" s="111" t="s">
        <v>65</v>
      </c>
      <c r="C1231" s="111" t="s">
        <v>31</v>
      </c>
      <c r="E1231" s="111" t="s">
        <v>881</v>
      </c>
      <c r="F1231" s="131">
        <v>-246</v>
      </c>
      <c r="G1231" s="135"/>
      <c r="H1231" s="133" t="s">
        <v>66</v>
      </c>
      <c r="J1231" s="111">
        <v>45450</v>
      </c>
      <c r="K1231" s="135"/>
      <c r="L1231" s="153">
        <f t="shared" si="52"/>
        <v>-246</v>
      </c>
      <c r="M1231" s="111" t="s">
        <v>1477</v>
      </c>
    </row>
    <row r="1232" spans="1:13" x14ac:dyDescent="0.35">
      <c r="A1232" s="109">
        <v>45503</v>
      </c>
      <c r="B1232" s="111" t="s">
        <v>65</v>
      </c>
      <c r="C1232" s="111" t="s">
        <v>31</v>
      </c>
      <c r="E1232" s="111" t="s">
        <v>1487</v>
      </c>
      <c r="F1232" s="131">
        <v>-246</v>
      </c>
      <c r="G1232" s="135"/>
      <c r="H1232" s="133" t="s">
        <v>66</v>
      </c>
      <c r="K1232" s="135">
        <v>45330</v>
      </c>
      <c r="L1232" s="153">
        <f t="shared" si="52"/>
        <v>-246</v>
      </c>
      <c r="M1232" s="111" t="s">
        <v>1477</v>
      </c>
    </row>
    <row r="1233" spans="1:13" x14ac:dyDescent="0.35">
      <c r="A1233" s="109">
        <v>45680</v>
      </c>
      <c r="B1233" s="121" t="s">
        <v>57</v>
      </c>
      <c r="C1233" s="121" t="s">
        <v>1414</v>
      </c>
      <c r="F1233" s="167">
        <v>294.54000000000002</v>
      </c>
      <c r="G1233" s="135">
        <v>45680</v>
      </c>
      <c r="I1233" s="133" t="s">
        <v>1338</v>
      </c>
      <c r="K1233" s="135">
        <v>45680</v>
      </c>
      <c r="L1233" s="153">
        <v>248.74999999999997</v>
      </c>
      <c r="M1233" s="111"/>
    </row>
    <row r="1234" spans="1:13" x14ac:dyDescent="0.35">
      <c r="A1234" s="109">
        <v>45681</v>
      </c>
      <c r="B1234" s="121" t="s">
        <v>57</v>
      </c>
      <c r="C1234" s="121" t="s">
        <v>1414</v>
      </c>
      <c r="F1234" s="167">
        <v>240.33</v>
      </c>
      <c r="G1234" s="135">
        <v>45681</v>
      </c>
      <c r="I1234" s="133" t="s">
        <v>1338</v>
      </c>
      <c r="K1234" s="135">
        <v>45681</v>
      </c>
      <c r="L1234" s="153">
        <v>560.62</v>
      </c>
      <c r="M1234" s="111"/>
    </row>
    <row r="1235" spans="1:13" x14ac:dyDescent="0.35">
      <c r="A1235" s="109">
        <v>45682</v>
      </c>
      <c r="B1235" s="121" t="s">
        <v>57</v>
      </c>
      <c r="C1235" s="121" t="s">
        <v>1414</v>
      </c>
      <c r="F1235" s="167">
        <v>1094.2170000000001</v>
      </c>
      <c r="G1235" s="135">
        <v>45682</v>
      </c>
      <c r="I1235" s="133" t="s">
        <v>1338</v>
      </c>
      <c r="K1235" s="135">
        <v>45682</v>
      </c>
      <c r="L1235" s="153">
        <v>1123.3175000000001</v>
      </c>
      <c r="M1235" s="111"/>
    </row>
    <row r="1236" spans="1:13" x14ac:dyDescent="0.35">
      <c r="A1236" s="109">
        <v>45683</v>
      </c>
      <c r="B1236" s="121" t="s">
        <v>57</v>
      </c>
      <c r="C1236" s="121" t="s">
        <v>1414</v>
      </c>
      <c r="F1236" s="167">
        <v>128.09</v>
      </c>
      <c r="G1236" s="135">
        <v>45683</v>
      </c>
      <c r="I1236" s="133" t="s">
        <v>1338</v>
      </c>
      <c r="K1236" s="135">
        <v>45683</v>
      </c>
      <c r="L1236" s="153">
        <v>992.01750000000004</v>
      </c>
      <c r="M1236" s="111"/>
    </row>
    <row r="1237" spans="1:13" x14ac:dyDescent="0.35">
      <c r="A1237" s="109">
        <v>45684</v>
      </c>
      <c r="B1237" s="121" t="s">
        <v>57</v>
      </c>
      <c r="C1237" s="121" t="s">
        <v>1414</v>
      </c>
      <c r="F1237" s="167">
        <v>101.77</v>
      </c>
      <c r="G1237" s="135">
        <v>45684</v>
      </c>
      <c r="I1237" s="133" t="s">
        <v>1338</v>
      </c>
      <c r="K1237" s="135">
        <v>45684</v>
      </c>
      <c r="L1237" s="153">
        <v>155.76249999999999</v>
      </c>
      <c r="M1237" s="111"/>
    </row>
    <row r="1238" spans="1:13" x14ac:dyDescent="0.35">
      <c r="A1238" s="109">
        <v>45565</v>
      </c>
      <c r="B1238" s="111" t="s">
        <v>65</v>
      </c>
      <c r="C1238" s="111" t="s">
        <v>31</v>
      </c>
      <c r="E1238" s="111" t="s">
        <v>1488</v>
      </c>
      <c r="F1238" s="131">
        <v>-246</v>
      </c>
      <c r="G1238" s="135"/>
      <c r="H1238" s="133" t="s">
        <v>66</v>
      </c>
      <c r="I1238" s="133" t="s">
        <v>119</v>
      </c>
      <c r="K1238" s="135"/>
      <c r="L1238" s="153">
        <f>F1238</f>
        <v>-246</v>
      </c>
      <c r="M1238" s="111" t="s">
        <v>1477</v>
      </c>
    </row>
    <row r="1239" spans="1:13" x14ac:dyDescent="0.35">
      <c r="A1239" s="109">
        <v>45930</v>
      </c>
      <c r="B1239" s="121" t="s">
        <v>65</v>
      </c>
      <c r="C1239" s="199" t="s">
        <v>78</v>
      </c>
      <c r="E1239" s="121" t="s">
        <v>1489</v>
      </c>
      <c r="F1239" s="153">
        <v>-6637.03</v>
      </c>
      <c r="G1239" s="135">
        <f>A1239+30</f>
        <v>45960</v>
      </c>
      <c r="H1239" s="134" t="s">
        <v>1354</v>
      </c>
      <c r="I1239" s="134" t="s">
        <v>145</v>
      </c>
      <c r="K1239" s="135">
        <v>46139</v>
      </c>
    </row>
    <row r="1240" spans="1:13" x14ac:dyDescent="0.35">
      <c r="A1240" s="109">
        <v>45595</v>
      </c>
      <c r="B1240" s="111" t="s">
        <v>65</v>
      </c>
      <c r="C1240" s="111" t="s">
        <v>31</v>
      </c>
      <c r="E1240" s="111" t="s">
        <v>1490</v>
      </c>
      <c r="F1240" s="131">
        <v>-246</v>
      </c>
      <c r="G1240" s="135"/>
      <c r="H1240" s="133" t="s">
        <v>66</v>
      </c>
      <c r="I1240" s="133" t="s">
        <v>119</v>
      </c>
      <c r="K1240" s="135">
        <v>45423</v>
      </c>
      <c r="L1240" s="153">
        <f>F1240</f>
        <v>-246</v>
      </c>
      <c r="M1240" s="111" t="s">
        <v>1477</v>
      </c>
    </row>
    <row r="1241" spans="1:13" x14ac:dyDescent="0.35">
      <c r="A1241" s="109">
        <v>45639</v>
      </c>
      <c r="B1241" s="111" t="s">
        <v>65</v>
      </c>
      <c r="C1241" s="111" t="s">
        <v>31</v>
      </c>
      <c r="E1241" s="111" t="s">
        <v>1491</v>
      </c>
      <c r="F1241" s="131">
        <v>-246</v>
      </c>
      <c r="G1241" s="135">
        <v>45639</v>
      </c>
      <c r="H1241" s="133" t="s">
        <v>66</v>
      </c>
      <c r="I1241" s="133" t="s">
        <v>119</v>
      </c>
      <c r="K1241" s="135">
        <v>45901</v>
      </c>
      <c r="L1241" s="153">
        <f>F1241</f>
        <v>-246</v>
      </c>
      <c r="M1241" s="111"/>
    </row>
    <row r="1242" spans="1:13" x14ac:dyDescent="0.35">
      <c r="A1242" s="109">
        <v>45656</v>
      </c>
      <c r="B1242" s="121" t="s">
        <v>65</v>
      </c>
      <c r="C1242" s="111" t="s">
        <v>31</v>
      </c>
      <c r="E1242" s="121" t="s">
        <v>1492</v>
      </c>
      <c r="F1242" s="150">
        <v>-246</v>
      </c>
      <c r="G1242" s="135">
        <v>45663</v>
      </c>
      <c r="H1242" s="133" t="s">
        <v>66</v>
      </c>
      <c r="I1242" s="134" t="s">
        <v>119</v>
      </c>
      <c r="K1242" s="135">
        <v>45695</v>
      </c>
      <c r="L1242" s="153">
        <v>-246</v>
      </c>
      <c r="M1242" s="111"/>
    </row>
    <row r="1243" spans="1:13" x14ac:dyDescent="0.35">
      <c r="A1243" s="109">
        <v>45687</v>
      </c>
      <c r="B1243" s="111" t="s">
        <v>65</v>
      </c>
      <c r="C1243" s="111" t="s">
        <v>31</v>
      </c>
      <c r="E1243" s="111" t="s">
        <v>1493</v>
      </c>
      <c r="F1243" s="149">
        <v>-246</v>
      </c>
      <c r="G1243" s="135">
        <v>45694</v>
      </c>
      <c r="H1243" s="133" t="s">
        <v>66</v>
      </c>
      <c r="I1243" s="133" t="s">
        <v>119</v>
      </c>
      <c r="K1243" s="135">
        <v>45695</v>
      </c>
      <c r="L1243" s="153">
        <f>F1243</f>
        <v>-246</v>
      </c>
      <c r="M1243" s="111"/>
    </row>
    <row r="1244" spans="1:13" x14ac:dyDescent="0.35">
      <c r="A1244" s="109">
        <v>45716</v>
      </c>
      <c r="B1244" s="121" t="s">
        <v>65</v>
      </c>
      <c r="C1244" s="121" t="s">
        <v>31</v>
      </c>
      <c r="E1244" s="121" t="s">
        <v>1494</v>
      </c>
      <c r="F1244" s="153">
        <v>-246</v>
      </c>
      <c r="G1244" s="109">
        <v>45716</v>
      </c>
      <c r="H1244" s="134" t="s">
        <v>66</v>
      </c>
      <c r="I1244" s="133" t="s">
        <v>119</v>
      </c>
      <c r="K1244" s="135">
        <v>45723</v>
      </c>
      <c r="L1244" s="153">
        <f>F1244</f>
        <v>-246</v>
      </c>
      <c r="M1244" s="111" t="s">
        <v>1495</v>
      </c>
    </row>
    <row r="1245" spans="1:13" x14ac:dyDescent="0.35">
      <c r="A1245" s="109">
        <v>45777</v>
      </c>
      <c r="B1245" s="121" t="s">
        <v>65</v>
      </c>
      <c r="C1245" s="111" t="s">
        <v>31</v>
      </c>
      <c r="E1245" s="121" t="s">
        <v>1496</v>
      </c>
      <c r="F1245" s="139">
        <v>-246</v>
      </c>
      <c r="G1245" s="135">
        <v>45753</v>
      </c>
      <c r="H1245" s="133" t="s">
        <v>66</v>
      </c>
      <c r="I1245" s="134" t="s">
        <v>119</v>
      </c>
      <c r="K1245" s="135">
        <v>45789</v>
      </c>
      <c r="L1245" s="153">
        <f>F1245</f>
        <v>-246</v>
      </c>
      <c r="M1245" s="121" t="s">
        <v>1497</v>
      </c>
    </row>
    <row r="1246" spans="1:13" x14ac:dyDescent="0.35">
      <c r="A1246" s="109">
        <v>45759</v>
      </c>
      <c r="B1246" s="111" t="s">
        <v>65</v>
      </c>
      <c r="C1246" s="121" t="s">
        <v>31</v>
      </c>
      <c r="E1246" s="121" t="s">
        <v>1498</v>
      </c>
      <c r="F1246" s="153">
        <v>-123</v>
      </c>
      <c r="G1246" s="135"/>
      <c r="H1246" s="133" t="s">
        <v>66</v>
      </c>
      <c r="I1246" s="133" t="s">
        <v>119</v>
      </c>
      <c r="K1246" s="135">
        <v>45789</v>
      </c>
      <c r="L1246" s="153">
        <f>F1246</f>
        <v>-123</v>
      </c>
      <c r="M1246" s="121" t="s">
        <v>1499</v>
      </c>
    </row>
    <row r="1247" spans="1:13" x14ac:dyDescent="0.35">
      <c r="A1247" s="109">
        <v>45807</v>
      </c>
      <c r="B1247" s="111" t="s">
        <v>65</v>
      </c>
      <c r="C1247" s="111" t="s">
        <v>31</v>
      </c>
      <c r="E1247" s="111" t="s">
        <v>1500</v>
      </c>
      <c r="F1247" s="153">
        <v>-246</v>
      </c>
      <c r="H1247" s="133" t="s">
        <v>66</v>
      </c>
      <c r="I1247" s="133" t="s">
        <v>119</v>
      </c>
      <c r="K1247" s="135">
        <v>45814</v>
      </c>
      <c r="L1247" s="153">
        <f>F1247</f>
        <v>-246</v>
      </c>
      <c r="M1247" s="111"/>
    </row>
    <row r="1248" spans="1:13" x14ac:dyDescent="0.35">
      <c r="A1248" s="109">
        <v>45838</v>
      </c>
      <c r="B1248" s="111" t="s">
        <v>65</v>
      </c>
      <c r="C1248" s="121" t="s">
        <v>31</v>
      </c>
      <c r="E1248" s="121" t="s">
        <v>1501</v>
      </c>
      <c r="F1248" s="153">
        <v>-246</v>
      </c>
      <c r="H1248" s="133" t="s">
        <v>66</v>
      </c>
      <c r="I1248" s="133" t="s">
        <v>119</v>
      </c>
      <c r="K1248" s="135">
        <v>45846</v>
      </c>
      <c r="M1248" s="111"/>
    </row>
    <row r="1249" spans="1:15" x14ac:dyDescent="0.35">
      <c r="A1249" s="109">
        <v>45868</v>
      </c>
      <c r="B1249" s="111" t="s">
        <v>65</v>
      </c>
      <c r="C1249" s="121" t="s">
        <v>31</v>
      </c>
      <c r="E1249" s="121" t="s">
        <v>1502</v>
      </c>
      <c r="F1249" s="153">
        <v>-246</v>
      </c>
      <c r="H1249" s="134" t="s">
        <v>66</v>
      </c>
      <c r="I1249" s="133" t="s">
        <v>119</v>
      </c>
      <c r="K1249" s="135">
        <v>45873</v>
      </c>
    </row>
    <row r="1250" spans="1:15" x14ac:dyDescent="0.35">
      <c r="A1250" s="109">
        <v>45899</v>
      </c>
      <c r="B1250" s="111" t="s">
        <v>65</v>
      </c>
      <c r="C1250" s="111" t="s">
        <v>31</v>
      </c>
      <c r="E1250" s="111" t="s">
        <v>1503</v>
      </c>
      <c r="F1250" s="153">
        <v>-399.75</v>
      </c>
      <c r="H1250" s="133" t="s">
        <v>66</v>
      </c>
      <c r="I1250" s="133" t="s">
        <v>119</v>
      </c>
      <c r="K1250" s="135">
        <v>45903</v>
      </c>
    </row>
    <row r="1251" spans="1:15" customFormat="1" x14ac:dyDescent="0.35">
      <c r="A1251" s="109">
        <v>45894</v>
      </c>
      <c r="B1251" s="111" t="s">
        <v>65</v>
      </c>
      <c r="C1251" s="111" t="s">
        <v>31</v>
      </c>
      <c r="D1251" s="111"/>
      <c r="E1251" s="111" t="s">
        <v>181</v>
      </c>
      <c r="F1251" s="153">
        <v>-615</v>
      </c>
      <c r="G1251" s="133"/>
      <c r="H1251" s="133" t="s">
        <v>66</v>
      </c>
      <c r="I1251" s="133" t="s">
        <v>119</v>
      </c>
      <c r="J1251" s="111"/>
      <c r="K1251" s="135">
        <v>45903</v>
      </c>
      <c r="L1251" s="111"/>
      <c r="M1251" s="196"/>
    </row>
    <row r="1252" spans="1:15" x14ac:dyDescent="0.35">
      <c r="A1252" s="109">
        <v>45685</v>
      </c>
      <c r="B1252" s="121" t="s">
        <v>57</v>
      </c>
      <c r="C1252" s="121" t="s">
        <v>1414</v>
      </c>
      <c r="F1252" s="167">
        <v>135.30000000000001</v>
      </c>
      <c r="G1252" s="135">
        <v>45685</v>
      </c>
      <c r="I1252" s="133" t="s">
        <v>1338</v>
      </c>
      <c r="K1252" s="135">
        <v>45685</v>
      </c>
      <c r="L1252" s="153">
        <v>258.35599999999999</v>
      </c>
      <c r="M1252" s="111"/>
    </row>
    <row r="1253" spans="1:15" x14ac:dyDescent="0.35">
      <c r="A1253" s="109">
        <v>45686</v>
      </c>
      <c r="B1253" s="121" t="s">
        <v>57</v>
      </c>
      <c r="C1253" s="121" t="s">
        <v>1414</v>
      </c>
      <c r="F1253" s="167"/>
      <c r="G1253" s="135">
        <v>45686</v>
      </c>
      <c r="I1253" s="133" t="s">
        <v>1338</v>
      </c>
      <c r="K1253" s="135">
        <v>45686</v>
      </c>
      <c r="L1253" s="153">
        <v>328.68199999999996</v>
      </c>
      <c r="M1253" s="111"/>
    </row>
    <row r="1254" spans="1:15" x14ac:dyDescent="0.35">
      <c r="A1254" s="109">
        <v>45687</v>
      </c>
      <c r="B1254" s="121" t="s">
        <v>57</v>
      </c>
      <c r="C1254" s="121" t="s">
        <v>1414</v>
      </c>
      <c r="F1254" s="167"/>
      <c r="G1254" s="135">
        <v>45687</v>
      </c>
      <c r="I1254" s="133" t="s">
        <v>1338</v>
      </c>
      <c r="K1254" s="135">
        <v>45687</v>
      </c>
      <c r="L1254" s="153">
        <v>248.74999999999997</v>
      </c>
      <c r="M1254" s="111"/>
    </row>
    <row r="1255" spans="1:15" x14ac:dyDescent="0.35">
      <c r="A1255" s="109">
        <v>45688</v>
      </c>
      <c r="B1255" s="121" t="s">
        <v>57</v>
      </c>
      <c r="C1255" s="121" t="s">
        <v>1414</v>
      </c>
      <c r="F1255" s="167"/>
      <c r="G1255" s="135">
        <v>45688</v>
      </c>
      <c r="I1255" s="133" t="s">
        <v>1338</v>
      </c>
      <c r="K1255" s="135">
        <v>45688</v>
      </c>
      <c r="L1255" s="153">
        <v>560.62</v>
      </c>
      <c r="M1255" s="111"/>
    </row>
    <row r="1256" spans="1:15" x14ac:dyDescent="0.35">
      <c r="A1256" s="109">
        <v>45653</v>
      </c>
      <c r="B1256" s="121" t="s">
        <v>57</v>
      </c>
      <c r="C1256" s="111" t="s">
        <v>20</v>
      </c>
      <c r="D1256" s="111" t="s">
        <v>1200</v>
      </c>
      <c r="E1256" s="111" t="s">
        <v>1504</v>
      </c>
      <c r="F1256" s="149">
        <v>26.4</v>
      </c>
      <c r="G1256" s="135">
        <f>IF(OR(C1256="Matosinhos",C1256="Bolhão"),A1256,A1256+30)</f>
        <v>45683</v>
      </c>
      <c r="H1256" s="133" t="s">
        <v>66</v>
      </c>
      <c r="I1256" s="133" t="s">
        <v>135</v>
      </c>
      <c r="K1256" s="135">
        <v>45664</v>
      </c>
      <c r="L1256" s="153">
        <f>F1256</f>
        <v>26.4</v>
      </c>
      <c r="M1256" s="111">
        <v>517897849</v>
      </c>
      <c r="N1256" s="76"/>
      <c r="O1256"/>
    </row>
    <row r="1257" spans="1:15" x14ac:dyDescent="0.35">
      <c r="A1257" s="109">
        <v>45930</v>
      </c>
      <c r="B1257" s="111" t="s">
        <v>65</v>
      </c>
      <c r="C1257" s="111" t="s">
        <v>31</v>
      </c>
      <c r="E1257" s="111" t="s">
        <v>1505</v>
      </c>
      <c r="F1257" s="153">
        <v>-399.75</v>
      </c>
      <c r="G1257" s="135">
        <f>A1257+30</f>
        <v>45960</v>
      </c>
      <c r="H1257" s="134" t="s">
        <v>66</v>
      </c>
      <c r="I1257" s="134" t="s">
        <v>633</v>
      </c>
      <c r="K1257" s="135">
        <v>45943</v>
      </c>
    </row>
    <row r="1258" spans="1:15" x14ac:dyDescent="0.35">
      <c r="A1258" s="109">
        <v>45960</v>
      </c>
      <c r="B1258" s="111" t="s">
        <v>65</v>
      </c>
      <c r="C1258" s="111" t="s">
        <v>31</v>
      </c>
      <c r="E1258" s="111" t="s">
        <v>1506</v>
      </c>
      <c r="F1258" s="153">
        <v>-399.75</v>
      </c>
      <c r="H1258" s="133" t="s">
        <v>66</v>
      </c>
      <c r="I1258" s="133" t="s">
        <v>829</v>
      </c>
      <c r="K1258" s="135">
        <v>45967</v>
      </c>
    </row>
    <row r="1259" spans="1:15" x14ac:dyDescent="0.35">
      <c r="A1259" s="109">
        <v>45991</v>
      </c>
      <c r="B1259" s="111" t="s">
        <v>65</v>
      </c>
      <c r="C1259" s="121" t="s">
        <v>31</v>
      </c>
      <c r="E1259" s="121" t="s">
        <v>1507</v>
      </c>
      <c r="F1259" s="153">
        <v>-399.75</v>
      </c>
      <c r="H1259" s="133" t="s">
        <v>66</v>
      </c>
      <c r="I1259" s="134" t="s">
        <v>829</v>
      </c>
      <c r="K1259" s="160">
        <v>46000</v>
      </c>
    </row>
    <row r="1260" spans="1:15" x14ac:dyDescent="0.35">
      <c r="A1260" s="109">
        <v>46017</v>
      </c>
      <c r="B1260" s="111" t="s">
        <v>65</v>
      </c>
      <c r="C1260" s="121" t="s">
        <v>31</v>
      </c>
      <c r="E1260" s="2" t="s">
        <v>1508</v>
      </c>
      <c r="F1260" s="153">
        <v>-399.75</v>
      </c>
      <c r="G1260" s="135">
        <f>A1260+30</f>
        <v>46047</v>
      </c>
      <c r="H1260" s="134" t="s">
        <v>66</v>
      </c>
      <c r="I1260" s="133" t="s">
        <v>769</v>
      </c>
      <c r="K1260" s="160">
        <v>46055</v>
      </c>
    </row>
    <row r="1261" spans="1:15" x14ac:dyDescent="0.35">
      <c r="A1261" s="109">
        <v>45910</v>
      </c>
      <c r="B1261" s="121" t="s">
        <v>57</v>
      </c>
      <c r="C1261" s="111" t="s">
        <v>20</v>
      </c>
      <c r="D1261" s="121" t="s">
        <v>1200</v>
      </c>
      <c r="E1261" s="121" t="s">
        <v>1509</v>
      </c>
      <c r="F1261" s="153">
        <v>32.22</v>
      </c>
      <c r="G1261" s="135">
        <f>A1261+30</f>
        <v>45940</v>
      </c>
      <c r="H1261" s="133" t="s">
        <v>66</v>
      </c>
      <c r="I1261" s="133" t="s">
        <v>135</v>
      </c>
      <c r="K1261" s="135">
        <v>45916</v>
      </c>
    </row>
    <row r="1262" spans="1:15" x14ac:dyDescent="0.35">
      <c r="A1262" s="109">
        <v>45699</v>
      </c>
      <c r="B1262" s="111" t="s">
        <v>57</v>
      </c>
      <c r="C1262" s="111" t="s">
        <v>40</v>
      </c>
      <c r="D1262" s="111" t="s">
        <v>1510</v>
      </c>
      <c r="E1262" s="111" t="s">
        <v>1511</v>
      </c>
      <c r="F1262" s="153">
        <v>54</v>
      </c>
      <c r="G1262" s="135">
        <v>45727</v>
      </c>
      <c r="H1262" s="134" t="s">
        <v>66</v>
      </c>
      <c r="I1262" s="133" t="s">
        <v>135</v>
      </c>
      <c r="J1262" s="135"/>
      <c r="K1262" s="135">
        <v>45747</v>
      </c>
      <c r="L1262" s="153">
        <f>F1262</f>
        <v>54</v>
      </c>
      <c r="M1262" s="111">
        <v>514083050</v>
      </c>
    </row>
    <row r="1263" spans="1:15" x14ac:dyDescent="0.35">
      <c r="A1263" s="109">
        <v>45156</v>
      </c>
      <c r="B1263" s="111" t="s">
        <v>65</v>
      </c>
      <c r="C1263" s="111" t="s">
        <v>1512</v>
      </c>
      <c r="E1263" s="111" t="s">
        <v>1513</v>
      </c>
      <c r="F1263" s="131">
        <v>-93.51</v>
      </c>
      <c r="G1263" s="135"/>
      <c r="H1263" s="133" t="s">
        <v>66</v>
      </c>
      <c r="K1263" s="135"/>
      <c r="L1263" s="153">
        <f>F1263</f>
        <v>-93.51</v>
      </c>
      <c r="M1263" s="111" t="s">
        <v>120</v>
      </c>
    </row>
    <row r="1264" spans="1:15" x14ac:dyDescent="0.35">
      <c r="A1264" s="109">
        <v>45421</v>
      </c>
      <c r="B1264" s="111" t="s">
        <v>65</v>
      </c>
      <c r="C1264" s="111" t="s">
        <v>1512</v>
      </c>
      <c r="E1264" s="111" t="s">
        <v>1514</v>
      </c>
      <c r="F1264" s="131">
        <v>-127.55</v>
      </c>
      <c r="G1264" s="135"/>
      <c r="H1264" s="133" t="s">
        <v>66</v>
      </c>
      <c r="J1264" s="111">
        <v>45434</v>
      </c>
      <c r="K1264" s="135"/>
      <c r="L1264" s="153">
        <f>F1264</f>
        <v>-127.55</v>
      </c>
      <c r="M1264" s="111" t="s">
        <v>123</v>
      </c>
    </row>
    <row r="1265" spans="1:13" x14ac:dyDescent="0.35">
      <c r="A1265" s="109">
        <v>46005</v>
      </c>
      <c r="B1265" s="121" t="s">
        <v>57</v>
      </c>
      <c r="C1265" s="111" t="s">
        <v>1156</v>
      </c>
      <c r="D1265" s="111" t="s">
        <v>1153</v>
      </c>
      <c r="E1265" s="121" t="s">
        <v>1515</v>
      </c>
      <c r="F1265" s="153">
        <v>38.79</v>
      </c>
      <c r="G1265" s="135">
        <f>A1265+30</f>
        <v>46035</v>
      </c>
      <c r="H1265" s="134" t="s">
        <v>66</v>
      </c>
      <c r="I1265" s="133" t="s">
        <v>135</v>
      </c>
      <c r="K1265" s="160">
        <v>46008</v>
      </c>
    </row>
    <row r="1266" spans="1:13" x14ac:dyDescent="0.35">
      <c r="A1266" s="109">
        <v>45549</v>
      </c>
      <c r="B1266" s="121" t="s">
        <v>57</v>
      </c>
      <c r="C1266" s="140" t="s">
        <v>1516</v>
      </c>
      <c r="D1266" s="140" t="s">
        <v>1517</v>
      </c>
      <c r="E1266" s="111" t="s">
        <v>1518</v>
      </c>
      <c r="F1266" s="149">
        <v>473.14</v>
      </c>
      <c r="G1266" s="135">
        <f>A1266+30</f>
        <v>45579</v>
      </c>
      <c r="H1266" s="133" t="s">
        <v>66</v>
      </c>
      <c r="I1266" s="133" t="s">
        <v>135</v>
      </c>
      <c r="K1266" s="135"/>
      <c r="L1266" s="153">
        <f t="shared" ref="L1266:L1271" si="53">F1266</f>
        <v>473.14</v>
      </c>
      <c r="M1266" s="111">
        <v>510781780</v>
      </c>
    </row>
    <row r="1267" spans="1:13" x14ac:dyDescent="0.35">
      <c r="A1267" s="109">
        <v>45404</v>
      </c>
      <c r="B1267" s="121" t="s">
        <v>57</v>
      </c>
      <c r="C1267" s="111" t="s">
        <v>1516</v>
      </c>
      <c r="D1267" s="111" t="s">
        <v>1519</v>
      </c>
      <c r="E1267" s="111" t="s">
        <v>1148</v>
      </c>
      <c r="F1267" s="149">
        <v>58.63</v>
      </c>
      <c r="G1267" s="135">
        <f>A1267+30</f>
        <v>45434</v>
      </c>
      <c r="H1267" s="133" t="s">
        <v>66</v>
      </c>
      <c r="K1267" s="135"/>
      <c r="L1267" s="153">
        <f t="shared" si="53"/>
        <v>58.63</v>
      </c>
      <c r="M1267" s="111">
        <v>510781780</v>
      </c>
    </row>
    <row r="1268" spans="1:13" x14ac:dyDescent="0.35">
      <c r="A1268" s="109">
        <v>45404</v>
      </c>
      <c r="B1268" s="121" t="s">
        <v>57</v>
      </c>
      <c r="C1268" s="111" t="s">
        <v>1516</v>
      </c>
      <c r="D1268" s="111" t="s">
        <v>1519</v>
      </c>
      <c r="E1268" s="111" t="s">
        <v>1149</v>
      </c>
      <c r="F1268" s="149">
        <v>444.82</v>
      </c>
      <c r="G1268" s="135">
        <f>A1268+30</f>
        <v>45434</v>
      </c>
      <c r="H1268" s="133" t="s">
        <v>66</v>
      </c>
      <c r="K1268" s="135"/>
      <c r="L1268" s="153">
        <f t="shared" si="53"/>
        <v>444.82</v>
      </c>
      <c r="M1268" s="111">
        <v>510781780</v>
      </c>
    </row>
    <row r="1269" spans="1:13" x14ac:dyDescent="0.35">
      <c r="A1269" s="109">
        <v>45447</v>
      </c>
      <c r="B1269" s="111" t="s">
        <v>65</v>
      </c>
      <c r="C1269" s="111" t="s">
        <v>1512</v>
      </c>
      <c r="E1269" s="111" t="s">
        <v>1520</v>
      </c>
      <c r="F1269" s="131">
        <v>-336.08</v>
      </c>
      <c r="G1269" s="135"/>
      <c r="H1269" s="133" t="s">
        <v>66</v>
      </c>
      <c r="K1269" s="135"/>
      <c r="L1269" s="153">
        <f t="shared" si="53"/>
        <v>-336.08</v>
      </c>
      <c r="M1269" s="111" t="s">
        <v>1521</v>
      </c>
    </row>
    <row r="1270" spans="1:13" x14ac:dyDescent="0.35">
      <c r="A1270" s="109">
        <v>45524</v>
      </c>
      <c r="B1270" s="111" t="s">
        <v>65</v>
      </c>
      <c r="C1270" s="111" t="s">
        <v>1522</v>
      </c>
      <c r="E1270" s="111" t="s">
        <v>1523</v>
      </c>
      <c r="F1270" s="131">
        <v>-498.88</v>
      </c>
      <c r="G1270" s="135"/>
      <c r="H1270" s="133" t="s">
        <v>66</v>
      </c>
      <c r="I1270" s="133" t="s">
        <v>119</v>
      </c>
      <c r="K1270" s="135"/>
      <c r="L1270" s="153">
        <f t="shared" si="53"/>
        <v>-498.88</v>
      </c>
      <c r="M1270" s="111" t="s">
        <v>123</v>
      </c>
    </row>
    <row r="1271" spans="1:13" x14ac:dyDescent="0.35">
      <c r="A1271" s="109">
        <v>45506</v>
      </c>
      <c r="B1271" s="111" t="s">
        <v>65</v>
      </c>
      <c r="C1271" s="111" t="s">
        <v>1524</v>
      </c>
      <c r="E1271" s="111" t="s">
        <v>1525</v>
      </c>
      <c r="F1271" s="131">
        <v>-1353</v>
      </c>
      <c r="G1271" s="135"/>
      <c r="H1271" s="133" t="s">
        <v>66</v>
      </c>
      <c r="I1271" s="133" t="s">
        <v>131</v>
      </c>
      <c r="K1271" s="135"/>
      <c r="L1271" s="153">
        <f t="shared" si="53"/>
        <v>-1353</v>
      </c>
      <c r="M1271" s="111" t="s">
        <v>1526</v>
      </c>
    </row>
    <row r="1272" spans="1:13" x14ac:dyDescent="0.35">
      <c r="A1272" s="109">
        <v>45923</v>
      </c>
      <c r="B1272" s="121" t="s">
        <v>65</v>
      </c>
      <c r="C1272" s="121" t="s">
        <v>96</v>
      </c>
      <c r="E1272" s="111" t="s">
        <v>1527</v>
      </c>
      <c r="F1272" s="150">
        <v>-3936</v>
      </c>
      <c r="G1272" s="135">
        <f>A1272+30</f>
        <v>45953</v>
      </c>
      <c r="H1272" s="133" t="s">
        <v>66</v>
      </c>
      <c r="I1272" s="134" t="s">
        <v>170</v>
      </c>
      <c r="K1272" s="135">
        <v>45912</v>
      </c>
      <c r="L1272" s="153"/>
      <c r="M1272" s="111" t="s">
        <v>1528</v>
      </c>
    </row>
    <row r="1273" spans="1:13" x14ac:dyDescent="0.35">
      <c r="A1273" s="109">
        <v>45870</v>
      </c>
      <c r="B1273" s="121" t="s">
        <v>65</v>
      </c>
      <c r="C1273" s="121" t="s">
        <v>96</v>
      </c>
      <c r="E1273" s="121" t="s">
        <v>1529</v>
      </c>
      <c r="F1273" s="150">
        <v>-3936</v>
      </c>
      <c r="G1273" s="135">
        <f>A1273+30</f>
        <v>45900</v>
      </c>
      <c r="H1273" s="134" t="s">
        <v>66</v>
      </c>
      <c r="I1273" s="134" t="s">
        <v>170</v>
      </c>
      <c r="K1273" s="135">
        <v>45887</v>
      </c>
      <c r="L1273" s="153"/>
      <c r="M1273" s="121" t="s">
        <v>1530</v>
      </c>
    </row>
    <row r="1274" spans="1:13" x14ac:dyDescent="0.35">
      <c r="A1274" s="109">
        <v>45953</v>
      </c>
      <c r="B1274" s="121" t="s">
        <v>65</v>
      </c>
      <c r="C1274" s="111" t="s">
        <v>96</v>
      </c>
      <c r="E1274" s="111" t="s">
        <v>1531</v>
      </c>
      <c r="F1274" s="150">
        <v>-3936</v>
      </c>
      <c r="G1274" s="135">
        <f>A1274+30</f>
        <v>45983</v>
      </c>
      <c r="H1274" s="134" t="s">
        <v>66</v>
      </c>
      <c r="I1274" s="134" t="s">
        <v>170</v>
      </c>
      <c r="K1274" s="135">
        <v>45940</v>
      </c>
      <c r="L1274" s="153">
        <v>-4080</v>
      </c>
      <c r="M1274" s="111" t="s">
        <v>1532</v>
      </c>
    </row>
    <row r="1275" spans="1:13" x14ac:dyDescent="0.35">
      <c r="A1275" s="109">
        <v>45932</v>
      </c>
      <c r="B1275" s="121" t="s">
        <v>65</v>
      </c>
      <c r="C1275" s="111" t="s">
        <v>96</v>
      </c>
      <c r="E1275" s="111" t="s">
        <v>1533</v>
      </c>
      <c r="F1275" s="153">
        <v>-51.94</v>
      </c>
      <c r="H1275" s="134" t="s">
        <v>66</v>
      </c>
      <c r="I1275" s="134" t="s">
        <v>170</v>
      </c>
      <c r="K1275" s="135">
        <v>45940</v>
      </c>
      <c r="M1275" s="196" t="s">
        <v>1534</v>
      </c>
    </row>
    <row r="1276" spans="1:13" x14ac:dyDescent="0.35">
      <c r="A1276" s="109">
        <v>45932</v>
      </c>
      <c r="B1276" s="121" t="s">
        <v>65</v>
      </c>
      <c r="C1276" s="111" t="s">
        <v>96</v>
      </c>
      <c r="E1276" s="111" t="s">
        <v>1535</v>
      </c>
      <c r="F1276" s="153">
        <v>-51.94</v>
      </c>
      <c r="H1276" s="134" t="s">
        <v>66</v>
      </c>
      <c r="I1276" s="134" t="s">
        <v>170</v>
      </c>
      <c r="K1276" s="135">
        <v>45940</v>
      </c>
      <c r="M1276" s="196" t="s">
        <v>1536</v>
      </c>
    </row>
    <row r="1277" spans="1:13" x14ac:dyDescent="0.35">
      <c r="A1277" s="109">
        <v>45932</v>
      </c>
      <c r="B1277" s="121" t="s">
        <v>65</v>
      </c>
      <c r="C1277" s="111" t="s">
        <v>96</v>
      </c>
      <c r="E1277" s="111" t="s">
        <v>1537</v>
      </c>
      <c r="F1277" s="153">
        <v>-51.94</v>
      </c>
      <c r="H1277" s="134" t="s">
        <v>66</v>
      </c>
      <c r="I1277" s="134" t="s">
        <v>170</v>
      </c>
      <c r="K1277" s="135">
        <v>45940</v>
      </c>
      <c r="M1277" s="196" t="s">
        <v>1538</v>
      </c>
    </row>
    <row r="1278" spans="1:13" x14ac:dyDescent="0.35">
      <c r="A1278" s="109">
        <v>45964</v>
      </c>
      <c r="B1278" s="121" t="s">
        <v>65</v>
      </c>
      <c r="C1278" s="121" t="s">
        <v>96</v>
      </c>
      <c r="E1278" s="111" t="s">
        <v>1539</v>
      </c>
      <c r="F1278" s="150">
        <v>-4021.02</v>
      </c>
      <c r="G1278" s="135"/>
      <c r="H1278" s="133" t="s">
        <v>66</v>
      </c>
      <c r="I1278" s="134" t="s">
        <v>170</v>
      </c>
      <c r="K1278" s="135">
        <v>45971</v>
      </c>
      <c r="M1278" s="111" t="s">
        <v>1540</v>
      </c>
    </row>
    <row r="1279" spans="1:13" x14ac:dyDescent="0.35">
      <c r="A1279" s="109">
        <v>45964</v>
      </c>
      <c r="B1279" s="121" t="s">
        <v>65</v>
      </c>
      <c r="C1279" s="121" t="s">
        <v>96</v>
      </c>
      <c r="E1279" s="111" t="s">
        <v>1541</v>
      </c>
      <c r="F1279" s="153">
        <v>-51.94</v>
      </c>
      <c r="H1279" s="133" t="s">
        <v>66</v>
      </c>
      <c r="I1279" s="133" t="s">
        <v>170</v>
      </c>
      <c r="K1279" s="135">
        <v>45971</v>
      </c>
      <c r="M1279" s="196" t="s">
        <v>1542</v>
      </c>
    </row>
    <row r="1280" spans="1:13" x14ac:dyDescent="0.35">
      <c r="A1280" s="109">
        <v>45994</v>
      </c>
      <c r="B1280" s="121" t="s">
        <v>65</v>
      </c>
      <c r="C1280" s="121" t="s">
        <v>96</v>
      </c>
      <c r="F1280" s="150">
        <v>-4021.02</v>
      </c>
      <c r="H1280" s="134" t="s">
        <v>66</v>
      </c>
      <c r="I1280" s="133" t="s">
        <v>170</v>
      </c>
      <c r="K1280" s="160">
        <v>46006</v>
      </c>
    </row>
    <row r="1281" spans="1:13" x14ac:dyDescent="0.35">
      <c r="A1281" s="109">
        <v>45994</v>
      </c>
      <c r="B1281" s="121" t="s">
        <v>65</v>
      </c>
      <c r="C1281" s="121" t="s">
        <v>96</v>
      </c>
      <c r="E1281" s="111" t="s">
        <v>1543</v>
      </c>
      <c r="F1281" s="153">
        <v>-51.94</v>
      </c>
      <c r="H1281" s="134" t="s">
        <v>66</v>
      </c>
      <c r="I1281" s="133" t="s">
        <v>170</v>
      </c>
      <c r="K1281" s="160">
        <v>46006</v>
      </c>
    </row>
    <row r="1282" spans="1:13" x14ac:dyDescent="0.35">
      <c r="A1282" s="109">
        <v>46023</v>
      </c>
      <c r="B1282" s="111" t="s">
        <v>65</v>
      </c>
      <c r="C1282" s="111" t="s">
        <v>96</v>
      </c>
      <c r="E1282" s="111" t="s">
        <v>1544</v>
      </c>
      <c r="F1282" s="153">
        <v>-51.94</v>
      </c>
      <c r="H1282" s="133" t="s">
        <v>66</v>
      </c>
      <c r="I1282" s="133" t="s">
        <v>170</v>
      </c>
      <c r="K1282" s="160">
        <v>46038</v>
      </c>
      <c r="M1282" s="196" t="s">
        <v>1545</v>
      </c>
    </row>
    <row r="1283" spans="1:13" x14ac:dyDescent="0.35">
      <c r="A1283" s="109">
        <v>46023</v>
      </c>
      <c r="B1283" s="111" t="s">
        <v>65</v>
      </c>
      <c r="C1283" s="111" t="s">
        <v>96</v>
      </c>
      <c r="E1283" s="111" t="s">
        <v>1546</v>
      </c>
      <c r="F1283" s="153">
        <v>-4021.02</v>
      </c>
      <c r="H1283" s="133" t="s">
        <v>66</v>
      </c>
      <c r="I1283" s="133" t="s">
        <v>170</v>
      </c>
      <c r="K1283" s="160">
        <v>46038</v>
      </c>
      <c r="M1283" s="196" t="s">
        <v>1547</v>
      </c>
    </row>
    <row r="1284" spans="1:13" x14ac:dyDescent="0.35">
      <c r="A1284" s="109">
        <v>45425</v>
      </c>
      <c r="B1284" s="121" t="s">
        <v>57</v>
      </c>
      <c r="C1284" s="111" t="s">
        <v>1516</v>
      </c>
      <c r="D1284" s="111" t="s">
        <v>1519</v>
      </c>
      <c r="E1284" s="111" t="s">
        <v>1150</v>
      </c>
      <c r="F1284" s="149">
        <v>489.84</v>
      </c>
      <c r="G1284" s="135">
        <f>A1284+30</f>
        <v>45455</v>
      </c>
      <c r="H1284" s="133" t="s">
        <v>66</v>
      </c>
      <c r="K1284" s="135"/>
      <c r="L1284" s="153">
        <f>F1284</f>
        <v>489.84</v>
      </c>
      <c r="M1284" s="111">
        <v>510781780</v>
      </c>
    </row>
    <row r="1285" spans="1:13" x14ac:dyDescent="0.35">
      <c r="A1285" s="109">
        <v>45476</v>
      </c>
      <c r="B1285" s="121" t="s">
        <v>57</v>
      </c>
      <c r="C1285" s="111" t="s">
        <v>1548</v>
      </c>
      <c r="D1285" s="111" t="s">
        <v>1517</v>
      </c>
      <c r="E1285" s="111" t="s">
        <v>1549</v>
      </c>
      <c r="F1285" s="149">
        <v>374.57</v>
      </c>
      <c r="G1285" s="135">
        <f>A1285+30</f>
        <v>45506</v>
      </c>
      <c r="H1285" s="133" t="s">
        <v>66</v>
      </c>
      <c r="K1285" s="135"/>
      <c r="L1285" s="153">
        <f>F1285</f>
        <v>374.57</v>
      </c>
      <c r="M1285" s="111">
        <v>510781780</v>
      </c>
    </row>
    <row r="1286" spans="1:13" x14ac:dyDescent="0.35">
      <c r="A1286" s="176">
        <v>45447</v>
      </c>
      <c r="B1286" s="143" t="s">
        <v>57</v>
      </c>
      <c r="C1286" s="140" t="s">
        <v>1548</v>
      </c>
      <c r="D1286" s="140" t="s">
        <v>1517</v>
      </c>
      <c r="E1286" s="140" t="s">
        <v>1151</v>
      </c>
      <c r="F1286" s="164">
        <v>391.33</v>
      </c>
      <c r="G1286" s="177">
        <f>A1286+30</f>
        <v>45477</v>
      </c>
      <c r="H1286" s="142" t="s">
        <v>66</v>
      </c>
      <c r="I1286" s="142"/>
      <c r="K1286" s="135"/>
      <c r="L1286" s="153">
        <f>F1286</f>
        <v>391.33</v>
      </c>
      <c r="M1286" s="111">
        <v>510781780</v>
      </c>
    </row>
    <row r="1287" spans="1:13" x14ac:dyDescent="0.35">
      <c r="A1287" s="109">
        <v>46100</v>
      </c>
      <c r="B1287" s="111" t="s">
        <v>65</v>
      </c>
      <c r="C1287" s="111" t="s">
        <v>496</v>
      </c>
      <c r="E1287" s="111" t="s">
        <v>1550</v>
      </c>
      <c r="F1287" s="153">
        <v>-558.76</v>
      </c>
      <c r="G1287" s="135">
        <v>46085</v>
      </c>
      <c r="H1287" s="133" t="s">
        <v>59</v>
      </c>
      <c r="I1287" s="133" t="s">
        <v>145</v>
      </c>
    </row>
    <row r="1288" spans="1:13" x14ac:dyDescent="0.35">
      <c r="A1288" s="109">
        <v>46042</v>
      </c>
      <c r="B1288" s="111" t="s">
        <v>65</v>
      </c>
      <c r="C1288" s="111" t="s">
        <v>52</v>
      </c>
      <c r="E1288" s="111" t="s">
        <v>1551</v>
      </c>
      <c r="F1288" s="153">
        <v>-30.75</v>
      </c>
      <c r="G1288" s="135">
        <v>46072</v>
      </c>
      <c r="H1288" s="133" t="s">
        <v>66</v>
      </c>
      <c r="I1288" s="133" t="s">
        <v>170</v>
      </c>
      <c r="K1288" s="135">
        <v>46072</v>
      </c>
    </row>
    <row r="1289" spans="1:13" x14ac:dyDescent="0.35">
      <c r="A1289" s="109">
        <v>45377</v>
      </c>
      <c r="B1289" s="111" t="s">
        <v>65</v>
      </c>
      <c r="C1289" s="111" t="s">
        <v>97</v>
      </c>
      <c r="E1289" s="111" t="s">
        <v>1552</v>
      </c>
      <c r="F1289" s="131">
        <v>-292.11</v>
      </c>
      <c r="G1289" s="135"/>
      <c r="H1289" s="133" t="s">
        <v>66</v>
      </c>
      <c r="K1289" s="135"/>
      <c r="L1289" s="153">
        <f>F1289</f>
        <v>-292.11</v>
      </c>
      <c r="M1289" s="111" t="s">
        <v>1553</v>
      </c>
    </row>
    <row r="1290" spans="1:13" x14ac:dyDescent="0.35">
      <c r="A1290" s="109">
        <v>45418</v>
      </c>
      <c r="B1290" s="111" t="s">
        <v>65</v>
      </c>
      <c r="C1290" s="111" t="s">
        <v>97</v>
      </c>
      <c r="E1290" s="111" t="s">
        <v>1554</v>
      </c>
      <c r="F1290" s="131">
        <v>-94</v>
      </c>
      <c r="G1290" s="135"/>
      <c r="H1290" s="133" t="s">
        <v>66</v>
      </c>
      <c r="J1290" s="111">
        <v>45434</v>
      </c>
      <c r="K1290" s="135"/>
      <c r="L1290" s="153">
        <f>F1290</f>
        <v>-94</v>
      </c>
      <c r="M1290" s="111" t="s">
        <v>1555</v>
      </c>
    </row>
    <row r="1291" spans="1:13" x14ac:dyDescent="0.35">
      <c r="A1291" s="109">
        <v>45518</v>
      </c>
      <c r="B1291" s="111" t="s">
        <v>65</v>
      </c>
      <c r="C1291" s="111" t="s">
        <v>97</v>
      </c>
      <c r="E1291" s="111" t="s">
        <v>1556</v>
      </c>
      <c r="F1291" s="131">
        <v>-1013.32</v>
      </c>
      <c r="G1291" s="135"/>
      <c r="H1291" s="133" t="s">
        <v>66</v>
      </c>
      <c r="I1291" s="133" t="s">
        <v>131</v>
      </c>
      <c r="K1291" s="135"/>
      <c r="L1291" s="153">
        <f>F1291</f>
        <v>-1013.32</v>
      </c>
      <c r="M1291" s="111" t="s">
        <v>1557</v>
      </c>
    </row>
    <row r="1292" spans="1:13" x14ac:dyDescent="0.35">
      <c r="A1292" s="109">
        <v>45518</v>
      </c>
      <c r="B1292" s="111" t="s">
        <v>65</v>
      </c>
      <c r="C1292" s="111" t="s">
        <v>97</v>
      </c>
      <c r="E1292" s="111" t="s">
        <v>1558</v>
      </c>
      <c r="F1292" s="131">
        <v>-1518.67</v>
      </c>
      <c r="G1292" s="135"/>
      <c r="H1292" s="133" t="s">
        <v>66</v>
      </c>
      <c r="I1292" s="133" t="s">
        <v>131</v>
      </c>
      <c r="K1292" s="135"/>
      <c r="L1292" s="153">
        <f>F1292</f>
        <v>-1518.67</v>
      </c>
      <c r="M1292" s="111" t="s">
        <v>1557</v>
      </c>
    </row>
    <row r="1293" spans="1:13" x14ac:dyDescent="0.35">
      <c r="A1293" s="109">
        <v>45771</v>
      </c>
      <c r="B1293" s="121" t="s">
        <v>65</v>
      </c>
      <c r="C1293" s="121" t="s">
        <v>97</v>
      </c>
      <c r="E1293" s="121" t="s">
        <v>1559</v>
      </c>
      <c r="F1293" s="153">
        <v>-43.05</v>
      </c>
      <c r="G1293" s="135"/>
      <c r="H1293" s="133" t="s">
        <v>66</v>
      </c>
      <c r="I1293" s="133" t="s">
        <v>119</v>
      </c>
      <c r="K1293" s="135">
        <v>45789</v>
      </c>
      <c r="L1293" s="153">
        <f>F1293</f>
        <v>-43.05</v>
      </c>
      <c r="M1293" s="121" t="s">
        <v>1560</v>
      </c>
    </row>
    <row r="1294" spans="1:13" x14ac:dyDescent="0.35">
      <c r="A1294" s="109">
        <v>45796</v>
      </c>
      <c r="B1294" s="111" t="s">
        <v>65</v>
      </c>
      <c r="C1294" s="111" t="s">
        <v>97</v>
      </c>
      <c r="E1294" s="111" t="s">
        <v>1561</v>
      </c>
      <c r="F1294" s="153">
        <v>-89.49</v>
      </c>
      <c r="H1294" s="133" t="s">
        <v>66</v>
      </c>
      <c r="I1294" s="133" t="s">
        <v>119</v>
      </c>
      <c r="K1294" s="135">
        <v>45819</v>
      </c>
      <c r="M1294" s="111"/>
    </row>
    <row r="1295" spans="1:13" x14ac:dyDescent="0.35">
      <c r="A1295" s="109">
        <v>45922</v>
      </c>
      <c r="B1295" s="121" t="s">
        <v>65</v>
      </c>
      <c r="C1295" s="121" t="s">
        <v>97</v>
      </c>
      <c r="E1295" s="121" t="s">
        <v>1562</v>
      </c>
      <c r="F1295" s="153">
        <v>-14</v>
      </c>
      <c r="H1295" s="134" t="s">
        <v>66</v>
      </c>
      <c r="I1295" s="134" t="s">
        <v>170</v>
      </c>
      <c r="K1295" s="135">
        <v>45922</v>
      </c>
    </row>
    <row r="1296" spans="1:13" x14ac:dyDescent="0.35">
      <c r="A1296" s="109">
        <v>46002</v>
      </c>
      <c r="B1296" s="111" t="s">
        <v>65</v>
      </c>
      <c r="C1296" s="111" t="s">
        <v>97</v>
      </c>
      <c r="E1296" s="111" t="s">
        <v>1563</v>
      </c>
      <c r="F1296" s="153">
        <v>-43.05</v>
      </c>
      <c r="G1296" s="135">
        <v>46033</v>
      </c>
      <c r="H1296" s="133" t="s">
        <v>66</v>
      </c>
      <c r="I1296" s="133" t="s">
        <v>769</v>
      </c>
      <c r="K1296" s="160">
        <v>46041</v>
      </c>
      <c r="M1296" s="75" t="s">
        <v>1564</v>
      </c>
    </row>
    <row r="1297" spans="1:14" x14ac:dyDescent="0.35">
      <c r="A1297" s="109">
        <v>45419</v>
      </c>
      <c r="B1297" s="111" t="s">
        <v>65</v>
      </c>
      <c r="C1297" s="111" t="s">
        <v>15</v>
      </c>
      <c r="F1297" s="131">
        <v>-1878.38</v>
      </c>
      <c r="G1297" s="135"/>
      <c r="H1297" s="133" t="s">
        <v>66</v>
      </c>
      <c r="I1297" s="133" t="s">
        <v>170</v>
      </c>
      <c r="K1297" s="135"/>
      <c r="L1297" s="153">
        <f>F1297</f>
        <v>-1878.38</v>
      </c>
      <c r="M1297" t="s">
        <v>1565</v>
      </c>
    </row>
    <row r="1298" spans="1:14" x14ac:dyDescent="0.35">
      <c r="A1298" s="109">
        <v>45504</v>
      </c>
      <c r="B1298" s="121" t="s">
        <v>57</v>
      </c>
      <c r="C1298" s="111" t="s">
        <v>1566</v>
      </c>
      <c r="D1298" s="111" t="s">
        <v>1517</v>
      </c>
      <c r="E1298" s="111" t="s">
        <v>1567</v>
      </c>
      <c r="F1298" s="149">
        <v>445.92</v>
      </c>
      <c r="G1298" s="135">
        <f>A1298+30</f>
        <v>45534</v>
      </c>
      <c r="H1298" s="133" t="s">
        <v>66</v>
      </c>
      <c r="I1298" s="133" t="s">
        <v>944</v>
      </c>
      <c r="K1298" s="135"/>
      <c r="L1298" s="153">
        <f>F1298</f>
        <v>445.92</v>
      </c>
      <c r="M1298" s="111">
        <v>510781780</v>
      </c>
    </row>
    <row r="1299" spans="1:14" x14ac:dyDescent="0.35">
      <c r="A1299" s="109">
        <v>45124</v>
      </c>
      <c r="B1299" s="121" t="s">
        <v>57</v>
      </c>
      <c r="C1299" s="111" t="s">
        <v>1568</v>
      </c>
      <c r="D1299" s="111" t="s">
        <v>1568</v>
      </c>
      <c r="E1299" s="111" t="s">
        <v>1569</v>
      </c>
      <c r="F1299" s="149">
        <v>420</v>
      </c>
      <c r="G1299" s="135">
        <f>A1299+30</f>
        <v>45154</v>
      </c>
      <c r="H1299" s="133" t="s">
        <v>66</v>
      </c>
      <c r="K1299" s="135"/>
      <c r="L1299" s="153">
        <f>F1299</f>
        <v>420</v>
      </c>
      <c r="M1299" s="111">
        <v>255609140</v>
      </c>
    </row>
    <row r="1300" spans="1:14" x14ac:dyDescent="0.35">
      <c r="A1300" s="109">
        <v>45146</v>
      </c>
      <c r="B1300" s="121" t="s">
        <v>57</v>
      </c>
      <c r="C1300" s="111" t="s">
        <v>1568</v>
      </c>
      <c r="D1300" s="111" t="s">
        <v>1568</v>
      </c>
      <c r="E1300" s="111" t="s">
        <v>1570</v>
      </c>
      <c r="F1300" s="149">
        <v>350</v>
      </c>
      <c r="G1300" s="135">
        <f>A1300+30</f>
        <v>45176</v>
      </c>
      <c r="H1300" s="133" t="s">
        <v>66</v>
      </c>
      <c r="K1300" s="135"/>
      <c r="L1300" s="153">
        <f>F1300</f>
        <v>350</v>
      </c>
      <c r="M1300" s="111" t="s">
        <v>1571</v>
      </c>
      <c r="N1300" s="183"/>
    </row>
    <row r="1301" spans="1:14" x14ac:dyDescent="0.35">
      <c r="A1301" s="109">
        <v>45726</v>
      </c>
      <c r="B1301" s="111" t="s">
        <v>57</v>
      </c>
      <c r="C1301" s="111" t="s">
        <v>36</v>
      </c>
      <c r="D1301" s="111" t="s">
        <v>236</v>
      </c>
      <c r="E1301" s="111" t="s">
        <v>1572</v>
      </c>
      <c r="F1301" s="153">
        <v>310</v>
      </c>
      <c r="G1301" s="135">
        <f>A1301+30</f>
        <v>45756</v>
      </c>
      <c r="H1301" s="134" t="s">
        <v>66</v>
      </c>
      <c r="I1301" s="133" t="s">
        <v>232</v>
      </c>
      <c r="K1301" s="135">
        <v>45734</v>
      </c>
      <c r="L1301" s="153">
        <f>F1301</f>
        <v>310</v>
      </c>
      <c r="M1301" s="111">
        <v>255609140</v>
      </c>
      <c r="N1301" s="183"/>
    </row>
    <row r="1302" spans="1:14" x14ac:dyDescent="0.35">
      <c r="A1302" s="109">
        <v>45859</v>
      </c>
      <c r="B1302" s="111" t="s">
        <v>57</v>
      </c>
      <c r="C1302" s="111" t="s">
        <v>36</v>
      </c>
      <c r="D1302" s="121" t="s">
        <v>236</v>
      </c>
      <c r="E1302" s="111" t="s">
        <v>1573</v>
      </c>
      <c r="F1302" s="153">
        <v>470</v>
      </c>
      <c r="H1302" s="134" t="s">
        <v>66</v>
      </c>
      <c r="I1302" s="133" t="s">
        <v>232</v>
      </c>
      <c r="K1302" s="135">
        <v>45868</v>
      </c>
      <c r="M1302" s="196">
        <v>255609140</v>
      </c>
      <c r="N1302" s="183"/>
    </row>
    <row r="1303" spans="1:14" x14ac:dyDescent="0.35">
      <c r="A1303" s="109">
        <v>45342</v>
      </c>
      <c r="B1303" s="111" t="s">
        <v>65</v>
      </c>
      <c r="C1303" s="111" t="s">
        <v>1574</v>
      </c>
      <c r="E1303" s="111" t="s">
        <v>1575</v>
      </c>
      <c r="F1303" s="131">
        <v>-8.48</v>
      </c>
      <c r="G1303" s="135"/>
      <c r="H1303" s="133" t="s">
        <v>66</v>
      </c>
      <c r="K1303" s="135"/>
      <c r="L1303" s="169">
        <f t="shared" ref="L1303:L1308" si="54">F1303</f>
        <v>-8.48</v>
      </c>
      <c r="M1303" s="145" t="s">
        <v>1576</v>
      </c>
    </row>
    <row r="1304" spans="1:14" x14ac:dyDescent="0.35">
      <c r="A1304" s="109">
        <v>45434</v>
      </c>
      <c r="B1304" s="111" t="s">
        <v>65</v>
      </c>
      <c r="C1304" s="111" t="s">
        <v>1577</v>
      </c>
      <c r="E1304" s="111" t="s">
        <v>1578</v>
      </c>
      <c r="F1304" s="131">
        <v>-377.3</v>
      </c>
      <c r="G1304" s="135"/>
      <c r="H1304" s="133" t="s">
        <v>66</v>
      </c>
      <c r="J1304" s="111">
        <v>45448</v>
      </c>
      <c r="K1304" s="135"/>
      <c r="L1304" s="153">
        <f t="shared" si="54"/>
        <v>-377.3</v>
      </c>
      <c r="M1304" s="111" t="s">
        <v>1579</v>
      </c>
    </row>
    <row r="1305" spans="1:14" x14ac:dyDescent="0.35">
      <c r="A1305" s="109">
        <v>45590</v>
      </c>
      <c r="B1305" s="111" t="s">
        <v>65</v>
      </c>
      <c r="C1305" s="111" t="s">
        <v>1577</v>
      </c>
      <c r="E1305" s="111" t="s">
        <v>1580</v>
      </c>
      <c r="F1305" s="131">
        <v>-68.599999999999994</v>
      </c>
      <c r="G1305" s="135"/>
      <c r="H1305" s="133" t="s">
        <v>66</v>
      </c>
      <c r="I1305" s="133" t="s">
        <v>119</v>
      </c>
      <c r="K1305" s="135"/>
      <c r="L1305" s="153">
        <f t="shared" si="54"/>
        <v>-68.599999999999994</v>
      </c>
      <c r="M1305" s="111" t="s">
        <v>1581</v>
      </c>
    </row>
    <row r="1306" spans="1:14" x14ac:dyDescent="0.35">
      <c r="A1306" s="109">
        <v>45450</v>
      </c>
      <c r="B1306" s="111" t="s">
        <v>65</v>
      </c>
      <c r="C1306" s="111" t="s">
        <v>1582</v>
      </c>
      <c r="E1306" s="111" t="s">
        <v>1583</v>
      </c>
      <c r="F1306" s="131">
        <v>-744.2</v>
      </c>
      <c r="G1306" s="135"/>
      <c r="H1306" s="133" t="s">
        <v>66</v>
      </c>
      <c r="K1306" s="135"/>
      <c r="L1306" s="153">
        <f t="shared" si="54"/>
        <v>-744.2</v>
      </c>
      <c r="M1306" s="111" t="s">
        <v>1584</v>
      </c>
    </row>
    <row r="1307" spans="1:14" x14ac:dyDescent="0.35">
      <c r="A1307" s="109">
        <v>45573</v>
      </c>
      <c r="B1307" s="111" t="s">
        <v>65</v>
      </c>
      <c r="C1307" s="111" t="s">
        <v>1582</v>
      </c>
      <c r="E1307" s="111" t="s">
        <v>1585</v>
      </c>
      <c r="F1307" s="131">
        <v>-572.20000000000005</v>
      </c>
      <c r="G1307" s="135"/>
      <c r="H1307" s="133" t="s">
        <v>66</v>
      </c>
      <c r="I1307" s="133" t="s">
        <v>119</v>
      </c>
      <c r="K1307" s="135"/>
      <c r="L1307" s="153">
        <f t="shared" si="54"/>
        <v>-572.20000000000005</v>
      </c>
      <c r="M1307" s="111" t="s">
        <v>1586</v>
      </c>
    </row>
    <row r="1308" spans="1:14" x14ac:dyDescent="0.35">
      <c r="A1308" s="109">
        <v>45616</v>
      </c>
      <c r="B1308" s="111" t="s">
        <v>65</v>
      </c>
      <c r="C1308" s="111" t="s">
        <v>1582</v>
      </c>
      <c r="E1308" s="111" t="s">
        <v>1587</v>
      </c>
      <c r="F1308" s="149">
        <v>-369</v>
      </c>
      <c r="G1308" s="135"/>
      <c r="H1308" s="133" t="s">
        <v>66</v>
      </c>
      <c r="I1308" s="133" t="s">
        <v>119</v>
      </c>
      <c r="K1308" s="135"/>
      <c r="L1308" s="153">
        <f t="shared" si="54"/>
        <v>-369</v>
      </c>
      <c r="M1308" s="111" t="s">
        <v>1588</v>
      </c>
    </row>
    <row r="1309" spans="1:14" x14ac:dyDescent="0.35">
      <c r="A1309" s="109">
        <v>45847</v>
      </c>
      <c r="B1309" s="111" t="s">
        <v>65</v>
      </c>
      <c r="C1309" s="111" t="s">
        <v>98</v>
      </c>
      <c r="E1309" s="111" t="s">
        <v>1589</v>
      </c>
      <c r="F1309" s="153">
        <v>-12.05</v>
      </c>
      <c r="H1309" s="133" t="s">
        <v>66</v>
      </c>
      <c r="I1309" s="133" t="s">
        <v>119</v>
      </c>
      <c r="K1309" s="135">
        <v>45861</v>
      </c>
      <c r="M1309" s="196" t="s">
        <v>1590</v>
      </c>
    </row>
    <row r="1310" spans="1:14" x14ac:dyDescent="0.35">
      <c r="A1310" s="109">
        <v>45847</v>
      </c>
      <c r="B1310" s="111" t="s">
        <v>65</v>
      </c>
      <c r="C1310" s="111" t="s">
        <v>98</v>
      </c>
      <c r="E1310" s="111" t="s">
        <v>632</v>
      </c>
      <c r="F1310" s="153">
        <v>-346.49</v>
      </c>
      <c r="H1310" s="133" t="s">
        <v>66</v>
      </c>
      <c r="I1310" s="133" t="s">
        <v>119</v>
      </c>
      <c r="K1310" s="135">
        <v>45861</v>
      </c>
      <c r="M1310" s="196" t="s">
        <v>1590</v>
      </c>
    </row>
    <row r="1311" spans="1:14" x14ac:dyDescent="0.35">
      <c r="A1311" s="109">
        <v>45588</v>
      </c>
      <c r="B1311" s="111" t="s">
        <v>65</v>
      </c>
      <c r="C1311" s="111" t="s">
        <v>99</v>
      </c>
      <c r="E1311" s="111" t="s">
        <v>1591</v>
      </c>
      <c r="F1311" s="131">
        <v>-3936</v>
      </c>
      <c r="G1311" s="135"/>
      <c r="H1311" s="133" t="s">
        <v>66</v>
      </c>
      <c r="I1311" s="133" t="s">
        <v>170</v>
      </c>
      <c r="K1311" s="135">
        <v>45484</v>
      </c>
      <c r="L1311" s="153">
        <f>F1311</f>
        <v>-3936</v>
      </c>
      <c r="M1311" s="111" t="s">
        <v>1592</v>
      </c>
    </row>
    <row r="1312" spans="1:14" x14ac:dyDescent="0.35">
      <c r="A1312" s="109">
        <v>45588</v>
      </c>
      <c r="B1312" s="111" t="s">
        <v>65</v>
      </c>
      <c r="C1312" s="111" t="s">
        <v>99</v>
      </c>
      <c r="E1312" s="111" t="s">
        <v>1593</v>
      </c>
      <c r="F1312" s="131">
        <v>-144.06</v>
      </c>
      <c r="G1312" s="135"/>
      <c r="H1312" s="133" t="s">
        <v>66</v>
      </c>
      <c r="I1312" s="133" t="s">
        <v>170</v>
      </c>
      <c r="K1312" s="135">
        <v>45484</v>
      </c>
      <c r="L1312" s="153">
        <f>F1312</f>
        <v>-144.06</v>
      </c>
      <c r="M1312" s="111" t="s">
        <v>1594</v>
      </c>
    </row>
    <row r="1313" spans="1:14" x14ac:dyDescent="0.35">
      <c r="A1313" s="109">
        <v>45740</v>
      </c>
      <c r="B1313" s="111" t="s">
        <v>65</v>
      </c>
      <c r="C1313" s="111" t="s">
        <v>99</v>
      </c>
      <c r="E1313" s="111" t="s">
        <v>1595</v>
      </c>
      <c r="F1313" s="153">
        <v>-144.06</v>
      </c>
      <c r="G1313" s="135"/>
      <c r="H1313" s="133" t="s">
        <v>66</v>
      </c>
      <c r="I1313" s="133" t="s">
        <v>168</v>
      </c>
      <c r="K1313" s="135">
        <v>45757</v>
      </c>
      <c r="L1313" s="153"/>
      <c r="M1313" s="111" t="s">
        <v>1596</v>
      </c>
    </row>
    <row r="1314" spans="1:14" x14ac:dyDescent="0.35">
      <c r="A1314" s="109">
        <v>45740</v>
      </c>
      <c r="B1314" s="111" t="s">
        <v>65</v>
      </c>
      <c r="C1314" s="111" t="s">
        <v>99</v>
      </c>
      <c r="E1314" s="111" t="s">
        <v>1597</v>
      </c>
      <c r="F1314" s="153">
        <v>-3936</v>
      </c>
      <c r="G1314" s="135"/>
      <c r="H1314" s="133" t="s">
        <v>66</v>
      </c>
      <c r="I1314" s="133" t="s">
        <v>168</v>
      </c>
      <c r="K1314" s="135">
        <v>45757</v>
      </c>
      <c r="L1314" s="153"/>
      <c r="M1314" s="111" t="s">
        <v>426</v>
      </c>
    </row>
    <row r="1315" spans="1:14" x14ac:dyDescent="0.35">
      <c r="A1315" s="109">
        <v>45831</v>
      </c>
      <c r="B1315" s="121" t="s">
        <v>65</v>
      </c>
      <c r="C1315" s="111" t="s">
        <v>37</v>
      </c>
      <c r="E1315" s="111" t="s">
        <v>1598</v>
      </c>
      <c r="F1315" s="150">
        <f>-(51.94+3936)</f>
        <v>-3987.94</v>
      </c>
      <c r="G1315" s="135">
        <f>A1315+30</f>
        <v>45861</v>
      </c>
      <c r="H1315" s="133" t="s">
        <v>66</v>
      </c>
      <c r="I1315" s="134" t="s">
        <v>170</v>
      </c>
      <c r="K1315" s="135">
        <v>45846</v>
      </c>
      <c r="L1315" s="153">
        <v>-4080</v>
      </c>
      <c r="M1315" s="111" t="s">
        <v>1599</v>
      </c>
    </row>
    <row r="1316" spans="1:14" x14ac:dyDescent="0.35">
      <c r="A1316" s="109">
        <v>45587</v>
      </c>
      <c r="B1316" s="111" t="s">
        <v>65</v>
      </c>
      <c r="C1316" s="111" t="s">
        <v>37</v>
      </c>
      <c r="E1316" s="111" t="s">
        <v>1373</v>
      </c>
      <c r="F1316" s="131">
        <v>-144.06</v>
      </c>
      <c r="G1316" s="135"/>
      <c r="H1316" s="133" t="s">
        <v>66</v>
      </c>
      <c r="I1316" s="133" t="s">
        <v>131</v>
      </c>
      <c r="K1316" s="135"/>
      <c r="L1316" s="153">
        <f>F1316</f>
        <v>-144.06</v>
      </c>
      <c r="M1316" s="111" t="s">
        <v>1600</v>
      </c>
    </row>
    <row r="1317" spans="1:14" x14ac:dyDescent="0.35">
      <c r="A1317" s="109">
        <v>45566</v>
      </c>
      <c r="B1317" s="111" t="s">
        <v>65</v>
      </c>
      <c r="C1317" s="111" t="s">
        <v>37</v>
      </c>
      <c r="E1317" s="111" t="s">
        <v>1601</v>
      </c>
      <c r="F1317" s="131">
        <v>-3936</v>
      </c>
      <c r="G1317" s="135"/>
      <c r="H1317" s="134" t="s">
        <v>66</v>
      </c>
      <c r="I1317" s="133" t="s">
        <v>131</v>
      </c>
      <c r="K1317" s="135"/>
      <c r="L1317" s="153">
        <f>F1317</f>
        <v>-3936</v>
      </c>
      <c r="M1317" s="111" t="s">
        <v>1602</v>
      </c>
    </row>
    <row r="1318" spans="1:14" x14ac:dyDescent="0.35">
      <c r="A1318" s="109">
        <v>45572</v>
      </c>
      <c r="B1318" s="111" t="s">
        <v>65</v>
      </c>
      <c r="C1318" s="111" t="s">
        <v>37</v>
      </c>
      <c r="E1318" s="111" t="s">
        <v>1603</v>
      </c>
      <c r="F1318" s="131">
        <v>-144.06</v>
      </c>
      <c r="G1318" s="135"/>
      <c r="H1318" s="134" t="s">
        <v>66</v>
      </c>
      <c r="I1318" s="133" t="s">
        <v>131</v>
      </c>
      <c r="K1318" s="135"/>
      <c r="L1318" s="153">
        <f>F1318</f>
        <v>-144.06</v>
      </c>
      <c r="M1318" s="111" t="s">
        <v>1604</v>
      </c>
    </row>
    <row r="1319" spans="1:14" x14ac:dyDescent="0.35">
      <c r="A1319" s="109">
        <v>45491</v>
      </c>
      <c r="B1319" s="121" t="s">
        <v>57</v>
      </c>
      <c r="C1319" s="111" t="s">
        <v>1605</v>
      </c>
      <c r="D1319" s="111" t="s">
        <v>236</v>
      </c>
      <c r="E1319" s="111" t="s">
        <v>1606</v>
      </c>
      <c r="F1319" s="149">
        <v>500</v>
      </c>
      <c r="G1319" s="135">
        <f>A1319+30</f>
        <v>45521</v>
      </c>
      <c r="H1319" s="133" t="s">
        <v>561</v>
      </c>
      <c r="I1319" s="133" t="s">
        <v>232</v>
      </c>
      <c r="K1319" s="135"/>
      <c r="L1319" s="153">
        <f>F1319</f>
        <v>500</v>
      </c>
      <c r="M1319" s="111">
        <v>255609140</v>
      </c>
      <c r="N1319" s="183"/>
    </row>
    <row r="1320" spans="1:14" x14ac:dyDescent="0.35">
      <c r="A1320" s="109">
        <v>45896</v>
      </c>
      <c r="B1320" s="121" t="s">
        <v>57</v>
      </c>
      <c r="C1320" s="121" t="s">
        <v>1605</v>
      </c>
      <c r="D1320" s="121" t="s">
        <v>236</v>
      </c>
      <c r="E1320" s="121" t="s">
        <v>1607</v>
      </c>
      <c r="F1320" s="153">
        <v>420</v>
      </c>
      <c r="G1320" s="135">
        <f>A1320+30</f>
        <v>45926</v>
      </c>
      <c r="H1320" s="133" t="s">
        <v>66</v>
      </c>
      <c r="I1320" s="133" t="s">
        <v>232</v>
      </c>
      <c r="K1320" s="135"/>
      <c r="L1320" s="145"/>
      <c r="M1320" s="198"/>
    </row>
    <row r="1321" spans="1:14" x14ac:dyDescent="0.35">
      <c r="A1321" s="109">
        <v>45621</v>
      </c>
      <c r="B1321" s="111" t="s">
        <v>65</v>
      </c>
      <c r="C1321" s="111" t="s">
        <v>37</v>
      </c>
      <c r="E1321" s="111" t="s">
        <v>1608</v>
      </c>
      <c r="F1321" s="131">
        <v>-144.06</v>
      </c>
      <c r="G1321" s="135">
        <v>45636</v>
      </c>
      <c r="H1321" s="133" t="s">
        <v>66</v>
      </c>
      <c r="I1321" s="133" t="s">
        <v>168</v>
      </c>
      <c r="K1321" s="135">
        <v>45577</v>
      </c>
      <c r="L1321" s="153">
        <f>F1321</f>
        <v>-144.06</v>
      </c>
      <c r="M1321" s="111" t="s">
        <v>1609</v>
      </c>
    </row>
    <row r="1322" spans="1:14" x14ac:dyDescent="0.35">
      <c r="A1322" s="109">
        <v>45621</v>
      </c>
      <c r="B1322" s="111" t="s">
        <v>65</v>
      </c>
      <c r="C1322" s="111" t="s">
        <v>37</v>
      </c>
      <c r="E1322" s="111" t="s">
        <v>734</v>
      </c>
      <c r="F1322" s="131">
        <v>-3936</v>
      </c>
      <c r="G1322" s="135">
        <v>45636</v>
      </c>
      <c r="H1322" s="133" t="s">
        <v>66</v>
      </c>
      <c r="I1322" s="133" t="s">
        <v>168</v>
      </c>
      <c r="K1322" s="135">
        <v>45577</v>
      </c>
      <c r="L1322" s="153">
        <f>F1322</f>
        <v>-3936</v>
      </c>
      <c r="M1322" s="111" t="s">
        <v>1610</v>
      </c>
    </row>
    <row r="1323" spans="1:14" x14ac:dyDescent="0.35">
      <c r="A1323" s="109">
        <v>45680</v>
      </c>
      <c r="B1323" s="121" t="s">
        <v>65</v>
      </c>
      <c r="C1323" s="111" t="s">
        <v>37</v>
      </c>
      <c r="F1323" s="150">
        <v>-4080</v>
      </c>
      <c r="G1323" s="135">
        <f>A1323+30</f>
        <v>45710</v>
      </c>
      <c r="H1323" s="133" t="s">
        <v>66</v>
      </c>
      <c r="I1323" s="134" t="s">
        <v>170</v>
      </c>
      <c r="K1323" s="135">
        <v>45680</v>
      </c>
      <c r="L1323" s="153">
        <v>-4080</v>
      </c>
      <c r="M1323" s="111"/>
    </row>
    <row r="1324" spans="1:14" x14ac:dyDescent="0.35">
      <c r="A1324" s="109">
        <v>45711</v>
      </c>
      <c r="B1324" s="121" t="s">
        <v>65</v>
      </c>
      <c r="C1324" s="111" t="s">
        <v>37</v>
      </c>
      <c r="E1324" s="121" t="s">
        <v>1611</v>
      </c>
      <c r="F1324" s="150">
        <f>-3936-144.06</f>
        <v>-4080.06</v>
      </c>
      <c r="G1324" s="135">
        <f>A1324+30</f>
        <v>45741</v>
      </c>
      <c r="H1324" s="133" t="s">
        <v>66</v>
      </c>
      <c r="I1324" s="134" t="s">
        <v>170</v>
      </c>
      <c r="K1324" s="135">
        <v>45698</v>
      </c>
      <c r="L1324" s="153">
        <v>-4080</v>
      </c>
      <c r="M1324" s="111"/>
    </row>
    <row r="1325" spans="1:14" x14ac:dyDescent="0.35">
      <c r="A1325" s="109">
        <v>45712</v>
      </c>
      <c r="B1325" s="111" t="s">
        <v>65</v>
      </c>
      <c r="C1325" s="121" t="s">
        <v>37</v>
      </c>
      <c r="E1325" s="121" t="s">
        <v>1612</v>
      </c>
      <c r="F1325" s="153">
        <v>-144.06</v>
      </c>
      <c r="G1325" s="135">
        <v>45727</v>
      </c>
      <c r="H1325" s="134" t="s">
        <v>66</v>
      </c>
      <c r="I1325" s="134" t="s">
        <v>168</v>
      </c>
      <c r="K1325" s="135">
        <v>45727</v>
      </c>
      <c r="L1325" s="153">
        <f t="shared" ref="L1325:L1330" si="55">F1325</f>
        <v>-144.06</v>
      </c>
      <c r="M1325" s="121" t="s">
        <v>1613</v>
      </c>
    </row>
    <row r="1326" spans="1:14" x14ac:dyDescent="0.35">
      <c r="A1326" s="109">
        <v>45712</v>
      </c>
      <c r="B1326" s="111" t="s">
        <v>65</v>
      </c>
      <c r="C1326" s="121" t="s">
        <v>37</v>
      </c>
      <c r="E1326" s="121" t="s">
        <v>1614</v>
      </c>
      <c r="F1326" s="153">
        <v>-3936</v>
      </c>
      <c r="G1326" s="135">
        <v>45727</v>
      </c>
      <c r="H1326" s="134" t="s">
        <v>66</v>
      </c>
      <c r="I1326" s="134" t="s">
        <v>168</v>
      </c>
      <c r="K1326" s="135">
        <v>45727</v>
      </c>
      <c r="L1326" s="153">
        <f t="shared" si="55"/>
        <v>-3936</v>
      </c>
      <c r="M1326" s="121" t="s">
        <v>1615</v>
      </c>
    </row>
    <row r="1327" spans="1:14" x14ac:dyDescent="0.35">
      <c r="A1327" s="109">
        <v>45770</v>
      </c>
      <c r="B1327" s="121" t="s">
        <v>65</v>
      </c>
      <c r="C1327" s="111" t="s">
        <v>37</v>
      </c>
      <c r="E1327" s="111" t="s">
        <v>1616</v>
      </c>
      <c r="F1327" s="150">
        <v>-3936</v>
      </c>
      <c r="G1327" s="135">
        <v>45785</v>
      </c>
      <c r="H1327" s="133" t="s">
        <v>66</v>
      </c>
      <c r="I1327" s="134" t="s">
        <v>170</v>
      </c>
      <c r="K1327" s="135">
        <v>45785</v>
      </c>
      <c r="L1327" s="153">
        <f t="shared" si="55"/>
        <v>-3936</v>
      </c>
      <c r="M1327" s="111" t="s">
        <v>1617</v>
      </c>
    </row>
    <row r="1328" spans="1:14" x14ac:dyDescent="0.35">
      <c r="A1328" s="109">
        <v>45770</v>
      </c>
      <c r="B1328" s="121" t="s">
        <v>65</v>
      </c>
      <c r="C1328" s="111" t="s">
        <v>37</v>
      </c>
      <c r="E1328" s="111" t="s">
        <v>1618</v>
      </c>
      <c r="F1328" s="150">
        <v>-144.06</v>
      </c>
      <c r="G1328" s="135">
        <v>45785</v>
      </c>
      <c r="H1328" s="133" t="s">
        <v>66</v>
      </c>
      <c r="I1328" s="134" t="s">
        <v>170</v>
      </c>
      <c r="K1328" s="135">
        <v>45785</v>
      </c>
      <c r="L1328" s="153">
        <f t="shared" si="55"/>
        <v>-144.06</v>
      </c>
      <c r="M1328" s="111" t="s">
        <v>1619</v>
      </c>
    </row>
    <row r="1329" spans="1:13" x14ac:dyDescent="0.35">
      <c r="A1329" s="109">
        <v>45800</v>
      </c>
      <c r="B1329" s="121" t="s">
        <v>65</v>
      </c>
      <c r="C1329" s="111" t="s">
        <v>37</v>
      </c>
      <c r="E1329" s="111" t="s">
        <v>167</v>
      </c>
      <c r="F1329" s="150">
        <v>-51.94</v>
      </c>
      <c r="G1329" s="135">
        <f>A1329+30</f>
        <v>45830</v>
      </c>
      <c r="H1329" s="133" t="s">
        <v>66</v>
      </c>
      <c r="I1329" s="134" t="s">
        <v>170</v>
      </c>
      <c r="K1329" s="135">
        <v>45818</v>
      </c>
      <c r="L1329" s="153">
        <f t="shared" si="55"/>
        <v>-51.94</v>
      </c>
      <c r="M1329" s="111" t="s">
        <v>1620</v>
      </c>
    </row>
    <row r="1330" spans="1:13" x14ac:dyDescent="0.35">
      <c r="A1330" s="109">
        <v>45800</v>
      </c>
      <c r="B1330" s="121" t="s">
        <v>65</v>
      </c>
      <c r="C1330" s="111" t="s">
        <v>37</v>
      </c>
      <c r="E1330" s="111" t="s">
        <v>1621</v>
      </c>
      <c r="F1330" s="150">
        <v>-3936</v>
      </c>
      <c r="G1330" s="135">
        <f>A1330+30</f>
        <v>45830</v>
      </c>
      <c r="H1330" s="133" t="s">
        <v>66</v>
      </c>
      <c r="I1330" s="134" t="s">
        <v>170</v>
      </c>
      <c r="K1330" s="135">
        <v>45818</v>
      </c>
      <c r="L1330" s="153">
        <f t="shared" si="55"/>
        <v>-3936</v>
      </c>
      <c r="M1330" s="111" t="s">
        <v>1622</v>
      </c>
    </row>
    <row r="1331" spans="1:13" x14ac:dyDescent="0.35">
      <c r="A1331" s="109">
        <v>45868</v>
      </c>
      <c r="B1331" s="111" t="s">
        <v>57</v>
      </c>
      <c r="C1331" s="121" t="s">
        <v>1623</v>
      </c>
      <c r="E1331" s="121" t="s">
        <v>1624</v>
      </c>
      <c r="F1331" s="153">
        <v>544</v>
      </c>
      <c r="H1331" s="134" t="s">
        <v>66</v>
      </c>
      <c r="I1331" s="133" t="s">
        <v>232</v>
      </c>
      <c r="K1331" s="135">
        <v>45869</v>
      </c>
    </row>
    <row r="1332" spans="1:13" x14ac:dyDescent="0.35">
      <c r="A1332" s="109">
        <v>45504</v>
      </c>
      <c r="B1332" s="121" t="s">
        <v>57</v>
      </c>
      <c r="C1332" s="111" t="s">
        <v>61</v>
      </c>
      <c r="D1332" s="111" t="s">
        <v>1625</v>
      </c>
      <c r="E1332" s="111" t="s">
        <v>1626</v>
      </c>
      <c r="F1332" s="149">
        <v>148.5</v>
      </c>
      <c r="G1332" s="135">
        <f>A1332+30</f>
        <v>45534</v>
      </c>
      <c r="H1332" s="133" t="s">
        <v>66</v>
      </c>
      <c r="I1332" s="133" t="s">
        <v>135</v>
      </c>
      <c r="K1332" s="135"/>
      <c r="L1332" s="153">
        <f>F1332</f>
        <v>148.5</v>
      </c>
      <c r="M1332" s="111">
        <v>510177670</v>
      </c>
    </row>
    <row r="1333" spans="1:13" x14ac:dyDescent="0.35">
      <c r="A1333" s="109">
        <v>45649</v>
      </c>
      <c r="B1333" s="111" t="s">
        <v>65</v>
      </c>
      <c r="C1333" s="111" t="s">
        <v>37</v>
      </c>
      <c r="E1333" s="111" t="s">
        <v>1627</v>
      </c>
      <c r="F1333" s="131">
        <v>-3936</v>
      </c>
      <c r="G1333" s="135">
        <f>IF(OR(C1333="Matosinhos",C1333="Bolhão"),A1333,A1333+30)</f>
        <v>45679</v>
      </c>
      <c r="H1333" s="133" t="s">
        <v>66</v>
      </c>
      <c r="I1333" s="133" t="s">
        <v>168</v>
      </c>
      <c r="K1333" s="135">
        <v>45931</v>
      </c>
      <c r="L1333" s="153">
        <f>F1333</f>
        <v>-3936</v>
      </c>
      <c r="M1333" s="111" t="s">
        <v>424</v>
      </c>
    </row>
    <row r="1334" spans="1:13" x14ac:dyDescent="0.35">
      <c r="A1334" s="109">
        <v>45649</v>
      </c>
      <c r="B1334" s="111" t="s">
        <v>65</v>
      </c>
      <c r="C1334" s="111" t="s">
        <v>37</v>
      </c>
      <c r="E1334" s="111" t="s">
        <v>1628</v>
      </c>
      <c r="F1334" s="131">
        <v>-144.06</v>
      </c>
      <c r="G1334" s="135">
        <f>IF(OR(C1334="Matosinhos",C1334="Bolhão"),A1334,A1334+30)</f>
        <v>45679</v>
      </c>
      <c r="H1334" s="133" t="s">
        <v>66</v>
      </c>
      <c r="I1334" s="133" t="s">
        <v>168</v>
      </c>
      <c r="K1334" s="135">
        <v>45931</v>
      </c>
      <c r="L1334" s="153">
        <f>F1334</f>
        <v>-144.06</v>
      </c>
      <c r="M1334" s="111" t="s">
        <v>1629</v>
      </c>
    </row>
    <row r="1335" spans="1:13" x14ac:dyDescent="0.35">
      <c r="A1335" s="109">
        <v>45523</v>
      </c>
      <c r="B1335" s="111" t="s">
        <v>65</v>
      </c>
      <c r="C1335" s="111" t="s">
        <v>1630</v>
      </c>
      <c r="E1335" s="111" t="s">
        <v>1631</v>
      </c>
      <c r="F1335" s="131">
        <v>-310.76</v>
      </c>
      <c r="G1335" s="135"/>
      <c r="H1335" s="133" t="s">
        <v>66</v>
      </c>
      <c r="I1335" s="133" t="s">
        <v>131</v>
      </c>
      <c r="K1335" s="135"/>
      <c r="L1335" s="153">
        <f>F1335</f>
        <v>-310.76</v>
      </c>
      <c r="M1335" s="111" t="s">
        <v>1632</v>
      </c>
    </row>
    <row r="1336" spans="1:13" x14ac:dyDescent="0.35">
      <c r="A1336" s="109">
        <v>45688</v>
      </c>
      <c r="B1336" s="121" t="s">
        <v>65</v>
      </c>
      <c r="C1336" s="111" t="s">
        <v>50</v>
      </c>
      <c r="F1336" s="202">
        <v>-13450</v>
      </c>
      <c r="G1336" s="135">
        <v>45688</v>
      </c>
      <c r="H1336" s="133" t="s">
        <v>66</v>
      </c>
      <c r="I1336" s="134"/>
      <c r="K1336" s="135">
        <v>45688</v>
      </c>
      <c r="L1336" s="153">
        <v>-13450</v>
      </c>
      <c r="M1336" s="111"/>
    </row>
    <row r="1337" spans="1:13" x14ac:dyDescent="0.35">
      <c r="A1337" s="180">
        <v>45911</v>
      </c>
      <c r="B1337" s="111" t="s">
        <v>65</v>
      </c>
      <c r="C1337" s="111" t="s">
        <v>43</v>
      </c>
      <c r="F1337" s="153">
        <v>-5112.88</v>
      </c>
      <c r="G1337" s="135">
        <v>45922</v>
      </c>
      <c r="H1337" s="133" t="s">
        <v>66</v>
      </c>
      <c r="I1337" s="133" t="s">
        <v>119</v>
      </c>
      <c r="K1337" s="135">
        <v>45922</v>
      </c>
    </row>
    <row r="1338" spans="1:13" x14ac:dyDescent="0.35">
      <c r="A1338" s="109">
        <v>45938</v>
      </c>
      <c r="B1338" s="121" t="s">
        <v>65</v>
      </c>
      <c r="C1338" s="121" t="s">
        <v>46</v>
      </c>
      <c r="F1338" s="153">
        <v>-615.53</v>
      </c>
      <c r="G1338" s="135">
        <v>45950</v>
      </c>
      <c r="H1338" s="134" t="s">
        <v>66</v>
      </c>
      <c r="I1338" s="134" t="s">
        <v>633</v>
      </c>
      <c r="K1338" s="135">
        <v>45950</v>
      </c>
      <c r="M1338" s="186" t="s">
        <v>1633</v>
      </c>
    </row>
    <row r="1339" spans="1:13" x14ac:dyDescent="0.35">
      <c r="A1339" s="109">
        <v>45938</v>
      </c>
      <c r="B1339" s="121" t="s">
        <v>65</v>
      </c>
      <c r="C1339" s="111" t="s">
        <v>43</v>
      </c>
      <c r="F1339" s="153">
        <v>-5647.48</v>
      </c>
      <c r="G1339" s="135">
        <v>45950</v>
      </c>
      <c r="H1339" s="134" t="s">
        <v>66</v>
      </c>
      <c r="I1339" s="134" t="s">
        <v>633</v>
      </c>
      <c r="K1339" s="135">
        <v>45950</v>
      </c>
      <c r="M1339" s="186" t="s">
        <v>1634</v>
      </c>
    </row>
    <row r="1340" spans="1:13" x14ac:dyDescent="0.35">
      <c r="A1340" s="109">
        <v>45967</v>
      </c>
      <c r="B1340" s="111" t="s">
        <v>65</v>
      </c>
      <c r="C1340" s="121" t="s">
        <v>41</v>
      </c>
      <c r="F1340" s="153">
        <v>-87</v>
      </c>
      <c r="G1340" s="135">
        <v>45981</v>
      </c>
      <c r="H1340" s="133" t="s">
        <v>66</v>
      </c>
      <c r="I1340" s="133" t="s">
        <v>829</v>
      </c>
      <c r="K1340" s="135">
        <v>45981</v>
      </c>
      <c r="M1340" s="184">
        <v>156790245937757</v>
      </c>
    </row>
    <row r="1341" spans="1:13" x14ac:dyDescent="0.35">
      <c r="A1341" s="109">
        <v>45967</v>
      </c>
      <c r="B1341" s="111" t="s">
        <v>65</v>
      </c>
      <c r="C1341" s="111" t="s">
        <v>46</v>
      </c>
      <c r="F1341" s="153">
        <v>-615.53</v>
      </c>
      <c r="G1341" s="135">
        <v>45981</v>
      </c>
      <c r="H1341" s="133" t="s">
        <v>66</v>
      </c>
      <c r="I1341" s="133" t="s">
        <v>829</v>
      </c>
      <c r="K1341" s="135">
        <v>45981</v>
      </c>
      <c r="M1341" s="184">
        <v>156180670446009</v>
      </c>
    </row>
    <row r="1342" spans="1:13" x14ac:dyDescent="0.35">
      <c r="A1342" s="109">
        <v>45967</v>
      </c>
      <c r="B1342" s="111" t="s">
        <v>65</v>
      </c>
      <c r="C1342" s="111" t="s">
        <v>43</v>
      </c>
      <c r="F1342" s="153">
        <v>-3980.31</v>
      </c>
      <c r="G1342" s="135">
        <v>45981</v>
      </c>
      <c r="H1342" s="133" t="s">
        <v>66</v>
      </c>
      <c r="I1342" s="133" t="s">
        <v>829</v>
      </c>
      <c r="K1342" s="135">
        <v>45981</v>
      </c>
      <c r="M1342" s="184" t="s">
        <v>1635</v>
      </c>
    </row>
    <row r="1343" spans="1:13" x14ac:dyDescent="0.35">
      <c r="A1343" s="109">
        <v>45973</v>
      </c>
      <c r="B1343" s="121" t="s">
        <v>65</v>
      </c>
      <c r="C1343" s="111" t="s">
        <v>1636</v>
      </c>
      <c r="F1343" s="153">
        <v>-15725.36</v>
      </c>
      <c r="G1343" s="135">
        <v>45986</v>
      </c>
      <c r="H1343" s="133" t="s">
        <v>66</v>
      </c>
      <c r="I1343" s="133" t="s">
        <v>829</v>
      </c>
      <c r="K1343" s="135">
        <v>45986</v>
      </c>
      <c r="M1343" s="219" t="s">
        <v>1637</v>
      </c>
    </row>
    <row r="1344" spans="1:13" x14ac:dyDescent="0.35">
      <c r="A1344" s="109">
        <v>45973</v>
      </c>
      <c r="B1344" s="121" t="s">
        <v>65</v>
      </c>
      <c r="C1344" s="111" t="s">
        <v>1638</v>
      </c>
      <c r="F1344" s="153">
        <v>-15725.35</v>
      </c>
      <c r="G1344" s="135">
        <v>46017</v>
      </c>
      <c r="H1344" s="134" t="s">
        <v>66</v>
      </c>
      <c r="I1344" s="133" t="s">
        <v>829</v>
      </c>
      <c r="K1344" s="236">
        <v>46020</v>
      </c>
      <c r="M1344" s="186" t="s">
        <v>1639</v>
      </c>
    </row>
    <row r="1345" spans="1:13" x14ac:dyDescent="0.35">
      <c r="A1345" s="109">
        <v>46001</v>
      </c>
      <c r="B1345" s="111" t="s">
        <v>65</v>
      </c>
      <c r="C1345" s="111" t="s">
        <v>41</v>
      </c>
      <c r="F1345" s="153">
        <v>-153</v>
      </c>
      <c r="G1345" s="135">
        <v>46013</v>
      </c>
      <c r="H1345" s="134" t="s">
        <v>66</v>
      </c>
      <c r="I1345" s="133" t="s">
        <v>1093</v>
      </c>
      <c r="K1345" s="160">
        <v>46013</v>
      </c>
      <c r="M1345" s="186" t="s">
        <v>1640</v>
      </c>
    </row>
    <row r="1346" spans="1:13" x14ac:dyDescent="0.35">
      <c r="A1346" s="109">
        <v>46001</v>
      </c>
      <c r="B1346" s="111" t="s">
        <v>65</v>
      </c>
      <c r="C1346" s="111" t="s">
        <v>46</v>
      </c>
      <c r="F1346" s="153">
        <v>-615.53</v>
      </c>
      <c r="G1346" s="135">
        <v>46013</v>
      </c>
      <c r="H1346" s="134" t="s">
        <v>66</v>
      </c>
      <c r="I1346" s="133" t="s">
        <v>1093</v>
      </c>
      <c r="K1346" s="160">
        <v>46013</v>
      </c>
      <c r="M1346" s="196" t="s">
        <v>1641</v>
      </c>
    </row>
    <row r="1347" spans="1:13" x14ac:dyDescent="0.35">
      <c r="A1347" s="109">
        <v>46001</v>
      </c>
      <c r="B1347" s="111" t="s">
        <v>65</v>
      </c>
      <c r="C1347" s="111" t="s">
        <v>1642</v>
      </c>
      <c r="F1347" s="153">
        <v>-4057.25</v>
      </c>
      <c r="G1347" s="135">
        <v>46013</v>
      </c>
      <c r="H1347" s="134" t="s">
        <v>66</v>
      </c>
      <c r="I1347" s="133" t="s">
        <v>1093</v>
      </c>
      <c r="K1347" s="160">
        <v>46013</v>
      </c>
      <c r="M1347" s="196" t="s">
        <v>1643</v>
      </c>
    </row>
    <row r="1348" spans="1:13" x14ac:dyDescent="0.35">
      <c r="A1348" s="109">
        <v>46036</v>
      </c>
      <c r="B1348" s="111" t="s">
        <v>65</v>
      </c>
      <c r="C1348" s="111" t="s">
        <v>1644</v>
      </c>
      <c r="F1348" s="153">
        <v>-4875</v>
      </c>
      <c r="H1348" s="133" t="s">
        <v>66</v>
      </c>
      <c r="I1348" s="133" t="s">
        <v>1645</v>
      </c>
      <c r="K1348" s="160">
        <v>45677</v>
      </c>
    </row>
    <row r="1349" spans="1:13" x14ac:dyDescent="0.35">
      <c r="A1349" s="109">
        <v>46038</v>
      </c>
      <c r="B1349" s="111" t="s">
        <v>65</v>
      </c>
      <c r="C1349" s="111" t="s">
        <v>41</v>
      </c>
      <c r="F1349" s="153">
        <v>-151</v>
      </c>
      <c r="G1349" s="135">
        <v>46042</v>
      </c>
      <c r="H1349" s="133" t="s">
        <v>66</v>
      </c>
      <c r="K1349" s="160">
        <v>46042</v>
      </c>
      <c r="M1349" s="184">
        <v>156890251803198</v>
      </c>
    </row>
    <row r="1350" spans="1:13" x14ac:dyDescent="0.35">
      <c r="A1350" s="109">
        <v>46038</v>
      </c>
      <c r="B1350" s="111" t="s">
        <v>65</v>
      </c>
      <c r="C1350" s="111" t="s">
        <v>46</v>
      </c>
      <c r="F1350" s="153">
        <v>-615.53</v>
      </c>
      <c r="G1350" s="135">
        <v>46042</v>
      </c>
      <c r="H1350" s="133" t="s">
        <v>66</v>
      </c>
      <c r="K1350" s="160">
        <v>46042</v>
      </c>
      <c r="M1350" s="184">
        <v>156280674626591</v>
      </c>
    </row>
    <row r="1351" spans="1:13" x14ac:dyDescent="0.35">
      <c r="A1351" s="109">
        <v>45514</v>
      </c>
      <c r="B1351" s="121" t="s">
        <v>57</v>
      </c>
      <c r="C1351" s="111" t="s">
        <v>61</v>
      </c>
      <c r="D1351" s="111" t="s">
        <v>1625</v>
      </c>
      <c r="E1351" s="111" t="s">
        <v>1646</v>
      </c>
      <c r="F1351" s="149">
        <v>58.62</v>
      </c>
      <c r="G1351" s="135">
        <f t="shared" ref="G1351:G1361" si="56">A1351+30</f>
        <v>45544</v>
      </c>
      <c r="H1351" s="133" t="s">
        <v>66</v>
      </c>
      <c r="I1351" s="133" t="s">
        <v>135</v>
      </c>
      <c r="K1351" s="135"/>
      <c r="L1351" s="153">
        <f t="shared" ref="L1351:L1361" si="57">F1351</f>
        <v>58.62</v>
      </c>
      <c r="M1351" s="111">
        <v>510177670</v>
      </c>
    </row>
    <row r="1352" spans="1:13" x14ac:dyDescent="0.35">
      <c r="A1352" s="109">
        <v>45518</v>
      </c>
      <c r="B1352" s="121" t="s">
        <v>57</v>
      </c>
      <c r="C1352" s="111" t="s">
        <v>61</v>
      </c>
      <c r="D1352" s="111" t="s">
        <v>1625</v>
      </c>
      <c r="E1352" s="111" t="s">
        <v>1647</v>
      </c>
      <c r="F1352" s="149">
        <v>74.45</v>
      </c>
      <c r="G1352" s="135">
        <f t="shared" si="56"/>
        <v>45548</v>
      </c>
      <c r="H1352" s="133" t="s">
        <v>66</v>
      </c>
      <c r="I1352" s="133" t="s">
        <v>135</v>
      </c>
      <c r="K1352" s="135"/>
      <c r="L1352" s="153">
        <f t="shared" si="57"/>
        <v>74.45</v>
      </c>
      <c r="M1352" s="111">
        <v>510177670</v>
      </c>
    </row>
    <row r="1353" spans="1:13" x14ac:dyDescent="0.35">
      <c r="A1353" s="109">
        <v>45520</v>
      </c>
      <c r="B1353" s="121" t="s">
        <v>57</v>
      </c>
      <c r="C1353" s="111" t="s">
        <v>61</v>
      </c>
      <c r="D1353" s="111" t="s">
        <v>1625</v>
      </c>
      <c r="E1353" s="111" t="s">
        <v>1648</v>
      </c>
      <c r="F1353" s="149">
        <v>27.11</v>
      </c>
      <c r="G1353" s="135">
        <f t="shared" si="56"/>
        <v>45550</v>
      </c>
      <c r="H1353" s="133" t="s">
        <v>66</v>
      </c>
      <c r="I1353" s="133" t="s">
        <v>135</v>
      </c>
      <c r="K1353" s="135"/>
      <c r="L1353" s="153">
        <f t="shared" si="57"/>
        <v>27.11</v>
      </c>
      <c r="M1353" s="111">
        <v>510177670</v>
      </c>
    </row>
    <row r="1354" spans="1:13" x14ac:dyDescent="0.35">
      <c r="A1354" s="109">
        <v>45528</v>
      </c>
      <c r="B1354" s="121" t="s">
        <v>57</v>
      </c>
      <c r="C1354" s="111" t="s">
        <v>61</v>
      </c>
      <c r="D1354" s="111" t="s">
        <v>1625</v>
      </c>
      <c r="E1354" s="111" t="s">
        <v>1649</v>
      </c>
      <c r="F1354" s="149">
        <v>90.31</v>
      </c>
      <c r="G1354" s="135">
        <f t="shared" si="56"/>
        <v>45558</v>
      </c>
      <c r="H1354" s="133" t="s">
        <v>66</v>
      </c>
      <c r="I1354" s="133" t="s">
        <v>135</v>
      </c>
      <c r="K1354" s="135"/>
      <c r="L1354" s="153">
        <f t="shared" si="57"/>
        <v>90.31</v>
      </c>
      <c r="M1354" s="111">
        <v>510177670</v>
      </c>
    </row>
    <row r="1355" spans="1:13" x14ac:dyDescent="0.35">
      <c r="A1355" s="109">
        <v>45533</v>
      </c>
      <c r="B1355" s="121" t="s">
        <v>57</v>
      </c>
      <c r="C1355" s="111" t="s">
        <v>61</v>
      </c>
      <c r="D1355" s="111" t="s">
        <v>1625</v>
      </c>
      <c r="E1355" s="111" t="s">
        <v>1650</v>
      </c>
      <c r="F1355" s="149">
        <v>201.65</v>
      </c>
      <c r="G1355" s="135">
        <f t="shared" si="56"/>
        <v>45563</v>
      </c>
      <c r="H1355" s="133" t="s">
        <v>66</v>
      </c>
      <c r="I1355" s="133" t="s">
        <v>135</v>
      </c>
      <c r="K1355" s="135"/>
      <c r="L1355" s="153">
        <f t="shared" si="57"/>
        <v>201.65</v>
      </c>
      <c r="M1355" s="111">
        <v>510177670</v>
      </c>
    </row>
    <row r="1356" spans="1:13" x14ac:dyDescent="0.35">
      <c r="A1356" s="109">
        <v>45546</v>
      </c>
      <c r="B1356" s="121" t="s">
        <v>57</v>
      </c>
      <c r="C1356" s="111" t="s">
        <v>61</v>
      </c>
      <c r="D1356" s="111" t="s">
        <v>1625</v>
      </c>
      <c r="E1356" s="111" t="s">
        <v>1651</v>
      </c>
      <c r="F1356" s="149">
        <v>96.33</v>
      </c>
      <c r="G1356" s="135">
        <f t="shared" si="56"/>
        <v>45576</v>
      </c>
      <c r="H1356" s="133" t="s">
        <v>66</v>
      </c>
      <c r="I1356" s="133" t="s">
        <v>135</v>
      </c>
      <c r="K1356" s="135"/>
      <c r="L1356" s="153">
        <f t="shared" si="57"/>
        <v>96.33</v>
      </c>
      <c r="M1356" s="111">
        <v>510177670</v>
      </c>
    </row>
    <row r="1357" spans="1:13" x14ac:dyDescent="0.35">
      <c r="A1357" s="109">
        <v>45498</v>
      </c>
      <c r="B1357" s="121" t="s">
        <v>57</v>
      </c>
      <c r="C1357" s="111" t="s">
        <v>61</v>
      </c>
      <c r="D1357" s="111" t="s">
        <v>1625</v>
      </c>
      <c r="E1357" s="111" t="s">
        <v>1652</v>
      </c>
      <c r="F1357" s="149">
        <v>116.42</v>
      </c>
      <c r="G1357" s="135">
        <f t="shared" si="56"/>
        <v>45528</v>
      </c>
      <c r="H1357" s="133" t="s">
        <v>66</v>
      </c>
      <c r="I1357" s="133" t="s">
        <v>135</v>
      </c>
      <c r="K1357" s="135"/>
      <c r="L1357" s="153">
        <f t="shared" si="57"/>
        <v>116.42</v>
      </c>
      <c r="M1357" s="111">
        <v>510177670</v>
      </c>
    </row>
    <row r="1358" spans="1:13" x14ac:dyDescent="0.35">
      <c r="A1358" s="109">
        <v>45555</v>
      </c>
      <c r="B1358" s="121" t="s">
        <v>57</v>
      </c>
      <c r="C1358" s="111" t="s">
        <v>61</v>
      </c>
      <c r="D1358" s="111" t="s">
        <v>1625</v>
      </c>
      <c r="E1358" s="111" t="s">
        <v>1653</v>
      </c>
      <c r="F1358" s="149">
        <v>108.7</v>
      </c>
      <c r="G1358" s="135">
        <f t="shared" si="56"/>
        <v>45585</v>
      </c>
      <c r="H1358" s="133" t="s">
        <v>66</v>
      </c>
      <c r="I1358" s="133" t="s">
        <v>135</v>
      </c>
      <c r="K1358" s="135"/>
      <c r="L1358" s="153">
        <f t="shared" si="57"/>
        <v>108.7</v>
      </c>
      <c r="M1358" s="111">
        <v>510177670</v>
      </c>
    </row>
    <row r="1359" spans="1:13" x14ac:dyDescent="0.35">
      <c r="A1359" s="109">
        <v>45560</v>
      </c>
      <c r="B1359" s="121" t="s">
        <v>57</v>
      </c>
      <c r="C1359" s="111" t="s">
        <v>61</v>
      </c>
      <c r="D1359" s="111" t="s">
        <v>1625</v>
      </c>
      <c r="E1359" s="111" t="s">
        <v>1654</v>
      </c>
      <c r="F1359" s="149">
        <v>62.83</v>
      </c>
      <c r="G1359" s="135">
        <f t="shared" si="56"/>
        <v>45590</v>
      </c>
      <c r="H1359" s="133" t="s">
        <v>66</v>
      </c>
      <c r="I1359" s="133" t="s">
        <v>135</v>
      </c>
      <c r="K1359" s="135"/>
      <c r="L1359" s="153">
        <f t="shared" si="57"/>
        <v>62.83</v>
      </c>
      <c r="M1359" s="111">
        <v>510177670</v>
      </c>
    </row>
    <row r="1360" spans="1:13" x14ac:dyDescent="0.35">
      <c r="A1360" s="109">
        <v>45093</v>
      </c>
      <c r="B1360" s="121" t="s">
        <v>57</v>
      </c>
      <c r="C1360" s="111" t="s">
        <v>61</v>
      </c>
      <c r="D1360" s="111" t="s">
        <v>1625</v>
      </c>
      <c r="E1360" s="111" t="s">
        <v>1655</v>
      </c>
      <c r="F1360" s="149">
        <v>87.91</v>
      </c>
      <c r="G1360" s="135">
        <f t="shared" si="56"/>
        <v>45123</v>
      </c>
      <c r="H1360" s="133" t="s">
        <v>66</v>
      </c>
      <c r="I1360" s="133" t="s">
        <v>135</v>
      </c>
      <c r="K1360" s="135"/>
      <c r="L1360" s="153">
        <f t="shared" si="57"/>
        <v>87.91</v>
      </c>
      <c r="M1360" s="111">
        <v>510177670</v>
      </c>
    </row>
    <row r="1361" spans="1:13" x14ac:dyDescent="0.35">
      <c r="A1361" s="109">
        <v>45099</v>
      </c>
      <c r="B1361" s="121" t="s">
        <v>57</v>
      </c>
      <c r="C1361" s="111" t="s">
        <v>61</v>
      </c>
      <c r="D1361" s="111" t="s">
        <v>1625</v>
      </c>
      <c r="E1361" s="111" t="s">
        <v>1656</v>
      </c>
      <c r="F1361" s="149">
        <v>56.49</v>
      </c>
      <c r="G1361" s="135">
        <f t="shared" si="56"/>
        <v>45129</v>
      </c>
      <c r="H1361" s="133" t="s">
        <v>66</v>
      </c>
      <c r="I1361" s="133" t="s">
        <v>135</v>
      </c>
      <c r="K1361" s="135"/>
      <c r="L1361" s="153">
        <f t="shared" si="57"/>
        <v>56.49</v>
      </c>
      <c r="M1361" s="111">
        <v>510177670</v>
      </c>
    </row>
    <row r="1362" spans="1:13" x14ac:dyDescent="0.35">
      <c r="A1362" s="109">
        <v>46038</v>
      </c>
      <c r="B1362" s="111" t="s">
        <v>65</v>
      </c>
      <c r="C1362" s="111" t="s">
        <v>1642</v>
      </c>
      <c r="F1362" s="153">
        <v>-4167.54</v>
      </c>
      <c r="G1362" s="135">
        <v>46042</v>
      </c>
      <c r="H1362" s="133" t="s">
        <v>66</v>
      </c>
      <c r="K1362" s="160">
        <v>46042</v>
      </c>
    </row>
    <row r="1363" spans="1:13" x14ac:dyDescent="0.35">
      <c r="A1363" s="109">
        <v>45923</v>
      </c>
      <c r="B1363" s="121" t="s">
        <v>65</v>
      </c>
      <c r="C1363" s="111" t="s">
        <v>100</v>
      </c>
      <c r="E1363" s="111" t="s">
        <v>1657</v>
      </c>
      <c r="F1363" s="153">
        <v>-64.48</v>
      </c>
      <c r="H1363" s="134" t="s">
        <v>66</v>
      </c>
      <c r="I1363" s="133" t="s">
        <v>119</v>
      </c>
      <c r="K1363" s="135">
        <v>45923</v>
      </c>
    </row>
    <row r="1364" spans="1:13" x14ac:dyDescent="0.35">
      <c r="A1364" s="109">
        <v>45615</v>
      </c>
      <c r="B1364" s="111" t="s">
        <v>65</v>
      </c>
      <c r="C1364" s="111" t="s">
        <v>45</v>
      </c>
      <c r="E1364" s="111" t="s">
        <v>1658</v>
      </c>
      <c r="F1364" s="149">
        <v>-984</v>
      </c>
      <c r="G1364" s="135"/>
      <c r="H1364" s="133" t="s">
        <v>66</v>
      </c>
      <c r="I1364" s="133" t="s">
        <v>119</v>
      </c>
      <c r="K1364" s="135">
        <v>45754</v>
      </c>
      <c r="L1364" s="153">
        <f>F1364</f>
        <v>-984</v>
      </c>
      <c r="M1364" s="111" t="s">
        <v>1659</v>
      </c>
    </row>
    <row r="1365" spans="1:13" x14ac:dyDescent="0.35">
      <c r="A1365" s="109">
        <v>45509</v>
      </c>
      <c r="B1365" s="111" t="s">
        <v>65</v>
      </c>
      <c r="C1365" s="111" t="s">
        <v>45</v>
      </c>
      <c r="E1365" s="111" t="s">
        <v>1660</v>
      </c>
      <c r="F1365" s="149">
        <v>-3536.25</v>
      </c>
      <c r="G1365" s="135"/>
      <c r="H1365" s="133" t="s">
        <v>66</v>
      </c>
      <c r="I1365" s="133" t="s">
        <v>715</v>
      </c>
      <c r="K1365" s="135"/>
      <c r="L1365" s="153">
        <f>F1365</f>
        <v>-3536.25</v>
      </c>
      <c r="M1365" s="111" t="s">
        <v>1661</v>
      </c>
    </row>
    <row r="1366" spans="1:13" x14ac:dyDescent="0.35">
      <c r="A1366" s="109">
        <v>45574</v>
      </c>
      <c r="B1366" s="111" t="s">
        <v>65</v>
      </c>
      <c r="C1366" s="111" t="s">
        <v>45</v>
      </c>
      <c r="E1366" s="111" t="s">
        <v>1662</v>
      </c>
      <c r="F1366" s="149">
        <v>-61.5</v>
      </c>
      <c r="G1366" s="135"/>
      <c r="H1366" s="134" t="s">
        <v>66</v>
      </c>
      <c r="I1366" s="133" t="s">
        <v>715</v>
      </c>
      <c r="K1366" s="135"/>
      <c r="L1366" s="153">
        <f>F1366</f>
        <v>-61.5</v>
      </c>
      <c r="M1366" s="111" t="s">
        <v>1663</v>
      </c>
    </row>
    <row r="1367" spans="1:13" x14ac:dyDescent="0.35">
      <c r="A1367" s="109">
        <v>45615</v>
      </c>
      <c r="B1367" s="111" t="s">
        <v>65</v>
      </c>
      <c r="C1367" s="111" t="s">
        <v>45</v>
      </c>
      <c r="E1367" s="111" t="s">
        <v>1664</v>
      </c>
      <c r="F1367" s="149">
        <v>-799.5</v>
      </c>
      <c r="G1367" s="135"/>
      <c r="H1367" s="133" t="s">
        <v>66</v>
      </c>
      <c r="I1367" s="133" t="s">
        <v>1665</v>
      </c>
      <c r="K1367" s="135">
        <v>45394</v>
      </c>
      <c r="L1367" s="153">
        <f>F1367</f>
        <v>-799.5</v>
      </c>
      <c r="M1367" s="111" t="s">
        <v>1666</v>
      </c>
    </row>
    <row r="1368" spans="1:13" x14ac:dyDescent="0.35">
      <c r="A1368" s="109">
        <v>45788</v>
      </c>
      <c r="B1368" s="111" t="s">
        <v>65</v>
      </c>
      <c r="C1368" s="111" t="s">
        <v>1667</v>
      </c>
      <c r="E1368" s="111" t="s">
        <v>1399</v>
      </c>
      <c r="F1368" s="153">
        <v>-1291.5</v>
      </c>
      <c r="G1368" s="135">
        <v>45818</v>
      </c>
      <c r="H1368" s="133" t="s">
        <v>66</v>
      </c>
      <c r="I1368" s="133" t="s">
        <v>906</v>
      </c>
      <c r="K1368" s="135">
        <v>45820</v>
      </c>
      <c r="L1368" s="153">
        <f>F1368</f>
        <v>-1291.5</v>
      </c>
      <c r="M1368" s="111" t="s">
        <v>1668</v>
      </c>
    </row>
    <row r="1369" spans="1:13" x14ac:dyDescent="0.35">
      <c r="A1369" s="109">
        <v>45931</v>
      </c>
      <c r="B1369" s="121" t="s">
        <v>65</v>
      </c>
      <c r="C1369" s="121" t="s">
        <v>101</v>
      </c>
      <c r="E1369" s="121" t="s">
        <v>1669</v>
      </c>
      <c r="F1369" s="153">
        <v>-1054.1099999999999</v>
      </c>
      <c r="H1369" s="134" t="s">
        <v>66</v>
      </c>
      <c r="I1369" s="134" t="s">
        <v>119</v>
      </c>
      <c r="K1369" s="135">
        <v>45944</v>
      </c>
    </row>
    <row r="1370" spans="1:13" x14ac:dyDescent="0.35">
      <c r="A1370" s="109">
        <v>45962</v>
      </c>
      <c r="B1370" s="111" t="s">
        <v>65</v>
      </c>
      <c r="C1370" s="111" t="s">
        <v>102</v>
      </c>
      <c r="F1370" s="153">
        <v>-1950</v>
      </c>
      <c r="H1370" s="133" t="s">
        <v>66</v>
      </c>
      <c r="I1370" s="133" t="s">
        <v>1645</v>
      </c>
      <c r="K1370" s="135">
        <v>45975</v>
      </c>
      <c r="M1370" s="75" t="s">
        <v>1670</v>
      </c>
    </row>
    <row r="1371" spans="1:13" x14ac:dyDescent="0.35">
      <c r="A1371" s="109">
        <v>45960</v>
      </c>
      <c r="B1371" s="111" t="s">
        <v>65</v>
      </c>
      <c r="C1371" s="111" t="s">
        <v>102</v>
      </c>
      <c r="F1371" s="153">
        <v>-15600</v>
      </c>
      <c r="H1371" s="133" t="s">
        <v>66</v>
      </c>
      <c r="I1371" s="133" t="s">
        <v>1645</v>
      </c>
      <c r="K1371" s="135"/>
      <c r="M1371" s="75" t="s">
        <v>1671</v>
      </c>
    </row>
    <row r="1372" spans="1:13" x14ac:dyDescent="0.35">
      <c r="A1372" s="109">
        <v>45975</v>
      </c>
      <c r="B1372" s="111" t="s">
        <v>65</v>
      </c>
      <c r="C1372" s="111" t="s">
        <v>102</v>
      </c>
      <c r="F1372" s="194">
        <v>-1462.5</v>
      </c>
      <c r="G1372" s="135">
        <v>45992</v>
      </c>
      <c r="H1372" s="133" t="s">
        <v>66</v>
      </c>
      <c r="I1372" s="133" t="s">
        <v>1645</v>
      </c>
      <c r="K1372" s="135"/>
      <c r="L1372" s="196" t="s">
        <v>1670</v>
      </c>
      <c r="M1372" s="196" t="s">
        <v>1672</v>
      </c>
    </row>
    <row r="1373" spans="1:13" x14ac:dyDescent="0.35">
      <c r="A1373" s="109">
        <v>45412</v>
      </c>
      <c r="B1373" s="111" t="s">
        <v>65</v>
      </c>
      <c r="C1373" s="111" t="s">
        <v>103</v>
      </c>
      <c r="E1373" s="111" t="s">
        <v>1673</v>
      </c>
      <c r="F1373" s="149">
        <v>-369</v>
      </c>
      <c r="G1373" s="135"/>
      <c r="H1373" s="133" t="s">
        <v>66</v>
      </c>
      <c r="I1373" s="133" t="s">
        <v>119</v>
      </c>
      <c r="J1373" s="111">
        <v>45434</v>
      </c>
      <c r="K1373" s="135"/>
      <c r="L1373" s="153">
        <f t="shared" ref="L1373:L1378" si="58">F1373</f>
        <v>-369</v>
      </c>
      <c r="M1373" s="111" t="s">
        <v>1674</v>
      </c>
    </row>
    <row r="1374" spans="1:13" x14ac:dyDescent="0.35">
      <c r="A1374" s="109">
        <v>45624</v>
      </c>
      <c r="B1374" s="111" t="s">
        <v>65</v>
      </c>
      <c r="C1374" s="111" t="s">
        <v>103</v>
      </c>
      <c r="E1374" s="111" t="s">
        <v>1675</v>
      </c>
      <c r="F1374" s="149">
        <v>-184.5</v>
      </c>
      <c r="G1374" s="135">
        <v>45624</v>
      </c>
      <c r="H1374" s="133" t="s">
        <v>66</v>
      </c>
      <c r="I1374" s="133" t="s">
        <v>168</v>
      </c>
      <c r="K1374" s="135"/>
      <c r="L1374" s="153">
        <f t="shared" si="58"/>
        <v>-184.5</v>
      </c>
      <c r="M1374" s="111" t="s">
        <v>1676</v>
      </c>
    </row>
    <row r="1375" spans="1:13" x14ac:dyDescent="0.35">
      <c r="A1375" s="109">
        <v>45100</v>
      </c>
      <c r="B1375" s="121" t="s">
        <v>57</v>
      </c>
      <c r="C1375" s="111" t="s">
        <v>61</v>
      </c>
      <c r="D1375" s="111" t="s">
        <v>1625</v>
      </c>
      <c r="E1375" s="111" t="s">
        <v>1656</v>
      </c>
      <c r="F1375" s="149">
        <v>59.14</v>
      </c>
      <c r="G1375" s="135">
        <f>A1375+30</f>
        <v>45130</v>
      </c>
      <c r="H1375" s="133" t="s">
        <v>66</v>
      </c>
      <c r="I1375" s="133" t="s">
        <v>135</v>
      </c>
      <c r="K1375" s="135"/>
      <c r="L1375" s="153">
        <f t="shared" si="58"/>
        <v>59.14</v>
      </c>
      <c r="M1375" s="111">
        <v>510177670</v>
      </c>
    </row>
    <row r="1376" spans="1:13" x14ac:dyDescent="0.35">
      <c r="A1376" s="109">
        <v>45122</v>
      </c>
      <c r="B1376" s="121" t="s">
        <v>57</v>
      </c>
      <c r="C1376" s="111" t="s">
        <v>61</v>
      </c>
      <c r="D1376" s="111" t="s">
        <v>1625</v>
      </c>
      <c r="E1376" s="111" t="s">
        <v>1677</v>
      </c>
      <c r="F1376" s="149">
        <v>29.5</v>
      </c>
      <c r="G1376" s="135">
        <f>A1376+30</f>
        <v>45152</v>
      </c>
      <c r="H1376" s="133" t="s">
        <v>66</v>
      </c>
      <c r="I1376" s="133" t="s">
        <v>135</v>
      </c>
      <c r="K1376" s="135"/>
      <c r="L1376" s="153">
        <f t="shared" si="58"/>
        <v>29.5</v>
      </c>
      <c r="M1376" s="111">
        <v>510177670</v>
      </c>
    </row>
    <row r="1377" spans="1:13" x14ac:dyDescent="0.35">
      <c r="A1377" s="109">
        <v>45761</v>
      </c>
      <c r="B1377" s="121" t="s">
        <v>65</v>
      </c>
      <c r="C1377" s="111" t="s">
        <v>103</v>
      </c>
      <c r="E1377" s="111" t="s">
        <v>1678</v>
      </c>
      <c r="F1377" s="153">
        <v>-184.5</v>
      </c>
      <c r="G1377" s="135"/>
      <c r="H1377" s="133" t="s">
        <v>66</v>
      </c>
      <c r="I1377" s="133" t="s">
        <v>119</v>
      </c>
      <c r="K1377" s="135"/>
      <c r="L1377" s="153">
        <f t="shared" si="58"/>
        <v>-184.5</v>
      </c>
      <c r="M1377" s="111"/>
    </row>
    <row r="1378" spans="1:13" x14ac:dyDescent="0.35">
      <c r="A1378" s="109">
        <v>45803</v>
      </c>
      <c r="B1378" s="111" t="s">
        <v>65</v>
      </c>
      <c r="C1378" s="111" t="s">
        <v>103</v>
      </c>
      <c r="E1378" s="111" t="s">
        <v>1679</v>
      </c>
      <c r="F1378" s="153">
        <v>-184.5</v>
      </c>
      <c r="H1378" s="133" t="s">
        <v>66</v>
      </c>
      <c r="I1378" s="133" t="s">
        <v>168</v>
      </c>
      <c r="K1378" s="135">
        <v>45813</v>
      </c>
      <c r="L1378" s="153">
        <f t="shared" si="58"/>
        <v>-184.5</v>
      </c>
      <c r="M1378" s="111" t="s">
        <v>1680</v>
      </c>
    </row>
    <row r="1379" spans="1:13" x14ac:dyDescent="0.35">
      <c r="A1379" s="109">
        <v>45971</v>
      </c>
      <c r="B1379" s="121" t="s">
        <v>65</v>
      </c>
      <c r="C1379" s="121" t="s">
        <v>1681</v>
      </c>
      <c r="E1379" s="121" t="s">
        <v>1682</v>
      </c>
      <c r="F1379" s="153">
        <v>-184.5</v>
      </c>
      <c r="H1379" s="134" t="s">
        <v>66</v>
      </c>
      <c r="I1379" s="134" t="s">
        <v>119</v>
      </c>
      <c r="K1379" s="135">
        <v>45973</v>
      </c>
      <c r="M1379" s="111" t="s">
        <v>1683</v>
      </c>
    </row>
    <row r="1380" spans="1:13" x14ac:dyDescent="0.35">
      <c r="A1380" s="109">
        <v>45971</v>
      </c>
      <c r="B1380" s="121" t="s">
        <v>65</v>
      </c>
      <c r="C1380" s="121" t="s">
        <v>1681</v>
      </c>
      <c r="E1380" s="121" t="s">
        <v>1682</v>
      </c>
      <c r="F1380" s="153">
        <v>-184.5</v>
      </c>
      <c r="H1380" s="134" t="s">
        <v>66</v>
      </c>
      <c r="I1380" s="134" t="s">
        <v>168</v>
      </c>
      <c r="M1380" s="111" t="s">
        <v>1684</v>
      </c>
    </row>
    <row r="1381" spans="1:13" x14ac:dyDescent="0.35">
      <c r="A1381" s="109">
        <v>45138</v>
      </c>
      <c r="B1381" s="111" t="s">
        <v>65</v>
      </c>
      <c r="C1381" s="111" t="s">
        <v>1685</v>
      </c>
      <c r="E1381" s="111" t="s">
        <v>1686</v>
      </c>
      <c r="F1381" s="131">
        <v>-615</v>
      </c>
      <c r="G1381" s="135"/>
      <c r="H1381" s="133" t="s">
        <v>66</v>
      </c>
      <c r="K1381" s="135"/>
      <c r="L1381" s="153">
        <f t="shared" ref="L1381:L1392" si="59">F1381</f>
        <v>-615</v>
      </c>
      <c r="M1381" s="111" t="s">
        <v>1687</v>
      </c>
    </row>
    <row r="1382" spans="1:13" x14ac:dyDescent="0.35">
      <c r="A1382" s="109">
        <v>45164</v>
      </c>
      <c r="B1382" s="111" t="s">
        <v>65</v>
      </c>
      <c r="C1382" s="111" t="s">
        <v>1688</v>
      </c>
      <c r="E1382" s="111" t="s">
        <v>1689</v>
      </c>
      <c r="F1382" s="131">
        <v>-430.5</v>
      </c>
      <c r="G1382" s="135"/>
      <c r="H1382" s="133" t="s">
        <v>66</v>
      </c>
      <c r="K1382" s="135"/>
      <c r="L1382" s="153">
        <f t="shared" si="59"/>
        <v>-430.5</v>
      </c>
      <c r="M1382" s="111" t="s">
        <v>1690</v>
      </c>
    </row>
    <row r="1383" spans="1:13" x14ac:dyDescent="0.35">
      <c r="A1383" s="109">
        <v>45192</v>
      </c>
      <c r="B1383" s="111" t="s">
        <v>65</v>
      </c>
      <c r="C1383" s="111" t="s">
        <v>1685</v>
      </c>
      <c r="E1383" s="111" t="s">
        <v>1691</v>
      </c>
      <c r="F1383" s="131">
        <v>-430.5</v>
      </c>
      <c r="G1383" s="135"/>
      <c r="H1383" s="133" t="s">
        <v>66</v>
      </c>
      <c r="K1383" s="135"/>
      <c r="L1383" s="153">
        <f t="shared" si="59"/>
        <v>-430.5</v>
      </c>
      <c r="M1383" s="111" t="s">
        <v>1690</v>
      </c>
    </row>
    <row r="1384" spans="1:13" x14ac:dyDescent="0.35">
      <c r="A1384" s="109">
        <v>45228</v>
      </c>
      <c r="B1384" s="111" t="s">
        <v>65</v>
      </c>
      <c r="C1384" s="111" t="s">
        <v>1688</v>
      </c>
      <c r="E1384" s="111" t="s">
        <v>1692</v>
      </c>
      <c r="F1384" s="131">
        <v>-430.5</v>
      </c>
      <c r="G1384" s="135"/>
      <c r="H1384" s="133" t="s">
        <v>66</v>
      </c>
      <c r="K1384" s="135"/>
      <c r="L1384" s="153">
        <f t="shared" si="59"/>
        <v>-430.5</v>
      </c>
      <c r="M1384" s="111" t="s">
        <v>1690</v>
      </c>
    </row>
    <row r="1385" spans="1:13" x14ac:dyDescent="0.35">
      <c r="A1385" s="109">
        <v>45256</v>
      </c>
      <c r="B1385" s="111" t="s">
        <v>65</v>
      </c>
      <c r="C1385" s="111" t="s">
        <v>1688</v>
      </c>
      <c r="E1385" s="111" t="s">
        <v>1693</v>
      </c>
      <c r="F1385" s="131">
        <v>-430.5</v>
      </c>
      <c r="G1385" s="135"/>
      <c r="H1385" s="133" t="s">
        <v>66</v>
      </c>
      <c r="K1385" s="135"/>
      <c r="L1385" s="153">
        <f t="shared" si="59"/>
        <v>-430.5</v>
      </c>
      <c r="M1385" s="111" t="s">
        <v>563</v>
      </c>
    </row>
    <row r="1386" spans="1:13" x14ac:dyDescent="0.35">
      <c r="A1386" s="109">
        <v>45292</v>
      </c>
      <c r="B1386" s="111" t="s">
        <v>65</v>
      </c>
      <c r="C1386" s="111" t="s">
        <v>1685</v>
      </c>
      <c r="E1386" s="111" t="s">
        <v>1694</v>
      </c>
      <c r="F1386" s="131">
        <v>-430.5</v>
      </c>
      <c r="G1386" s="135"/>
      <c r="H1386" s="133" t="s">
        <v>66</v>
      </c>
      <c r="K1386" s="135"/>
      <c r="L1386" s="153">
        <f t="shared" si="59"/>
        <v>-430.5</v>
      </c>
      <c r="M1386" s="111" t="s">
        <v>1695</v>
      </c>
    </row>
    <row r="1387" spans="1:13" x14ac:dyDescent="0.35">
      <c r="A1387" s="109">
        <v>45808</v>
      </c>
      <c r="B1387" s="111" t="s">
        <v>65</v>
      </c>
      <c r="C1387" s="111" t="s">
        <v>49</v>
      </c>
      <c r="E1387" s="111" t="s">
        <v>1696</v>
      </c>
      <c r="F1387" s="153">
        <v>-1400</v>
      </c>
      <c r="H1387" s="134" t="s">
        <v>144</v>
      </c>
      <c r="I1387" s="133" t="s">
        <v>906</v>
      </c>
      <c r="K1387" s="135"/>
      <c r="L1387" s="111">
        <f t="shared" si="59"/>
        <v>-1400</v>
      </c>
      <c r="M1387" s="111" t="s">
        <v>1697</v>
      </c>
    </row>
    <row r="1388" spans="1:13" x14ac:dyDescent="0.35">
      <c r="A1388" s="109">
        <v>45322</v>
      </c>
      <c r="B1388" s="111" t="s">
        <v>65</v>
      </c>
      <c r="C1388" s="111" t="s">
        <v>1688</v>
      </c>
      <c r="E1388" s="111" t="s">
        <v>364</v>
      </c>
      <c r="F1388" s="131">
        <v>-430.5</v>
      </c>
      <c r="G1388" s="135"/>
      <c r="H1388" s="133" t="s">
        <v>66</v>
      </c>
      <c r="K1388" s="135"/>
      <c r="L1388" s="153">
        <f t="shared" si="59"/>
        <v>-430.5</v>
      </c>
      <c r="M1388" s="111" t="s">
        <v>1698</v>
      </c>
    </row>
    <row r="1389" spans="1:13" x14ac:dyDescent="0.35">
      <c r="A1389" s="109">
        <v>45347</v>
      </c>
      <c r="B1389" s="111" t="s">
        <v>65</v>
      </c>
      <c r="C1389" s="111" t="s">
        <v>1685</v>
      </c>
      <c r="E1389" s="111" t="s">
        <v>691</v>
      </c>
      <c r="F1389" s="131">
        <v>-430.5</v>
      </c>
      <c r="G1389" s="135"/>
      <c r="H1389" s="133" t="s">
        <v>66</v>
      </c>
      <c r="K1389" s="135"/>
      <c r="L1389" s="153">
        <f t="shared" si="59"/>
        <v>-430.5</v>
      </c>
      <c r="M1389" s="111" t="s">
        <v>1699</v>
      </c>
    </row>
    <row r="1390" spans="1:13" x14ac:dyDescent="0.35">
      <c r="A1390" s="109">
        <v>45381</v>
      </c>
      <c r="B1390" s="111" t="s">
        <v>65</v>
      </c>
      <c r="C1390" s="111" t="s">
        <v>1685</v>
      </c>
      <c r="E1390" s="111" t="s">
        <v>1700</v>
      </c>
      <c r="F1390" s="131">
        <v>-430.5</v>
      </c>
      <c r="G1390" s="135"/>
      <c r="H1390" s="133" t="s">
        <v>66</v>
      </c>
      <c r="K1390" s="135"/>
      <c r="L1390" s="153">
        <f t="shared" si="59"/>
        <v>-430.5</v>
      </c>
      <c r="M1390" s="111" t="s">
        <v>617</v>
      </c>
    </row>
    <row r="1391" spans="1:13" x14ac:dyDescent="0.35">
      <c r="A1391" s="109">
        <v>45419</v>
      </c>
      <c r="B1391" s="111" t="s">
        <v>65</v>
      </c>
      <c r="C1391" s="111" t="s">
        <v>1688</v>
      </c>
      <c r="E1391" s="111" t="s">
        <v>1603</v>
      </c>
      <c r="F1391" s="131">
        <v>-430.5</v>
      </c>
      <c r="G1391" s="135"/>
      <c r="H1391" s="133" t="s">
        <v>66</v>
      </c>
      <c r="J1391" s="111">
        <v>45434</v>
      </c>
      <c r="K1391" s="135"/>
      <c r="L1391" s="153">
        <f t="shared" si="59"/>
        <v>-430.5</v>
      </c>
      <c r="M1391" s="111" t="s">
        <v>1690</v>
      </c>
    </row>
    <row r="1392" spans="1:13" x14ac:dyDescent="0.35">
      <c r="A1392" s="109">
        <v>45442</v>
      </c>
      <c r="B1392" s="111" t="s">
        <v>65</v>
      </c>
      <c r="C1392" s="111" t="s">
        <v>1688</v>
      </c>
      <c r="E1392" s="111" t="s">
        <v>1701</v>
      </c>
      <c r="F1392" s="131">
        <v>-430.5</v>
      </c>
      <c r="G1392" s="135"/>
      <c r="H1392" s="133" t="s">
        <v>66</v>
      </c>
      <c r="J1392" s="111">
        <v>45480</v>
      </c>
      <c r="K1392" s="135"/>
      <c r="L1392" s="153">
        <f t="shared" si="59"/>
        <v>-430.5</v>
      </c>
      <c r="M1392" s="111" t="s">
        <v>1690</v>
      </c>
    </row>
    <row r="1393" spans="1:14" x14ac:dyDescent="0.35">
      <c r="A1393" s="109">
        <v>45874</v>
      </c>
      <c r="B1393" s="111" t="s">
        <v>65</v>
      </c>
      <c r="C1393" s="121" t="s">
        <v>104</v>
      </c>
      <c r="E1393" s="121" t="s">
        <v>1702</v>
      </c>
      <c r="F1393" s="153">
        <v>-90.99</v>
      </c>
      <c r="H1393" s="133" t="s">
        <v>66</v>
      </c>
      <c r="I1393" s="133" t="s">
        <v>119</v>
      </c>
      <c r="K1393" s="135">
        <v>45881</v>
      </c>
    </row>
    <row r="1394" spans="1:14" x14ac:dyDescent="0.35">
      <c r="A1394" s="109">
        <v>45882</v>
      </c>
      <c r="B1394" s="111" t="s">
        <v>65</v>
      </c>
      <c r="C1394" s="121" t="s">
        <v>104</v>
      </c>
      <c r="E1394" s="121" t="s">
        <v>1703</v>
      </c>
      <c r="F1394" s="153">
        <v>-33.22</v>
      </c>
      <c r="G1394" s="135">
        <v>45911</v>
      </c>
      <c r="H1394" s="133" t="s">
        <v>66</v>
      </c>
      <c r="I1394" s="134" t="s">
        <v>170</v>
      </c>
      <c r="K1394" s="135">
        <v>45903</v>
      </c>
    </row>
    <row r="1395" spans="1:14" x14ac:dyDescent="0.35">
      <c r="A1395" s="109">
        <v>45881</v>
      </c>
      <c r="B1395" s="111" t="s">
        <v>65</v>
      </c>
      <c r="C1395" s="121" t="s">
        <v>104</v>
      </c>
      <c r="E1395" s="121" t="s">
        <v>1704</v>
      </c>
      <c r="F1395" s="153">
        <v>-36.78</v>
      </c>
      <c r="G1395" s="135">
        <v>45911</v>
      </c>
      <c r="H1395" s="133" t="s">
        <v>66</v>
      </c>
      <c r="I1395" s="133" t="s">
        <v>119</v>
      </c>
      <c r="K1395" s="135">
        <v>45903</v>
      </c>
    </row>
    <row r="1396" spans="1:14" x14ac:dyDescent="0.35">
      <c r="A1396" s="109">
        <v>45889</v>
      </c>
      <c r="B1396" s="111" t="s">
        <v>65</v>
      </c>
      <c r="C1396" s="111" t="s">
        <v>104</v>
      </c>
      <c r="E1396" s="111" t="s">
        <v>1705</v>
      </c>
      <c r="F1396" s="153">
        <v>-53.36</v>
      </c>
      <c r="G1396" s="135">
        <v>45919</v>
      </c>
      <c r="H1396" s="134" t="s">
        <v>66</v>
      </c>
      <c r="I1396" s="133" t="s">
        <v>119</v>
      </c>
      <c r="K1396" s="135">
        <v>45919</v>
      </c>
    </row>
    <row r="1397" spans="1:14" x14ac:dyDescent="0.35">
      <c r="A1397" s="109">
        <v>45895</v>
      </c>
      <c r="B1397" s="111" t="s">
        <v>65</v>
      </c>
      <c r="C1397" s="111" t="s">
        <v>104</v>
      </c>
      <c r="E1397" s="111" t="s">
        <v>1706</v>
      </c>
      <c r="F1397" s="153">
        <v>-30.49</v>
      </c>
      <c r="G1397" s="135">
        <v>45925</v>
      </c>
      <c r="H1397" s="133" t="s">
        <v>66</v>
      </c>
      <c r="I1397" s="133" t="s">
        <v>119</v>
      </c>
      <c r="K1397" s="135">
        <v>45925</v>
      </c>
    </row>
    <row r="1398" spans="1:14" x14ac:dyDescent="0.35">
      <c r="A1398" s="109">
        <v>45128</v>
      </c>
      <c r="B1398" s="121" t="s">
        <v>57</v>
      </c>
      <c r="C1398" s="111" t="s">
        <v>61</v>
      </c>
      <c r="D1398" s="111" t="s">
        <v>1625</v>
      </c>
      <c r="E1398" s="111" t="s">
        <v>1707</v>
      </c>
      <c r="F1398" s="149">
        <v>38.79</v>
      </c>
      <c r="G1398" s="135">
        <f t="shared" ref="G1398:G1410" si="60">A1398+30</f>
        <v>45158</v>
      </c>
      <c r="H1398" s="133" t="s">
        <v>66</v>
      </c>
      <c r="I1398" s="133" t="s">
        <v>135</v>
      </c>
      <c r="K1398" s="135"/>
      <c r="L1398" s="153">
        <f t="shared" ref="L1398:L1408" si="61">F1398</f>
        <v>38.79</v>
      </c>
      <c r="M1398" s="111">
        <v>510177670</v>
      </c>
    </row>
    <row r="1399" spans="1:14" x14ac:dyDescent="0.35">
      <c r="A1399" s="109">
        <v>45132</v>
      </c>
      <c r="B1399" s="121" t="s">
        <v>57</v>
      </c>
      <c r="C1399" s="111" t="s">
        <v>61</v>
      </c>
      <c r="D1399" s="111" t="s">
        <v>1625</v>
      </c>
      <c r="E1399" s="111" t="s">
        <v>1708</v>
      </c>
      <c r="F1399" s="149">
        <v>85.3</v>
      </c>
      <c r="G1399" s="135">
        <f t="shared" si="60"/>
        <v>45162</v>
      </c>
      <c r="H1399" s="133" t="s">
        <v>66</v>
      </c>
      <c r="I1399" s="133" t="s">
        <v>135</v>
      </c>
      <c r="K1399" s="135"/>
      <c r="L1399" s="153">
        <f t="shared" si="61"/>
        <v>85.3</v>
      </c>
      <c r="M1399" s="111">
        <v>510177670</v>
      </c>
    </row>
    <row r="1400" spans="1:14" x14ac:dyDescent="0.35">
      <c r="A1400" s="109">
        <v>45181</v>
      </c>
      <c r="B1400" s="121" t="s">
        <v>57</v>
      </c>
      <c r="C1400" s="111" t="s">
        <v>61</v>
      </c>
      <c r="D1400" s="111" t="s">
        <v>1625</v>
      </c>
      <c r="E1400" s="111" t="s">
        <v>1709</v>
      </c>
      <c r="F1400" s="149">
        <v>52.54</v>
      </c>
      <c r="G1400" s="135">
        <f t="shared" si="60"/>
        <v>45211</v>
      </c>
      <c r="H1400" s="133" t="s">
        <v>66</v>
      </c>
      <c r="I1400" s="133" t="s">
        <v>135</v>
      </c>
      <c r="K1400" s="135"/>
      <c r="L1400" s="153">
        <f t="shared" si="61"/>
        <v>52.54</v>
      </c>
      <c r="M1400" s="111">
        <v>510177670</v>
      </c>
    </row>
    <row r="1401" spans="1:14" x14ac:dyDescent="0.35">
      <c r="A1401" s="109">
        <v>45185</v>
      </c>
      <c r="B1401" s="121" t="s">
        <v>57</v>
      </c>
      <c r="C1401" s="111" t="s">
        <v>61</v>
      </c>
      <c r="D1401" s="111" t="s">
        <v>1625</v>
      </c>
      <c r="E1401" s="111" t="s">
        <v>1710</v>
      </c>
      <c r="F1401" s="149">
        <v>51.63</v>
      </c>
      <c r="G1401" s="135">
        <f t="shared" si="60"/>
        <v>45215</v>
      </c>
      <c r="H1401" s="133" t="s">
        <v>66</v>
      </c>
      <c r="I1401" s="133" t="s">
        <v>135</v>
      </c>
      <c r="K1401" s="135"/>
      <c r="L1401" s="153">
        <f t="shared" si="61"/>
        <v>51.63</v>
      </c>
      <c r="M1401" s="111">
        <v>510177670</v>
      </c>
    </row>
    <row r="1402" spans="1:14" x14ac:dyDescent="0.35">
      <c r="A1402" s="109">
        <v>45184</v>
      </c>
      <c r="B1402" s="121" t="s">
        <v>57</v>
      </c>
      <c r="C1402" s="111" t="s">
        <v>61</v>
      </c>
      <c r="D1402" s="111" t="s">
        <v>1625</v>
      </c>
      <c r="E1402" s="111" t="s">
        <v>1711</v>
      </c>
      <c r="F1402" s="149">
        <v>29.5</v>
      </c>
      <c r="G1402" s="135">
        <f t="shared" si="60"/>
        <v>45214</v>
      </c>
      <c r="H1402" s="133" t="s">
        <v>66</v>
      </c>
      <c r="I1402" s="133" t="s">
        <v>135</v>
      </c>
      <c r="K1402" s="135"/>
      <c r="L1402" s="153">
        <f t="shared" si="61"/>
        <v>29.5</v>
      </c>
      <c r="M1402" s="111">
        <v>510177670</v>
      </c>
    </row>
    <row r="1403" spans="1:14" x14ac:dyDescent="0.35">
      <c r="A1403" s="109">
        <v>45191</v>
      </c>
      <c r="B1403" s="121" t="s">
        <v>57</v>
      </c>
      <c r="C1403" s="111" t="s">
        <v>61</v>
      </c>
      <c r="D1403" s="111" t="s">
        <v>1625</v>
      </c>
      <c r="E1403" s="111" t="s">
        <v>1712</v>
      </c>
      <c r="F1403" s="149">
        <v>73.75</v>
      </c>
      <c r="G1403" s="135">
        <f t="shared" si="60"/>
        <v>45221</v>
      </c>
      <c r="H1403" s="133" t="s">
        <v>66</v>
      </c>
      <c r="I1403" s="133" t="s">
        <v>135</v>
      </c>
      <c r="K1403" s="135"/>
      <c r="L1403" s="153">
        <f t="shared" si="61"/>
        <v>73.75</v>
      </c>
      <c r="M1403" s="111">
        <v>510177670</v>
      </c>
    </row>
    <row r="1404" spans="1:14" x14ac:dyDescent="0.35">
      <c r="A1404" s="109">
        <v>45198</v>
      </c>
      <c r="B1404" s="121" t="s">
        <v>57</v>
      </c>
      <c r="C1404" s="111" t="s">
        <v>61</v>
      </c>
      <c r="D1404" s="111" t="s">
        <v>1625</v>
      </c>
      <c r="E1404" s="111" t="s">
        <v>1713</v>
      </c>
      <c r="F1404" s="149">
        <v>27.29</v>
      </c>
      <c r="G1404" s="135">
        <f t="shared" si="60"/>
        <v>45228</v>
      </c>
      <c r="H1404" s="133" t="s">
        <v>66</v>
      </c>
      <c r="I1404" s="133" t="s">
        <v>135</v>
      </c>
      <c r="K1404" s="135"/>
      <c r="L1404" s="153">
        <f t="shared" si="61"/>
        <v>27.29</v>
      </c>
      <c r="M1404" s="111">
        <v>510177670</v>
      </c>
    </row>
    <row r="1405" spans="1:14" x14ac:dyDescent="0.35">
      <c r="A1405" s="109">
        <v>45204</v>
      </c>
      <c r="B1405" s="121" t="s">
        <v>57</v>
      </c>
      <c r="C1405" s="111" t="s">
        <v>61</v>
      </c>
      <c r="D1405" s="111" t="s">
        <v>1625</v>
      </c>
      <c r="E1405" s="111" t="s">
        <v>1714</v>
      </c>
      <c r="F1405" s="149">
        <v>72.28</v>
      </c>
      <c r="G1405" s="135">
        <f t="shared" si="60"/>
        <v>45234</v>
      </c>
      <c r="H1405" s="133" t="s">
        <v>66</v>
      </c>
      <c r="I1405" s="133" t="s">
        <v>135</v>
      </c>
      <c r="K1405" s="135"/>
      <c r="L1405" s="153">
        <f t="shared" si="61"/>
        <v>72.28</v>
      </c>
      <c r="M1405" s="111">
        <v>510177670</v>
      </c>
    </row>
    <row r="1406" spans="1:14" x14ac:dyDescent="0.35">
      <c r="A1406" s="109">
        <v>45209</v>
      </c>
      <c r="B1406" s="121" t="s">
        <v>57</v>
      </c>
      <c r="C1406" s="111" t="s">
        <v>61</v>
      </c>
      <c r="D1406" s="111" t="s">
        <v>1625</v>
      </c>
      <c r="E1406" s="111" t="s">
        <v>1715</v>
      </c>
      <c r="F1406" s="149">
        <v>54.58</v>
      </c>
      <c r="G1406" s="135">
        <f t="shared" si="60"/>
        <v>45239</v>
      </c>
      <c r="H1406" s="133" t="s">
        <v>66</v>
      </c>
      <c r="I1406" s="133" t="s">
        <v>135</v>
      </c>
      <c r="K1406" s="135"/>
      <c r="L1406" s="153">
        <f t="shared" si="61"/>
        <v>54.58</v>
      </c>
      <c r="M1406" s="111">
        <v>510177670</v>
      </c>
      <c r="N1406" s="183"/>
    </row>
    <row r="1407" spans="1:14" x14ac:dyDescent="0.35">
      <c r="A1407" s="109">
        <v>45212</v>
      </c>
      <c r="B1407" s="121" t="s">
        <v>57</v>
      </c>
      <c r="C1407" s="111" t="s">
        <v>61</v>
      </c>
      <c r="D1407" s="111" t="s">
        <v>1625</v>
      </c>
      <c r="E1407" s="111" t="s">
        <v>1716</v>
      </c>
      <c r="F1407" s="149">
        <v>71.95</v>
      </c>
      <c r="G1407" s="135">
        <f t="shared" si="60"/>
        <v>45242</v>
      </c>
      <c r="H1407" s="133" t="s">
        <v>66</v>
      </c>
      <c r="I1407" s="133" t="s">
        <v>135</v>
      </c>
      <c r="K1407" s="135"/>
      <c r="L1407" s="169">
        <f t="shared" si="61"/>
        <v>71.95</v>
      </c>
      <c r="M1407" s="145">
        <v>510177670</v>
      </c>
    </row>
    <row r="1408" spans="1:14" x14ac:dyDescent="0.35">
      <c r="A1408" s="109">
        <v>45225</v>
      </c>
      <c r="B1408" s="121" t="s">
        <v>57</v>
      </c>
      <c r="C1408" s="111" t="s">
        <v>61</v>
      </c>
      <c r="D1408" s="111" t="s">
        <v>1625</v>
      </c>
      <c r="E1408" s="111" t="s">
        <v>1717</v>
      </c>
      <c r="F1408" s="149">
        <v>81</v>
      </c>
      <c r="G1408" s="135">
        <f t="shared" si="60"/>
        <v>45255</v>
      </c>
      <c r="H1408" s="133" t="s">
        <v>66</v>
      </c>
      <c r="I1408" s="133" t="s">
        <v>135</v>
      </c>
      <c r="K1408" s="135"/>
      <c r="L1408" s="153">
        <f t="shared" si="61"/>
        <v>81</v>
      </c>
      <c r="M1408" s="111">
        <v>510177670</v>
      </c>
    </row>
    <row r="1409" spans="1:13" x14ac:dyDescent="0.35">
      <c r="A1409" s="109">
        <v>45911</v>
      </c>
      <c r="B1409" s="121" t="s">
        <v>65</v>
      </c>
      <c r="C1409" s="121" t="s">
        <v>104</v>
      </c>
      <c r="E1409" s="121" t="s">
        <v>1718</v>
      </c>
      <c r="F1409" s="153">
        <v>-26.94</v>
      </c>
      <c r="G1409" s="135">
        <f t="shared" si="60"/>
        <v>45941</v>
      </c>
      <c r="H1409" s="134" t="s">
        <v>66</v>
      </c>
      <c r="I1409" s="133" t="s">
        <v>119</v>
      </c>
      <c r="K1409" s="135">
        <v>45933</v>
      </c>
    </row>
    <row r="1410" spans="1:13" x14ac:dyDescent="0.35">
      <c r="A1410" s="109">
        <v>45903</v>
      </c>
      <c r="B1410" s="121" t="s">
        <v>65</v>
      </c>
      <c r="C1410" s="121" t="s">
        <v>104</v>
      </c>
      <c r="E1410" s="121" t="s">
        <v>1719</v>
      </c>
      <c r="F1410" s="153">
        <v>-55.43</v>
      </c>
      <c r="G1410" s="135">
        <f t="shared" si="60"/>
        <v>45933</v>
      </c>
      <c r="H1410" s="134" t="s">
        <v>66</v>
      </c>
      <c r="I1410" s="133" t="s">
        <v>119</v>
      </c>
      <c r="K1410" s="135">
        <v>45933</v>
      </c>
    </row>
    <row r="1411" spans="1:13" x14ac:dyDescent="0.35">
      <c r="A1411" s="109">
        <v>45924</v>
      </c>
      <c r="B1411" s="111" t="s">
        <v>65</v>
      </c>
      <c r="C1411" s="111" t="s">
        <v>104</v>
      </c>
      <c r="E1411" s="111" t="s">
        <v>1720</v>
      </c>
      <c r="F1411" s="153">
        <v>-51.83</v>
      </c>
      <c r="G1411" s="135">
        <v>45952</v>
      </c>
      <c r="H1411" s="134" t="s">
        <v>66</v>
      </c>
      <c r="I1411" s="133" t="s">
        <v>119</v>
      </c>
      <c r="K1411" s="135">
        <v>45952</v>
      </c>
    </row>
    <row r="1412" spans="1:13" x14ac:dyDescent="0.35">
      <c r="A1412" s="109">
        <v>45931</v>
      </c>
      <c r="B1412" s="121" t="s">
        <v>65</v>
      </c>
      <c r="C1412" s="121" t="s">
        <v>104</v>
      </c>
      <c r="E1412" s="121" t="s">
        <v>1721</v>
      </c>
      <c r="F1412" s="153">
        <v>-26.94</v>
      </c>
      <c r="G1412" s="135">
        <v>45959</v>
      </c>
      <c r="H1412" s="134" t="s">
        <v>66</v>
      </c>
      <c r="I1412" s="134" t="s">
        <v>829</v>
      </c>
      <c r="K1412" s="135">
        <v>45952</v>
      </c>
    </row>
    <row r="1413" spans="1:13" x14ac:dyDescent="0.35">
      <c r="A1413" s="109">
        <v>45945</v>
      </c>
      <c r="B1413" s="111" t="s">
        <v>65</v>
      </c>
      <c r="C1413" s="111" t="s">
        <v>104</v>
      </c>
      <c r="E1413" s="111" t="s">
        <v>1722</v>
      </c>
      <c r="F1413" s="153">
        <v>-30.08</v>
      </c>
      <c r="G1413" s="135">
        <f>A1413+30</f>
        <v>45975</v>
      </c>
      <c r="H1413" s="134" t="s">
        <v>66</v>
      </c>
      <c r="I1413" s="133" t="s">
        <v>829</v>
      </c>
      <c r="K1413" s="135">
        <v>45975</v>
      </c>
    </row>
    <row r="1414" spans="1:13" x14ac:dyDescent="0.35">
      <c r="A1414" s="109">
        <v>45951</v>
      </c>
      <c r="B1414" s="111" t="s">
        <v>65</v>
      </c>
      <c r="C1414" s="111" t="s">
        <v>104</v>
      </c>
      <c r="E1414" s="218" t="s">
        <v>1723</v>
      </c>
      <c r="F1414" s="153">
        <v>-36.11</v>
      </c>
      <c r="G1414" s="135">
        <f>A1414+30</f>
        <v>45981</v>
      </c>
      <c r="H1414" s="134" t="s">
        <v>66</v>
      </c>
      <c r="I1414" s="133" t="s">
        <v>829</v>
      </c>
      <c r="K1414" s="135">
        <v>45975</v>
      </c>
    </row>
    <row r="1415" spans="1:13" x14ac:dyDescent="0.35">
      <c r="A1415" s="109">
        <v>45958</v>
      </c>
      <c r="B1415" s="111" t="s">
        <v>65</v>
      </c>
      <c r="C1415" s="111" t="s">
        <v>104</v>
      </c>
      <c r="E1415" s="111" t="s">
        <v>1724</v>
      </c>
      <c r="F1415" s="153">
        <v>-63.1</v>
      </c>
      <c r="G1415" s="135">
        <f>A1415+30</f>
        <v>45988</v>
      </c>
      <c r="H1415" s="133" t="s">
        <v>66</v>
      </c>
      <c r="I1415" s="133" t="s">
        <v>829</v>
      </c>
      <c r="K1415" s="135">
        <v>45988</v>
      </c>
    </row>
    <row r="1416" spans="1:13" x14ac:dyDescent="0.35">
      <c r="A1416" s="109">
        <v>45965</v>
      </c>
      <c r="B1416" s="111" t="s">
        <v>65</v>
      </c>
      <c r="C1416" s="111" t="s">
        <v>104</v>
      </c>
      <c r="E1416" s="218" t="s">
        <v>1725</v>
      </c>
      <c r="F1416" s="153">
        <v>-24.69</v>
      </c>
      <c r="G1416" s="135">
        <f>A1416+30</f>
        <v>45995</v>
      </c>
      <c r="H1416" s="134" t="s">
        <v>66</v>
      </c>
      <c r="I1416" s="133" t="s">
        <v>829</v>
      </c>
      <c r="K1416" s="135">
        <v>45995</v>
      </c>
    </row>
    <row r="1417" spans="1:13" x14ac:dyDescent="0.35">
      <c r="A1417" s="109">
        <v>46008</v>
      </c>
      <c r="B1417" s="111" t="s">
        <v>65</v>
      </c>
      <c r="C1417" s="111" t="s">
        <v>104</v>
      </c>
      <c r="E1417" s="218" t="s">
        <v>1726</v>
      </c>
      <c r="F1417" s="153">
        <v>-35.56</v>
      </c>
      <c r="G1417" s="135">
        <v>46036</v>
      </c>
      <c r="H1417" s="133" t="s">
        <v>66</v>
      </c>
      <c r="I1417" s="133" t="s">
        <v>1727</v>
      </c>
      <c r="K1417" s="160">
        <v>46038</v>
      </c>
    </row>
    <row r="1418" spans="1:13" x14ac:dyDescent="0.35">
      <c r="A1418" s="109">
        <v>46028</v>
      </c>
      <c r="B1418" s="111" t="s">
        <v>65</v>
      </c>
      <c r="C1418" s="111" t="s">
        <v>104</v>
      </c>
      <c r="E1418" s="121" t="s">
        <v>1728</v>
      </c>
      <c r="F1418" s="153">
        <v>-108.48</v>
      </c>
      <c r="G1418" s="135">
        <v>46055</v>
      </c>
      <c r="H1418" s="134" t="s">
        <v>66</v>
      </c>
      <c r="I1418" s="133" t="s">
        <v>1048</v>
      </c>
      <c r="K1418" s="160">
        <v>46055</v>
      </c>
      <c r="M1418" s="196" t="s">
        <v>1729</v>
      </c>
    </row>
    <row r="1419" spans="1:13" x14ac:dyDescent="0.35">
      <c r="A1419" s="176">
        <v>46038</v>
      </c>
      <c r="B1419" s="140" t="s">
        <v>65</v>
      </c>
      <c r="C1419" s="140" t="s">
        <v>104</v>
      </c>
      <c r="D1419" s="140"/>
      <c r="E1419" s="140" t="s">
        <v>1730</v>
      </c>
      <c r="F1419" s="174">
        <v>78.400000000000006</v>
      </c>
      <c r="G1419" s="142"/>
      <c r="H1419" s="175" t="s">
        <v>66</v>
      </c>
      <c r="I1419" s="142" t="s">
        <v>1048</v>
      </c>
      <c r="K1419" s="160">
        <v>46055</v>
      </c>
      <c r="M1419" s="186" t="s">
        <v>1731</v>
      </c>
    </row>
    <row r="1420" spans="1:13" x14ac:dyDescent="0.35">
      <c r="A1420" s="109">
        <v>46020</v>
      </c>
      <c r="B1420" s="111" t="s">
        <v>65</v>
      </c>
      <c r="C1420" s="111" t="s">
        <v>1732</v>
      </c>
      <c r="E1420" s="111" t="s">
        <v>1733</v>
      </c>
      <c r="F1420" s="153">
        <v>-461.25</v>
      </c>
      <c r="G1420" s="258">
        <f>A1420+30</f>
        <v>46050</v>
      </c>
      <c r="H1420" s="133" t="s">
        <v>59</v>
      </c>
      <c r="I1420" s="134" t="s">
        <v>119</v>
      </c>
    </row>
    <row r="1421" spans="1:13" x14ac:dyDescent="0.35">
      <c r="A1421" s="109">
        <v>45574</v>
      </c>
      <c r="B1421" s="111" t="s">
        <v>65</v>
      </c>
      <c r="C1421" s="111" t="s">
        <v>1734</v>
      </c>
      <c r="E1421" s="111" t="s">
        <v>341</v>
      </c>
      <c r="F1421" s="131">
        <v>-240.05</v>
      </c>
      <c r="G1421" s="135"/>
      <c r="H1421" s="134" t="s">
        <v>66</v>
      </c>
      <c r="I1421" s="133" t="s">
        <v>232</v>
      </c>
      <c r="K1421" s="135"/>
      <c r="L1421" s="153">
        <f t="shared" ref="L1421:L1452" si="62">F1421</f>
        <v>-240.05</v>
      </c>
      <c r="M1421" s="111" t="s">
        <v>1735</v>
      </c>
    </row>
    <row r="1422" spans="1:13" x14ac:dyDescent="0.35">
      <c r="A1422" s="109">
        <v>45722</v>
      </c>
      <c r="B1422" s="111" t="s">
        <v>65</v>
      </c>
      <c r="C1422" s="111" t="s">
        <v>3</v>
      </c>
      <c r="E1422" s="111" t="s">
        <v>1736</v>
      </c>
      <c r="F1422" s="153">
        <v>-694.72</v>
      </c>
      <c r="G1422" s="135"/>
      <c r="H1422" s="133" t="s">
        <v>66</v>
      </c>
      <c r="I1422" s="133" t="s">
        <v>119</v>
      </c>
      <c r="K1422" s="135">
        <v>45758</v>
      </c>
      <c r="L1422" s="153">
        <f t="shared" si="62"/>
        <v>-694.72</v>
      </c>
      <c r="M1422" s="111"/>
    </row>
    <row r="1423" spans="1:13" x14ac:dyDescent="0.35">
      <c r="A1423" s="109">
        <v>45723</v>
      </c>
      <c r="B1423" s="111" t="s">
        <v>65</v>
      </c>
      <c r="C1423" s="111" t="s">
        <v>3</v>
      </c>
      <c r="E1423" s="111" t="s">
        <v>1733</v>
      </c>
      <c r="F1423" s="153">
        <v>-142.53</v>
      </c>
      <c r="G1423" s="135"/>
      <c r="H1423" s="133" t="s">
        <v>66</v>
      </c>
      <c r="I1423" s="133" t="s">
        <v>119</v>
      </c>
      <c r="K1423" s="135">
        <v>45758</v>
      </c>
      <c r="L1423" s="153">
        <f t="shared" si="62"/>
        <v>-142.53</v>
      </c>
      <c r="M1423" s="111" t="s">
        <v>1737</v>
      </c>
    </row>
    <row r="1424" spans="1:13" x14ac:dyDescent="0.35">
      <c r="A1424" s="109">
        <v>45111</v>
      </c>
      <c r="B1424" s="111" t="s">
        <v>65</v>
      </c>
      <c r="C1424" s="111" t="s">
        <v>3</v>
      </c>
      <c r="E1424" s="111">
        <v>2451</v>
      </c>
      <c r="F1424" s="131">
        <v>-235.05</v>
      </c>
      <c r="G1424" s="135"/>
      <c r="H1424" s="133" t="s">
        <v>66</v>
      </c>
      <c r="I1424" s="133" t="s">
        <v>119</v>
      </c>
      <c r="K1424" s="135"/>
      <c r="L1424" s="153">
        <f t="shared" si="62"/>
        <v>-235.05</v>
      </c>
      <c r="M1424" s="111"/>
    </row>
    <row r="1425" spans="1:14" x14ac:dyDescent="0.35">
      <c r="A1425" s="109">
        <v>45114</v>
      </c>
      <c r="B1425" s="111" t="s">
        <v>65</v>
      </c>
      <c r="C1425" s="111" t="s">
        <v>3</v>
      </c>
      <c r="E1425" s="111">
        <v>2565</v>
      </c>
      <c r="F1425" s="131">
        <v>-188.15</v>
      </c>
      <c r="G1425" s="135"/>
      <c r="H1425" s="133" t="s">
        <v>66</v>
      </c>
      <c r="I1425" s="133" t="s">
        <v>119</v>
      </c>
      <c r="K1425" s="135"/>
      <c r="L1425" s="153">
        <f t="shared" si="62"/>
        <v>-188.15</v>
      </c>
      <c r="M1425" s="111"/>
    </row>
    <row r="1426" spans="1:14" x14ac:dyDescent="0.35">
      <c r="A1426" s="109">
        <v>45114</v>
      </c>
      <c r="B1426" s="111" t="s">
        <v>65</v>
      </c>
      <c r="C1426" s="111" t="s">
        <v>3</v>
      </c>
      <c r="E1426" s="111">
        <v>2564</v>
      </c>
      <c r="F1426" s="131">
        <v>-90.38</v>
      </c>
      <c r="G1426" s="135"/>
      <c r="H1426" s="133" t="s">
        <v>66</v>
      </c>
      <c r="I1426" s="133" t="s">
        <v>119</v>
      </c>
      <c r="K1426" s="135"/>
      <c r="L1426" s="153">
        <f t="shared" si="62"/>
        <v>-90.38</v>
      </c>
      <c r="M1426" s="111" t="s">
        <v>1738</v>
      </c>
    </row>
    <row r="1427" spans="1:14" x14ac:dyDescent="0.35">
      <c r="A1427" s="109">
        <v>45126</v>
      </c>
      <c r="B1427" s="111" t="s">
        <v>65</v>
      </c>
      <c r="C1427" s="111" t="s">
        <v>3</v>
      </c>
      <c r="E1427" s="111">
        <v>2842</v>
      </c>
      <c r="F1427" s="131">
        <v>-228.67</v>
      </c>
      <c r="G1427" s="135"/>
      <c r="H1427" s="133" t="s">
        <v>561</v>
      </c>
      <c r="I1427" s="133" t="s">
        <v>119</v>
      </c>
      <c r="K1427" s="135"/>
      <c r="L1427" s="153">
        <f t="shared" si="62"/>
        <v>-228.67</v>
      </c>
      <c r="M1427" s="111" t="s">
        <v>1739</v>
      </c>
    </row>
    <row r="1428" spans="1:14" x14ac:dyDescent="0.35">
      <c r="A1428" s="109">
        <v>45135</v>
      </c>
      <c r="B1428" s="111" t="s">
        <v>65</v>
      </c>
      <c r="C1428" s="111" t="s">
        <v>3</v>
      </c>
      <c r="E1428" s="111" t="s">
        <v>1740</v>
      </c>
      <c r="F1428" s="131">
        <v>-129.16</v>
      </c>
      <c r="G1428" s="135"/>
      <c r="H1428" s="133" t="s">
        <v>66</v>
      </c>
      <c r="I1428" s="133" t="s">
        <v>119</v>
      </c>
      <c r="K1428" s="135"/>
      <c r="L1428" s="153">
        <f t="shared" si="62"/>
        <v>-129.16</v>
      </c>
      <c r="M1428" s="111" t="s">
        <v>1741</v>
      </c>
    </row>
    <row r="1429" spans="1:14" x14ac:dyDescent="0.35">
      <c r="A1429" s="109">
        <v>45146</v>
      </c>
      <c r="B1429" s="111" t="s">
        <v>65</v>
      </c>
      <c r="C1429" s="111" t="s">
        <v>3</v>
      </c>
      <c r="E1429" s="111" t="s">
        <v>1742</v>
      </c>
      <c r="F1429" s="131">
        <v>-236.42</v>
      </c>
      <c r="G1429" s="135"/>
      <c r="H1429" s="133" t="s">
        <v>66</v>
      </c>
      <c r="I1429" s="133" t="s">
        <v>119</v>
      </c>
      <c r="K1429" s="135"/>
      <c r="L1429" s="153">
        <f t="shared" si="62"/>
        <v>-236.42</v>
      </c>
      <c r="M1429" s="111" t="s">
        <v>1743</v>
      </c>
    </row>
    <row r="1430" spans="1:14" x14ac:dyDescent="0.35">
      <c r="A1430" s="109">
        <v>45155</v>
      </c>
      <c r="B1430" s="111" t="s">
        <v>65</v>
      </c>
      <c r="C1430" s="111" t="s">
        <v>3</v>
      </c>
      <c r="E1430" s="111" t="s">
        <v>1744</v>
      </c>
      <c r="F1430" s="131">
        <v>-326.49</v>
      </c>
      <c r="G1430" s="135"/>
      <c r="H1430" s="133" t="s">
        <v>66</v>
      </c>
      <c r="I1430" s="133" t="s">
        <v>119</v>
      </c>
      <c r="K1430" s="135"/>
      <c r="L1430" s="153">
        <f t="shared" si="62"/>
        <v>-326.49</v>
      </c>
      <c r="M1430" s="111" t="s">
        <v>1745</v>
      </c>
    </row>
    <row r="1431" spans="1:14" x14ac:dyDescent="0.35">
      <c r="A1431" s="109">
        <v>45231</v>
      </c>
      <c r="B1431" s="121" t="s">
        <v>57</v>
      </c>
      <c r="C1431" s="111" t="s">
        <v>61</v>
      </c>
      <c r="D1431" s="111" t="s">
        <v>1625</v>
      </c>
      <c r="E1431" s="111" t="s">
        <v>1746</v>
      </c>
      <c r="F1431" s="149">
        <v>41.27</v>
      </c>
      <c r="G1431" s="135">
        <f>A1431+30</f>
        <v>45261</v>
      </c>
      <c r="H1431" s="133" t="s">
        <v>66</v>
      </c>
      <c r="I1431" s="133" t="s">
        <v>135</v>
      </c>
      <c r="K1431" s="135"/>
      <c r="L1431" s="153">
        <f t="shared" si="62"/>
        <v>41.27</v>
      </c>
      <c r="M1431" s="111">
        <v>510177670</v>
      </c>
    </row>
    <row r="1432" spans="1:14" x14ac:dyDescent="0.35">
      <c r="A1432" s="109">
        <v>45247</v>
      </c>
      <c r="B1432" s="121" t="s">
        <v>57</v>
      </c>
      <c r="C1432" s="111" t="s">
        <v>61</v>
      </c>
      <c r="D1432" s="111" t="s">
        <v>1625</v>
      </c>
      <c r="E1432" s="111" t="s">
        <v>1747</v>
      </c>
      <c r="F1432" s="149">
        <v>74.86</v>
      </c>
      <c r="G1432" s="135">
        <f>A1432+30</f>
        <v>45277</v>
      </c>
      <c r="H1432" s="133" t="s">
        <v>66</v>
      </c>
      <c r="I1432" s="133" t="s">
        <v>135</v>
      </c>
      <c r="K1432" s="135"/>
      <c r="L1432" s="153">
        <f t="shared" si="62"/>
        <v>74.86</v>
      </c>
      <c r="M1432" s="111">
        <v>510177670</v>
      </c>
    </row>
    <row r="1433" spans="1:14" x14ac:dyDescent="0.35">
      <c r="A1433" s="109">
        <v>45159</v>
      </c>
      <c r="B1433" s="111" t="s">
        <v>65</v>
      </c>
      <c r="C1433" s="111" t="s">
        <v>3</v>
      </c>
      <c r="E1433" s="111" t="s">
        <v>1748</v>
      </c>
      <c r="F1433" s="131">
        <v>-232.64</v>
      </c>
      <c r="G1433" s="135"/>
      <c r="H1433" s="133" t="s">
        <v>66</v>
      </c>
      <c r="I1433" s="133" t="s">
        <v>119</v>
      </c>
      <c r="K1433" s="135"/>
      <c r="L1433" s="153">
        <f t="shared" si="62"/>
        <v>-232.64</v>
      </c>
      <c r="M1433" s="111" t="s">
        <v>1749</v>
      </c>
    </row>
    <row r="1434" spans="1:14" x14ac:dyDescent="0.35">
      <c r="A1434" s="109">
        <v>45160</v>
      </c>
      <c r="B1434" s="111" t="s">
        <v>65</v>
      </c>
      <c r="C1434" s="111" t="s">
        <v>3</v>
      </c>
      <c r="E1434" s="111" t="s">
        <v>1750</v>
      </c>
      <c r="F1434" s="131">
        <v>-452.15</v>
      </c>
      <c r="G1434" s="135"/>
      <c r="H1434" s="133" t="s">
        <v>66</v>
      </c>
      <c r="I1434" s="133" t="s">
        <v>119</v>
      </c>
      <c r="K1434" s="135"/>
      <c r="L1434" s="153">
        <f t="shared" si="62"/>
        <v>-452.15</v>
      </c>
      <c r="M1434" s="111" t="s">
        <v>1263</v>
      </c>
    </row>
    <row r="1435" spans="1:14" x14ac:dyDescent="0.35">
      <c r="A1435" s="109">
        <v>45167</v>
      </c>
      <c r="B1435" s="111" t="s">
        <v>65</v>
      </c>
      <c r="C1435" s="111" t="s">
        <v>3</v>
      </c>
      <c r="E1435" s="111" t="s">
        <v>1751</v>
      </c>
      <c r="F1435" s="131">
        <v>-111.81</v>
      </c>
      <c r="G1435" s="135"/>
      <c r="H1435" s="133" t="s">
        <v>66</v>
      </c>
      <c r="I1435" s="133" t="s">
        <v>119</v>
      </c>
      <c r="K1435" s="135"/>
      <c r="L1435" s="153">
        <f t="shared" si="62"/>
        <v>-111.81</v>
      </c>
      <c r="M1435" s="111" t="s">
        <v>1752</v>
      </c>
    </row>
    <row r="1436" spans="1:14" x14ac:dyDescent="0.35">
      <c r="A1436" s="109">
        <v>45175</v>
      </c>
      <c r="B1436" s="111" t="s">
        <v>65</v>
      </c>
      <c r="C1436" s="111" t="s">
        <v>3</v>
      </c>
      <c r="E1436" s="111" t="s">
        <v>1753</v>
      </c>
      <c r="F1436" s="131">
        <v>-567.89</v>
      </c>
      <c r="G1436" s="135"/>
      <c r="H1436" s="133" t="s">
        <v>66</v>
      </c>
      <c r="I1436" s="133" t="s">
        <v>119</v>
      </c>
      <c r="K1436" s="135"/>
      <c r="L1436" s="153">
        <f t="shared" si="62"/>
        <v>-567.89</v>
      </c>
      <c r="M1436" s="111" t="s">
        <v>1749</v>
      </c>
    </row>
    <row r="1437" spans="1:14" x14ac:dyDescent="0.35">
      <c r="A1437" s="109">
        <v>45255</v>
      </c>
      <c r="B1437" s="121" t="s">
        <v>57</v>
      </c>
      <c r="C1437" s="111" t="s">
        <v>61</v>
      </c>
      <c r="D1437" s="111" t="s">
        <v>1625</v>
      </c>
      <c r="E1437" s="111" t="s">
        <v>1754</v>
      </c>
      <c r="F1437" s="149">
        <v>40.619999999999997</v>
      </c>
      <c r="G1437" s="135">
        <f t="shared" ref="G1437:G1442" si="63">A1437+30</f>
        <v>45285</v>
      </c>
      <c r="H1437" s="133" t="s">
        <v>66</v>
      </c>
      <c r="I1437" s="133" t="s">
        <v>135</v>
      </c>
      <c r="K1437" s="135"/>
      <c r="L1437" s="153">
        <f t="shared" si="62"/>
        <v>40.619999999999997</v>
      </c>
      <c r="M1437" s="111">
        <v>510177670</v>
      </c>
    </row>
    <row r="1438" spans="1:14" x14ac:dyDescent="0.35">
      <c r="A1438" s="109">
        <v>45265</v>
      </c>
      <c r="B1438" s="121" t="s">
        <v>57</v>
      </c>
      <c r="C1438" s="111" t="s">
        <v>61</v>
      </c>
      <c r="D1438" s="111" t="s">
        <v>1625</v>
      </c>
      <c r="E1438" s="111" t="s">
        <v>1755</v>
      </c>
      <c r="F1438" s="149">
        <v>98.6</v>
      </c>
      <c r="G1438" s="135">
        <f t="shared" si="63"/>
        <v>45295</v>
      </c>
      <c r="H1438" s="133" t="s">
        <v>66</v>
      </c>
      <c r="I1438" s="133" t="s">
        <v>135</v>
      </c>
      <c r="K1438" s="135"/>
      <c r="L1438" s="153">
        <f t="shared" si="62"/>
        <v>98.6</v>
      </c>
      <c r="M1438" s="111">
        <v>510177670</v>
      </c>
    </row>
    <row r="1439" spans="1:14" x14ac:dyDescent="0.35">
      <c r="A1439" s="109">
        <v>45268</v>
      </c>
      <c r="B1439" s="121" t="s">
        <v>57</v>
      </c>
      <c r="C1439" s="111" t="s">
        <v>61</v>
      </c>
      <c r="D1439" s="111" t="s">
        <v>1625</v>
      </c>
      <c r="E1439" s="111" t="s">
        <v>1756</v>
      </c>
      <c r="F1439" s="149">
        <v>73.900000000000006</v>
      </c>
      <c r="G1439" s="135">
        <f t="shared" si="63"/>
        <v>45298</v>
      </c>
      <c r="H1439" s="133" t="s">
        <v>66</v>
      </c>
      <c r="I1439" s="133" t="s">
        <v>135</v>
      </c>
      <c r="K1439" s="135"/>
      <c r="L1439" s="153">
        <f t="shared" si="62"/>
        <v>73.900000000000006</v>
      </c>
      <c r="M1439" s="111">
        <v>510177670</v>
      </c>
      <c r="N1439" s="183"/>
    </row>
    <row r="1440" spans="1:14" x14ac:dyDescent="0.35">
      <c r="A1440" s="109">
        <v>45272</v>
      </c>
      <c r="B1440" s="121" t="s">
        <v>57</v>
      </c>
      <c r="C1440" s="111" t="s">
        <v>61</v>
      </c>
      <c r="D1440" s="111" t="s">
        <v>1625</v>
      </c>
      <c r="E1440" s="111" t="s">
        <v>1757</v>
      </c>
      <c r="F1440" s="149">
        <v>24.06</v>
      </c>
      <c r="G1440" s="135">
        <f t="shared" si="63"/>
        <v>45302</v>
      </c>
      <c r="H1440" s="133" t="s">
        <v>66</v>
      </c>
      <c r="I1440" s="133" t="s">
        <v>135</v>
      </c>
      <c r="K1440" s="135"/>
      <c r="L1440" s="153">
        <f t="shared" si="62"/>
        <v>24.06</v>
      </c>
      <c r="M1440" s="111">
        <v>510177670</v>
      </c>
      <c r="N1440" s="183"/>
    </row>
    <row r="1441" spans="1:14" x14ac:dyDescent="0.35">
      <c r="A1441" s="109">
        <v>45282</v>
      </c>
      <c r="B1441" s="121" t="s">
        <v>57</v>
      </c>
      <c r="C1441" s="111" t="s">
        <v>61</v>
      </c>
      <c r="D1441" s="111" t="s">
        <v>1625</v>
      </c>
      <c r="E1441" s="111" t="s">
        <v>1758</v>
      </c>
      <c r="F1441" s="149">
        <v>78.47</v>
      </c>
      <c r="G1441" s="135">
        <f t="shared" si="63"/>
        <v>45312</v>
      </c>
      <c r="H1441" s="133" t="s">
        <v>66</v>
      </c>
      <c r="I1441" s="133" t="s">
        <v>135</v>
      </c>
      <c r="K1441" s="135"/>
      <c r="L1441" s="153">
        <f t="shared" si="62"/>
        <v>78.47</v>
      </c>
      <c r="M1441" s="111">
        <v>510177670</v>
      </c>
      <c r="N1441" s="183"/>
    </row>
    <row r="1442" spans="1:14" x14ac:dyDescent="0.35">
      <c r="A1442" s="109">
        <v>45288</v>
      </c>
      <c r="B1442" s="121" t="s">
        <v>57</v>
      </c>
      <c r="C1442" s="111" t="s">
        <v>61</v>
      </c>
      <c r="D1442" s="111" t="s">
        <v>1625</v>
      </c>
      <c r="E1442" s="111" t="s">
        <v>1759</v>
      </c>
      <c r="F1442" s="149">
        <v>92.55</v>
      </c>
      <c r="G1442" s="135">
        <f t="shared" si="63"/>
        <v>45318</v>
      </c>
      <c r="H1442" s="133" t="s">
        <v>66</v>
      </c>
      <c r="I1442" s="133" t="s">
        <v>135</v>
      </c>
      <c r="K1442" s="135"/>
      <c r="L1442" s="169">
        <f t="shared" si="62"/>
        <v>92.55</v>
      </c>
      <c r="M1442" s="145">
        <v>510177670</v>
      </c>
    </row>
    <row r="1443" spans="1:14" x14ac:dyDescent="0.35">
      <c r="A1443" s="109">
        <v>45180</v>
      </c>
      <c r="B1443" s="111" t="s">
        <v>65</v>
      </c>
      <c r="C1443" s="111" t="s">
        <v>3</v>
      </c>
      <c r="E1443" s="111" t="s">
        <v>1760</v>
      </c>
      <c r="F1443" s="131">
        <v>-77.260000000000005</v>
      </c>
      <c r="G1443" s="135"/>
      <c r="H1443" s="133" t="s">
        <v>66</v>
      </c>
      <c r="I1443" s="133" t="s">
        <v>119</v>
      </c>
      <c r="K1443" s="135"/>
      <c r="L1443" s="153">
        <f t="shared" si="62"/>
        <v>-77.260000000000005</v>
      </c>
      <c r="M1443" s="111" t="s">
        <v>1761</v>
      </c>
    </row>
    <row r="1444" spans="1:14" x14ac:dyDescent="0.35">
      <c r="A1444" s="109">
        <v>45180</v>
      </c>
      <c r="B1444" s="111" t="s">
        <v>65</v>
      </c>
      <c r="C1444" s="111" t="s">
        <v>3</v>
      </c>
      <c r="E1444" s="111" t="s">
        <v>1762</v>
      </c>
      <c r="F1444" s="131">
        <v>-28.5</v>
      </c>
      <c r="G1444" s="135"/>
      <c r="H1444" s="133" t="s">
        <v>66</v>
      </c>
      <c r="I1444" s="133" t="s">
        <v>119</v>
      </c>
      <c r="K1444" s="135"/>
      <c r="L1444" s="153">
        <f t="shared" si="62"/>
        <v>-28.5</v>
      </c>
      <c r="M1444" s="111" t="s">
        <v>1763</v>
      </c>
    </row>
    <row r="1445" spans="1:14" x14ac:dyDescent="0.35">
      <c r="A1445" s="109">
        <v>45183</v>
      </c>
      <c r="B1445" s="111" t="s">
        <v>65</v>
      </c>
      <c r="C1445" s="111" t="s">
        <v>3</v>
      </c>
      <c r="E1445" s="111" t="s">
        <v>1764</v>
      </c>
      <c r="F1445" s="131">
        <v>-86.35</v>
      </c>
      <c r="G1445" s="135"/>
      <c r="H1445" s="133" t="s">
        <v>66</v>
      </c>
      <c r="I1445" s="133" t="s">
        <v>119</v>
      </c>
      <c r="K1445" s="135"/>
      <c r="L1445" s="153">
        <f t="shared" si="62"/>
        <v>-86.35</v>
      </c>
      <c r="M1445" s="111" t="s">
        <v>1765</v>
      </c>
    </row>
    <row r="1446" spans="1:14" x14ac:dyDescent="0.35">
      <c r="A1446" s="109">
        <v>45189</v>
      </c>
      <c r="B1446" s="111" t="s">
        <v>65</v>
      </c>
      <c r="C1446" s="111" t="s">
        <v>3</v>
      </c>
      <c r="E1446" s="111" t="s">
        <v>1766</v>
      </c>
      <c r="F1446" s="131">
        <v>-251.45</v>
      </c>
      <c r="G1446" s="135"/>
      <c r="H1446" s="133" t="s">
        <v>66</v>
      </c>
      <c r="I1446" s="133" t="s">
        <v>119</v>
      </c>
      <c r="K1446" s="135"/>
      <c r="L1446" s="153">
        <f t="shared" si="62"/>
        <v>-251.45</v>
      </c>
      <c r="M1446" s="111"/>
    </row>
    <row r="1447" spans="1:14" x14ac:dyDescent="0.35">
      <c r="A1447" s="109">
        <v>45191</v>
      </c>
      <c r="B1447" s="111" t="s">
        <v>65</v>
      </c>
      <c r="C1447" s="111" t="s">
        <v>3</v>
      </c>
      <c r="E1447" s="111" t="s">
        <v>1767</v>
      </c>
      <c r="F1447" s="131">
        <v>-5217.66</v>
      </c>
      <c r="G1447" s="135"/>
      <c r="H1447" s="133" t="s">
        <v>66</v>
      </c>
      <c r="I1447" s="133" t="s">
        <v>119</v>
      </c>
      <c r="K1447" s="135"/>
      <c r="L1447" s="153">
        <f t="shared" si="62"/>
        <v>-5217.66</v>
      </c>
      <c r="M1447" s="111" t="s">
        <v>1768</v>
      </c>
    </row>
    <row r="1448" spans="1:14" x14ac:dyDescent="0.35">
      <c r="A1448" s="109">
        <v>45195</v>
      </c>
      <c r="B1448" s="111" t="s">
        <v>65</v>
      </c>
      <c r="C1448" s="111" t="s">
        <v>3</v>
      </c>
      <c r="E1448" s="111" t="s">
        <v>1769</v>
      </c>
      <c r="F1448" s="131">
        <v>-311.35000000000002</v>
      </c>
      <c r="G1448" s="135"/>
      <c r="H1448" s="133" t="s">
        <v>66</v>
      </c>
      <c r="I1448" s="133" t="s">
        <v>119</v>
      </c>
      <c r="K1448" s="135"/>
      <c r="L1448" s="153">
        <f t="shared" si="62"/>
        <v>-311.35000000000002</v>
      </c>
      <c r="M1448" s="111" t="s">
        <v>1263</v>
      </c>
    </row>
    <row r="1449" spans="1:14" x14ac:dyDescent="0.35">
      <c r="A1449" s="109">
        <v>45198</v>
      </c>
      <c r="B1449" s="111" t="s">
        <v>65</v>
      </c>
      <c r="C1449" s="111" t="s">
        <v>3</v>
      </c>
      <c r="E1449" s="111" t="s">
        <v>1770</v>
      </c>
      <c r="F1449" s="131">
        <v>-27675</v>
      </c>
      <c r="G1449" s="135"/>
      <c r="H1449" s="133" t="s">
        <v>66</v>
      </c>
      <c r="I1449" s="133" t="s">
        <v>119</v>
      </c>
      <c r="K1449" s="135"/>
      <c r="L1449" s="153">
        <f t="shared" si="62"/>
        <v>-27675</v>
      </c>
      <c r="M1449" s="111" t="s">
        <v>1771</v>
      </c>
    </row>
    <row r="1450" spans="1:14" x14ac:dyDescent="0.35">
      <c r="A1450" s="109">
        <v>45198</v>
      </c>
      <c r="B1450" s="111" t="s">
        <v>65</v>
      </c>
      <c r="C1450" s="111" t="s">
        <v>3</v>
      </c>
      <c r="E1450" s="111" t="s">
        <v>1772</v>
      </c>
      <c r="F1450" s="131">
        <v>-124.43</v>
      </c>
      <c r="G1450" s="135"/>
      <c r="H1450" s="133" t="s">
        <v>66</v>
      </c>
      <c r="I1450" s="133" t="s">
        <v>119</v>
      </c>
      <c r="K1450" s="135"/>
      <c r="L1450" s="153">
        <f t="shared" si="62"/>
        <v>-124.43</v>
      </c>
      <c r="M1450" s="111" t="s">
        <v>1773</v>
      </c>
    </row>
    <row r="1451" spans="1:14" x14ac:dyDescent="0.35">
      <c r="A1451" s="109">
        <v>45203</v>
      </c>
      <c r="B1451" s="111" t="s">
        <v>65</v>
      </c>
      <c r="C1451" s="111" t="s">
        <v>3</v>
      </c>
      <c r="E1451" s="111" t="s">
        <v>1774</v>
      </c>
      <c r="F1451" s="131">
        <v>-589.38299999999992</v>
      </c>
      <c r="G1451" s="135"/>
      <c r="H1451" s="133" t="s">
        <v>66</v>
      </c>
      <c r="I1451" s="133" t="s">
        <v>119</v>
      </c>
      <c r="K1451" s="135"/>
      <c r="L1451" s="153">
        <f t="shared" si="62"/>
        <v>-589.38299999999992</v>
      </c>
      <c r="M1451" s="111" t="s">
        <v>1775</v>
      </c>
    </row>
    <row r="1452" spans="1:14" x14ac:dyDescent="0.35">
      <c r="A1452" s="109">
        <v>45210</v>
      </c>
      <c r="B1452" s="111" t="s">
        <v>65</v>
      </c>
      <c r="C1452" s="111" t="s">
        <v>3</v>
      </c>
      <c r="E1452" s="111" t="s">
        <v>1776</v>
      </c>
      <c r="F1452" s="131">
        <v>-101.47</v>
      </c>
      <c r="G1452" s="135"/>
      <c r="H1452" s="133" t="s">
        <v>66</v>
      </c>
      <c r="I1452" s="133" t="s">
        <v>119</v>
      </c>
      <c r="K1452" s="135"/>
      <c r="L1452" s="153">
        <f t="shared" si="62"/>
        <v>-101.47</v>
      </c>
      <c r="M1452" s="111" t="s">
        <v>1777</v>
      </c>
    </row>
    <row r="1453" spans="1:14" x14ac:dyDescent="0.35">
      <c r="A1453" s="109">
        <v>45211</v>
      </c>
      <c r="B1453" s="111" t="s">
        <v>65</v>
      </c>
      <c r="C1453" s="111" t="s">
        <v>3</v>
      </c>
      <c r="E1453" s="111" t="s">
        <v>1778</v>
      </c>
      <c r="F1453" s="131">
        <v>-148.51</v>
      </c>
      <c r="G1453" s="135"/>
      <c r="H1453" s="133" t="s">
        <v>66</v>
      </c>
      <c r="I1453" s="133" t="s">
        <v>119</v>
      </c>
      <c r="K1453" s="135"/>
      <c r="L1453" s="153">
        <f t="shared" ref="L1453:L1475" si="64">F1453</f>
        <v>-148.51</v>
      </c>
      <c r="M1453" s="111" t="s">
        <v>1779</v>
      </c>
    </row>
    <row r="1454" spans="1:14" x14ac:dyDescent="0.35">
      <c r="A1454" s="109">
        <v>45224</v>
      </c>
      <c r="B1454" s="111" t="s">
        <v>65</v>
      </c>
      <c r="C1454" s="111" t="s">
        <v>3</v>
      </c>
      <c r="E1454" s="111" t="s">
        <v>1780</v>
      </c>
      <c r="F1454" s="131">
        <v>-332.03</v>
      </c>
      <c r="G1454" s="135"/>
      <c r="H1454" s="133" t="s">
        <v>66</v>
      </c>
      <c r="I1454" s="133" t="s">
        <v>119</v>
      </c>
      <c r="K1454" s="135"/>
      <c r="L1454" s="153">
        <f t="shared" si="64"/>
        <v>-332.03</v>
      </c>
      <c r="M1454" s="111" t="s">
        <v>1781</v>
      </c>
    </row>
    <row r="1455" spans="1:14" x14ac:dyDescent="0.35">
      <c r="A1455" s="109">
        <v>45225</v>
      </c>
      <c r="B1455" s="111" t="s">
        <v>65</v>
      </c>
      <c r="C1455" s="111" t="s">
        <v>3</v>
      </c>
      <c r="E1455" s="111" t="s">
        <v>1782</v>
      </c>
      <c r="F1455" s="131">
        <v>-84.05</v>
      </c>
      <c r="G1455" s="135"/>
      <c r="H1455" s="133" t="s">
        <v>66</v>
      </c>
      <c r="I1455" s="133" t="s">
        <v>119</v>
      </c>
      <c r="K1455" s="135"/>
      <c r="L1455" s="153">
        <f t="shared" si="64"/>
        <v>-84.05</v>
      </c>
      <c r="M1455" s="111" t="s">
        <v>1781</v>
      </c>
    </row>
    <row r="1456" spans="1:14" x14ac:dyDescent="0.35">
      <c r="A1456" s="109">
        <v>45236</v>
      </c>
      <c r="B1456" s="111" t="s">
        <v>65</v>
      </c>
      <c r="C1456" s="111" t="s">
        <v>3</v>
      </c>
      <c r="E1456" s="111" t="s">
        <v>1783</v>
      </c>
      <c r="F1456" s="131">
        <v>-211.24</v>
      </c>
      <c r="G1456" s="135"/>
      <c r="H1456" s="133" t="s">
        <v>66</v>
      </c>
      <c r="I1456" s="133" t="s">
        <v>119</v>
      </c>
      <c r="K1456" s="135"/>
      <c r="L1456" s="153">
        <f t="shared" si="64"/>
        <v>-211.24</v>
      </c>
      <c r="M1456" s="111" t="s">
        <v>1784</v>
      </c>
    </row>
    <row r="1457" spans="1:14" x14ac:dyDescent="0.35">
      <c r="A1457" s="109">
        <v>45252</v>
      </c>
      <c r="B1457" s="111" t="s">
        <v>65</v>
      </c>
      <c r="C1457" s="111" t="s">
        <v>3</v>
      </c>
      <c r="E1457" s="111" t="s">
        <v>1785</v>
      </c>
      <c r="F1457" s="131">
        <v>-374.13</v>
      </c>
      <c r="G1457" s="135"/>
      <c r="H1457" s="133" t="s">
        <v>561</v>
      </c>
      <c r="I1457" s="133" t="s">
        <v>119</v>
      </c>
      <c r="K1457" s="135"/>
      <c r="L1457" s="153">
        <f t="shared" si="64"/>
        <v>-374.13</v>
      </c>
      <c r="M1457" s="111" t="s">
        <v>1263</v>
      </c>
    </row>
    <row r="1458" spans="1:14" x14ac:dyDescent="0.35">
      <c r="A1458" s="109">
        <v>45258</v>
      </c>
      <c r="B1458" s="111" t="s">
        <v>65</v>
      </c>
      <c r="C1458" s="111" t="s">
        <v>3</v>
      </c>
      <c r="E1458" s="111" t="s">
        <v>1786</v>
      </c>
      <c r="F1458" s="131">
        <v>-95.94</v>
      </c>
      <c r="G1458" s="135"/>
      <c r="H1458" s="133" t="s">
        <v>66</v>
      </c>
      <c r="I1458" s="133" t="s">
        <v>119</v>
      </c>
      <c r="K1458" s="135"/>
      <c r="L1458" s="153">
        <f t="shared" si="64"/>
        <v>-95.94</v>
      </c>
      <c r="M1458" s="111" t="s">
        <v>1787</v>
      </c>
    </row>
    <row r="1459" spans="1:14" x14ac:dyDescent="0.35">
      <c r="A1459" s="109">
        <v>45271</v>
      </c>
      <c r="B1459" s="111" t="s">
        <v>65</v>
      </c>
      <c r="C1459" s="111" t="s">
        <v>3</v>
      </c>
      <c r="E1459" s="111" t="s">
        <v>1788</v>
      </c>
      <c r="F1459" s="131">
        <v>-244.46</v>
      </c>
      <c r="G1459" s="135"/>
      <c r="H1459" s="133" t="s">
        <v>66</v>
      </c>
      <c r="I1459" s="133" t="s">
        <v>119</v>
      </c>
      <c r="K1459" s="135"/>
      <c r="L1459" s="153">
        <f t="shared" si="64"/>
        <v>-244.46</v>
      </c>
      <c r="M1459" s="111" t="s">
        <v>1789</v>
      </c>
    </row>
    <row r="1460" spans="1:14" x14ac:dyDescent="0.35">
      <c r="A1460" s="109">
        <v>45280</v>
      </c>
      <c r="B1460" s="111" t="s">
        <v>65</v>
      </c>
      <c r="C1460" s="111" t="s">
        <v>3</v>
      </c>
      <c r="E1460" s="111" t="s">
        <v>1790</v>
      </c>
      <c r="F1460" s="131">
        <v>-56.19</v>
      </c>
      <c r="G1460" s="135"/>
      <c r="H1460" s="133" t="s">
        <v>66</v>
      </c>
      <c r="I1460" s="133" t="s">
        <v>119</v>
      </c>
      <c r="K1460" s="135"/>
      <c r="L1460" s="153">
        <f t="shared" si="64"/>
        <v>-56.19</v>
      </c>
      <c r="M1460" s="111" t="s">
        <v>1791</v>
      </c>
    </row>
    <row r="1461" spans="1:14" x14ac:dyDescent="0.35">
      <c r="A1461" s="109">
        <v>45002</v>
      </c>
      <c r="B1461" s="121" t="s">
        <v>57</v>
      </c>
      <c r="C1461" s="111" t="s">
        <v>61</v>
      </c>
      <c r="D1461" s="111" t="s">
        <v>1625</v>
      </c>
      <c r="E1461" s="111" t="s">
        <v>1792</v>
      </c>
      <c r="F1461" s="149">
        <v>84.67</v>
      </c>
      <c r="G1461" s="135">
        <f>A1461+30</f>
        <v>45032</v>
      </c>
      <c r="H1461" s="133" t="s">
        <v>66</v>
      </c>
      <c r="I1461" s="133" t="s">
        <v>135</v>
      </c>
      <c r="K1461" s="135"/>
      <c r="L1461" s="153">
        <f t="shared" si="64"/>
        <v>84.67</v>
      </c>
      <c r="M1461" s="111">
        <v>510177670</v>
      </c>
    </row>
    <row r="1462" spans="1:14" x14ac:dyDescent="0.35">
      <c r="A1462" s="109">
        <v>45037</v>
      </c>
      <c r="B1462" s="121" t="s">
        <v>57</v>
      </c>
      <c r="C1462" s="111" t="s">
        <v>61</v>
      </c>
      <c r="D1462" s="111" t="s">
        <v>1625</v>
      </c>
      <c r="E1462" s="111" t="s">
        <v>1793</v>
      </c>
      <c r="F1462" s="149">
        <v>53.38</v>
      </c>
      <c r="G1462" s="135">
        <f>A1462+30</f>
        <v>45067</v>
      </c>
      <c r="H1462" s="133" t="s">
        <v>66</v>
      </c>
      <c r="I1462" s="133" t="s">
        <v>135</v>
      </c>
      <c r="K1462" s="135"/>
      <c r="L1462" s="153">
        <f t="shared" si="64"/>
        <v>53.38</v>
      </c>
      <c r="M1462" s="111">
        <v>510177670</v>
      </c>
      <c r="N1462" s="183"/>
    </row>
    <row r="1463" spans="1:14" x14ac:dyDescent="0.35">
      <c r="A1463" s="109">
        <v>45058</v>
      </c>
      <c r="B1463" s="121" t="s">
        <v>57</v>
      </c>
      <c r="C1463" s="111" t="s">
        <v>61</v>
      </c>
      <c r="D1463" s="111" t="s">
        <v>1625</v>
      </c>
      <c r="E1463" s="111" t="s">
        <v>1794</v>
      </c>
      <c r="F1463" s="149">
        <v>95.88</v>
      </c>
      <c r="G1463" s="135">
        <f>A1463+30</f>
        <v>45088</v>
      </c>
      <c r="H1463" s="133" t="s">
        <v>66</v>
      </c>
      <c r="I1463" s="133" t="s">
        <v>135</v>
      </c>
      <c r="K1463" s="135"/>
      <c r="L1463" s="153">
        <f t="shared" si="64"/>
        <v>95.88</v>
      </c>
      <c r="M1463" s="111">
        <v>510177670</v>
      </c>
      <c r="N1463" s="183"/>
    </row>
    <row r="1464" spans="1:14" x14ac:dyDescent="0.35">
      <c r="A1464" s="109">
        <v>45428</v>
      </c>
      <c r="B1464" s="121" t="s">
        <v>57</v>
      </c>
      <c r="C1464" s="111" t="s">
        <v>61</v>
      </c>
      <c r="D1464" s="111" t="s">
        <v>1625</v>
      </c>
      <c r="E1464" s="111" t="s">
        <v>1795</v>
      </c>
      <c r="F1464" s="149">
        <v>56.83</v>
      </c>
      <c r="G1464" s="135">
        <f>A1464+30</f>
        <v>45458</v>
      </c>
      <c r="H1464" s="133" t="s">
        <v>66</v>
      </c>
      <c r="I1464" s="133" t="s">
        <v>135</v>
      </c>
      <c r="K1464" s="135"/>
      <c r="L1464" s="169">
        <f t="shared" si="64"/>
        <v>56.83</v>
      </c>
      <c r="M1464" s="145">
        <v>510177670</v>
      </c>
    </row>
    <row r="1465" spans="1:14" x14ac:dyDescent="0.35">
      <c r="A1465" s="109">
        <v>45448</v>
      </c>
      <c r="B1465" s="121" t="s">
        <v>57</v>
      </c>
      <c r="C1465" s="111" t="s">
        <v>61</v>
      </c>
      <c r="D1465" s="111" t="s">
        <v>1625</v>
      </c>
      <c r="E1465" s="111" t="s">
        <v>1796</v>
      </c>
      <c r="F1465" s="149">
        <v>48.11</v>
      </c>
      <c r="G1465" s="135">
        <f>A1465+30</f>
        <v>45478</v>
      </c>
      <c r="H1465" s="133" t="s">
        <v>66</v>
      </c>
      <c r="I1465" s="133" t="s">
        <v>135</v>
      </c>
      <c r="K1465" s="135"/>
      <c r="L1465" s="153">
        <f t="shared" si="64"/>
        <v>48.11</v>
      </c>
      <c r="M1465" s="111">
        <v>510177670</v>
      </c>
      <c r="N1465" s="183"/>
    </row>
    <row r="1466" spans="1:14" x14ac:dyDescent="0.35">
      <c r="A1466" s="109">
        <v>45282</v>
      </c>
      <c r="B1466" s="111" t="s">
        <v>65</v>
      </c>
      <c r="C1466" s="111" t="s">
        <v>3</v>
      </c>
      <c r="E1466" s="111" t="s">
        <v>1797</v>
      </c>
      <c r="F1466" s="131">
        <v>-108.24</v>
      </c>
      <c r="G1466" s="135"/>
      <c r="H1466" s="133" t="s">
        <v>66</v>
      </c>
      <c r="I1466" s="133" t="s">
        <v>119</v>
      </c>
      <c r="K1466" s="135"/>
      <c r="L1466" s="169">
        <f t="shared" si="64"/>
        <v>-108.24</v>
      </c>
      <c r="M1466" s="145" t="s">
        <v>1798</v>
      </c>
    </row>
    <row r="1467" spans="1:14" x14ac:dyDescent="0.35">
      <c r="A1467" s="109">
        <v>45294</v>
      </c>
      <c r="B1467" s="111" t="s">
        <v>65</v>
      </c>
      <c r="C1467" s="111" t="s">
        <v>3</v>
      </c>
      <c r="E1467" s="111" t="s">
        <v>1799</v>
      </c>
      <c r="F1467" s="131">
        <v>-297.33</v>
      </c>
      <c r="G1467" s="135"/>
      <c r="H1467" s="133" t="s">
        <v>66</v>
      </c>
      <c r="I1467" s="133" t="s">
        <v>119</v>
      </c>
      <c r="K1467" s="135"/>
      <c r="L1467" s="153">
        <f t="shared" si="64"/>
        <v>-297.33</v>
      </c>
      <c r="M1467" s="111" t="s">
        <v>1800</v>
      </c>
    </row>
    <row r="1468" spans="1:14" x14ac:dyDescent="0.35">
      <c r="A1468" s="109">
        <v>45300</v>
      </c>
      <c r="B1468" s="111" t="s">
        <v>65</v>
      </c>
      <c r="C1468" s="111" t="s">
        <v>3</v>
      </c>
      <c r="E1468" s="111" t="s">
        <v>1124</v>
      </c>
      <c r="F1468" s="131">
        <v>-95.94</v>
      </c>
      <c r="G1468" s="135"/>
      <c r="H1468" s="133" t="s">
        <v>66</v>
      </c>
      <c r="I1468" s="133" t="s">
        <v>119</v>
      </c>
      <c r="K1468" s="135"/>
      <c r="L1468" s="153">
        <f t="shared" si="64"/>
        <v>-95.94</v>
      </c>
      <c r="M1468" s="111" t="s">
        <v>1801</v>
      </c>
    </row>
    <row r="1469" spans="1:14" x14ac:dyDescent="0.35">
      <c r="A1469" s="109">
        <v>45316</v>
      </c>
      <c r="B1469" s="111" t="s">
        <v>65</v>
      </c>
      <c r="C1469" s="111" t="s">
        <v>3</v>
      </c>
      <c r="E1469" s="111" t="s">
        <v>1802</v>
      </c>
      <c r="F1469" s="131">
        <v>-145.9</v>
      </c>
      <c r="G1469" s="135"/>
      <c r="H1469" s="133" t="s">
        <v>66</v>
      </c>
      <c r="I1469" s="133" t="s">
        <v>119</v>
      </c>
      <c r="K1469" s="135"/>
      <c r="L1469" s="153">
        <f t="shared" si="64"/>
        <v>-145.9</v>
      </c>
      <c r="M1469" s="111" t="s">
        <v>1781</v>
      </c>
    </row>
    <row r="1470" spans="1:14" x14ac:dyDescent="0.35">
      <c r="A1470" s="109">
        <v>45317</v>
      </c>
      <c r="B1470" s="111" t="s">
        <v>65</v>
      </c>
      <c r="C1470" s="111" t="s">
        <v>3</v>
      </c>
      <c r="E1470" s="111" t="s">
        <v>1803</v>
      </c>
      <c r="F1470" s="131">
        <v>-477.14</v>
      </c>
      <c r="G1470" s="135"/>
      <c r="H1470" s="133" t="s">
        <v>66</v>
      </c>
      <c r="I1470" s="133" t="s">
        <v>119</v>
      </c>
      <c r="K1470" s="135"/>
      <c r="L1470" s="153">
        <f t="shared" si="64"/>
        <v>-477.14</v>
      </c>
      <c r="M1470" s="111" t="s">
        <v>1804</v>
      </c>
    </row>
    <row r="1471" spans="1:14" x14ac:dyDescent="0.35">
      <c r="A1471" s="109">
        <v>45323</v>
      </c>
      <c r="B1471" s="111" t="s">
        <v>65</v>
      </c>
      <c r="C1471" s="111" t="s">
        <v>3</v>
      </c>
      <c r="E1471" s="111" t="s">
        <v>1805</v>
      </c>
      <c r="F1471" s="131">
        <v>-422.31</v>
      </c>
      <c r="G1471" s="135"/>
      <c r="H1471" s="133" t="s">
        <v>66</v>
      </c>
      <c r="I1471" s="133" t="s">
        <v>119</v>
      </c>
      <c r="K1471" s="135"/>
      <c r="L1471" s="153">
        <f t="shared" si="64"/>
        <v>-422.31</v>
      </c>
      <c r="M1471" s="111" t="s">
        <v>1263</v>
      </c>
    </row>
    <row r="1472" spans="1:14" x14ac:dyDescent="0.35">
      <c r="A1472" s="109">
        <v>45331</v>
      </c>
      <c r="B1472" s="111" t="s">
        <v>65</v>
      </c>
      <c r="C1472" s="111" t="s">
        <v>3</v>
      </c>
      <c r="E1472" s="111" t="s">
        <v>1806</v>
      </c>
      <c r="F1472" s="131">
        <v>-342.24</v>
      </c>
      <c r="G1472" s="135"/>
      <c r="H1472" s="133" t="s">
        <v>66</v>
      </c>
      <c r="I1472" s="133" t="s">
        <v>119</v>
      </c>
      <c r="K1472" s="135"/>
      <c r="L1472" s="153">
        <f t="shared" si="64"/>
        <v>-342.24</v>
      </c>
      <c r="M1472" s="111" t="s">
        <v>1807</v>
      </c>
    </row>
    <row r="1473" spans="1:14" x14ac:dyDescent="0.35">
      <c r="A1473" s="109">
        <v>45457</v>
      </c>
      <c r="B1473" s="121" t="s">
        <v>57</v>
      </c>
      <c r="C1473" s="111" t="s">
        <v>61</v>
      </c>
      <c r="D1473" s="111" t="s">
        <v>1625</v>
      </c>
      <c r="E1473" s="111" t="s">
        <v>1808</v>
      </c>
      <c r="F1473" s="149">
        <v>48.73</v>
      </c>
      <c r="G1473" s="135">
        <f>A1473+30</f>
        <v>45487</v>
      </c>
      <c r="H1473" s="133" t="s">
        <v>66</v>
      </c>
      <c r="I1473" s="133" t="s">
        <v>135</v>
      </c>
      <c r="K1473" s="135"/>
      <c r="L1473" s="153">
        <f t="shared" si="64"/>
        <v>48.73</v>
      </c>
      <c r="M1473" s="111">
        <v>510177670</v>
      </c>
      <c r="N1473" s="183"/>
    </row>
    <row r="1474" spans="1:14" x14ac:dyDescent="0.35">
      <c r="A1474" s="109">
        <v>45477</v>
      </c>
      <c r="B1474" s="121" t="s">
        <v>57</v>
      </c>
      <c r="C1474" s="111" t="s">
        <v>61</v>
      </c>
      <c r="D1474" s="111" t="s">
        <v>1625</v>
      </c>
      <c r="E1474" s="111" t="s">
        <v>1809</v>
      </c>
      <c r="F1474" s="149">
        <v>71.930000000000007</v>
      </c>
      <c r="G1474" s="135">
        <f>A1474+30</f>
        <v>45507</v>
      </c>
      <c r="H1474" s="133" t="s">
        <v>66</v>
      </c>
      <c r="I1474" s="133" t="s">
        <v>135</v>
      </c>
      <c r="K1474" s="135"/>
      <c r="L1474" s="169">
        <f t="shared" si="64"/>
        <v>71.930000000000007</v>
      </c>
      <c r="M1474" s="145">
        <v>510177670</v>
      </c>
    </row>
    <row r="1475" spans="1:14" x14ac:dyDescent="0.35">
      <c r="A1475" s="109">
        <v>45491</v>
      </c>
      <c r="B1475" s="121" t="s">
        <v>57</v>
      </c>
      <c r="C1475" s="111" t="s">
        <v>61</v>
      </c>
      <c r="D1475" s="111" t="s">
        <v>1625</v>
      </c>
      <c r="E1475" s="111" t="s">
        <v>1810</v>
      </c>
      <c r="F1475" s="149">
        <v>99.48</v>
      </c>
      <c r="G1475" s="135">
        <f>A1475+30</f>
        <v>45521</v>
      </c>
      <c r="H1475" s="133" t="s">
        <v>66</v>
      </c>
      <c r="I1475" s="133" t="s">
        <v>135</v>
      </c>
      <c r="K1475" s="135"/>
      <c r="L1475" s="153">
        <f t="shared" si="64"/>
        <v>99.48</v>
      </c>
      <c r="M1475" s="111">
        <v>510177670</v>
      </c>
    </row>
    <row r="1476" spans="1:14" x14ac:dyDescent="0.35">
      <c r="C1476" s="111" t="s">
        <v>83</v>
      </c>
      <c r="E1476" s="111" t="s">
        <v>878</v>
      </c>
      <c r="F1476" s="153">
        <v>-221.4</v>
      </c>
      <c r="H1476" s="133" t="s">
        <v>1811</v>
      </c>
      <c r="I1476" s="133" t="s">
        <v>170</v>
      </c>
      <c r="K1476" s="135"/>
      <c r="M1476" s="111" t="s">
        <v>877</v>
      </c>
    </row>
    <row r="1477" spans="1:14" x14ac:dyDescent="0.35">
      <c r="A1477" s="109">
        <v>45338</v>
      </c>
      <c r="B1477" s="111" t="s">
        <v>65</v>
      </c>
      <c r="C1477" s="111" t="s">
        <v>3</v>
      </c>
      <c r="E1477" s="111" t="s">
        <v>1812</v>
      </c>
      <c r="F1477" s="131">
        <v>-840.5</v>
      </c>
      <c r="G1477" s="135"/>
      <c r="H1477" s="133" t="s">
        <v>66</v>
      </c>
      <c r="I1477" s="133" t="s">
        <v>119</v>
      </c>
      <c r="K1477" s="135"/>
      <c r="L1477" s="153">
        <f t="shared" ref="L1477:L1508" si="65">F1477</f>
        <v>-840.5</v>
      </c>
      <c r="M1477" s="111" t="s">
        <v>1813</v>
      </c>
    </row>
    <row r="1478" spans="1:14" x14ac:dyDescent="0.35">
      <c r="A1478" s="109">
        <v>45339</v>
      </c>
      <c r="B1478" s="111" t="s">
        <v>65</v>
      </c>
      <c r="C1478" s="111" t="s">
        <v>3</v>
      </c>
      <c r="E1478" s="111" t="s">
        <v>1814</v>
      </c>
      <c r="F1478" s="131">
        <v>-222.63</v>
      </c>
      <c r="G1478" s="135"/>
      <c r="H1478" s="133" t="s">
        <v>66</v>
      </c>
      <c r="I1478" s="133" t="s">
        <v>119</v>
      </c>
      <c r="K1478" s="135"/>
      <c r="L1478" s="153">
        <f t="shared" si="65"/>
        <v>-222.63</v>
      </c>
      <c r="M1478" s="111" t="s">
        <v>1815</v>
      </c>
    </row>
    <row r="1479" spans="1:14" x14ac:dyDescent="0.35">
      <c r="A1479" s="109">
        <v>45350</v>
      </c>
      <c r="B1479" s="111" t="s">
        <v>65</v>
      </c>
      <c r="C1479" s="111" t="s">
        <v>3</v>
      </c>
      <c r="E1479" s="111" t="s">
        <v>1816</v>
      </c>
      <c r="F1479" s="131">
        <v>-142.07</v>
      </c>
      <c r="G1479" s="135"/>
      <c r="H1479" s="133" t="s">
        <v>66</v>
      </c>
      <c r="I1479" s="133" t="s">
        <v>119</v>
      </c>
      <c r="K1479" s="135"/>
      <c r="L1479" s="153">
        <f t="shared" si="65"/>
        <v>-142.07</v>
      </c>
      <c r="M1479" s="111" t="s">
        <v>1817</v>
      </c>
    </row>
    <row r="1480" spans="1:14" x14ac:dyDescent="0.35">
      <c r="A1480" s="109">
        <v>45370</v>
      </c>
      <c r="B1480" s="111" t="s">
        <v>65</v>
      </c>
      <c r="C1480" s="111" t="s">
        <v>3</v>
      </c>
      <c r="E1480" s="111" t="s">
        <v>1818</v>
      </c>
      <c r="F1480" s="131">
        <v>-238.47</v>
      </c>
      <c r="G1480" s="135"/>
      <c r="H1480" s="133" t="s">
        <v>66</v>
      </c>
      <c r="I1480" s="133" t="s">
        <v>119</v>
      </c>
      <c r="K1480" s="135"/>
      <c r="L1480" s="153">
        <f t="shared" si="65"/>
        <v>-238.47</v>
      </c>
      <c r="M1480" s="111" t="s">
        <v>1745</v>
      </c>
    </row>
    <row r="1481" spans="1:14" x14ac:dyDescent="0.35">
      <c r="A1481" s="109">
        <v>45371</v>
      </c>
      <c r="B1481" s="111" t="s">
        <v>65</v>
      </c>
      <c r="C1481" s="111" t="s">
        <v>3</v>
      </c>
      <c r="E1481" s="111" t="s">
        <v>1819</v>
      </c>
      <c r="F1481" s="131">
        <v>-8.1200000000000045</v>
      </c>
      <c r="G1481" s="135"/>
      <c r="H1481" s="133" t="s">
        <v>66</v>
      </c>
      <c r="I1481" s="133" t="s">
        <v>119</v>
      </c>
      <c r="K1481" s="135"/>
      <c r="L1481" s="153">
        <f t="shared" si="65"/>
        <v>-8.1200000000000045</v>
      </c>
      <c r="M1481" s="111" t="s">
        <v>1820</v>
      </c>
    </row>
    <row r="1482" spans="1:14" x14ac:dyDescent="0.35">
      <c r="A1482" s="109">
        <v>45378</v>
      </c>
      <c r="B1482" s="111" t="s">
        <v>65</v>
      </c>
      <c r="C1482" s="111" t="s">
        <v>3</v>
      </c>
      <c r="E1482" s="111" t="s">
        <v>1821</v>
      </c>
      <c r="F1482" s="131">
        <v>-181.77</v>
      </c>
      <c r="G1482" s="135"/>
      <c r="H1482" s="133" t="s">
        <v>66</v>
      </c>
      <c r="I1482" s="133" t="s">
        <v>119</v>
      </c>
      <c r="K1482" s="135"/>
      <c r="L1482" s="153">
        <f t="shared" si="65"/>
        <v>-181.77</v>
      </c>
      <c r="M1482" s="111" t="s">
        <v>1263</v>
      </c>
    </row>
    <row r="1483" spans="1:14" x14ac:dyDescent="0.35">
      <c r="A1483" s="109">
        <v>45330</v>
      </c>
      <c r="B1483" s="121" t="s">
        <v>57</v>
      </c>
      <c r="C1483" s="111" t="s">
        <v>61</v>
      </c>
      <c r="D1483" s="111" t="s">
        <v>1625</v>
      </c>
      <c r="E1483" s="111" t="s">
        <v>1822</v>
      </c>
      <c r="F1483" s="149">
        <v>72.180000000000007</v>
      </c>
      <c r="G1483" s="135">
        <f>A1483+30</f>
        <v>45360</v>
      </c>
      <c r="H1483" s="133" t="s">
        <v>66</v>
      </c>
      <c r="I1483" s="133" t="s">
        <v>135</v>
      </c>
      <c r="K1483" s="135"/>
      <c r="L1483" s="153">
        <f t="shared" si="65"/>
        <v>72.180000000000007</v>
      </c>
      <c r="M1483" s="111">
        <v>510177670</v>
      </c>
    </row>
    <row r="1484" spans="1:14" x14ac:dyDescent="0.35">
      <c r="A1484" s="109">
        <v>45337</v>
      </c>
      <c r="B1484" s="121" t="s">
        <v>57</v>
      </c>
      <c r="C1484" s="111" t="s">
        <v>61</v>
      </c>
      <c r="D1484" s="111" t="s">
        <v>1625</v>
      </c>
      <c r="E1484" s="111" t="s">
        <v>1823</v>
      </c>
      <c r="F1484" s="149">
        <v>71.099999999999994</v>
      </c>
      <c r="G1484" s="135">
        <f>A1484+30</f>
        <v>45367</v>
      </c>
      <c r="H1484" s="133" t="s">
        <v>66</v>
      </c>
      <c r="I1484" s="133" t="s">
        <v>135</v>
      </c>
      <c r="K1484" s="135"/>
      <c r="L1484" s="153">
        <f t="shared" si="65"/>
        <v>71.099999999999994</v>
      </c>
      <c r="M1484" s="111">
        <v>510177670</v>
      </c>
    </row>
    <row r="1485" spans="1:14" x14ac:dyDescent="0.35">
      <c r="A1485" s="109">
        <v>45392</v>
      </c>
      <c r="B1485" s="111" t="s">
        <v>65</v>
      </c>
      <c r="C1485" s="111" t="s">
        <v>3</v>
      </c>
      <c r="E1485" s="111" t="s">
        <v>1824</v>
      </c>
      <c r="F1485" s="131">
        <v>-647.08000000000004</v>
      </c>
      <c r="G1485" s="135"/>
      <c r="H1485" s="133" t="s">
        <v>66</v>
      </c>
      <c r="I1485" s="133" t="s">
        <v>119</v>
      </c>
      <c r="K1485" s="135"/>
      <c r="L1485" s="153">
        <f t="shared" si="65"/>
        <v>-647.08000000000004</v>
      </c>
      <c r="M1485" s="111" t="s">
        <v>1825</v>
      </c>
    </row>
    <row r="1486" spans="1:14" x14ac:dyDescent="0.35">
      <c r="A1486" s="109">
        <v>45398</v>
      </c>
      <c r="B1486" s="111" t="s">
        <v>65</v>
      </c>
      <c r="C1486" s="111" t="s">
        <v>3</v>
      </c>
      <c r="E1486" s="111" t="s">
        <v>1826</v>
      </c>
      <c r="F1486" s="131">
        <v>-398.89</v>
      </c>
      <c r="G1486" s="135"/>
      <c r="H1486" s="133" t="s">
        <v>66</v>
      </c>
      <c r="I1486" s="133" t="s">
        <v>119</v>
      </c>
      <c r="K1486" s="135"/>
      <c r="L1486" s="153">
        <f t="shared" si="65"/>
        <v>-398.89</v>
      </c>
      <c r="M1486" s="111" t="s">
        <v>1263</v>
      </c>
    </row>
    <row r="1487" spans="1:14" x14ac:dyDescent="0.35">
      <c r="A1487" s="109">
        <v>45409</v>
      </c>
      <c r="B1487" s="111" t="s">
        <v>65</v>
      </c>
      <c r="C1487" s="111" t="s">
        <v>3</v>
      </c>
      <c r="E1487" s="111" t="s">
        <v>1827</v>
      </c>
      <c r="F1487" s="131">
        <v>-285.05</v>
      </c>
      <c r="G1487" s="135"/>
      <c r="H1487" s="133" t="s">
        <v>66</v>
      </c>
      <c r="I1487" s="133" t="s">
        <v>119</v>
      </c>
      <c r="K1487" s="135"/>
      <c r="L1487" s="153">
        <f t="shared" si="65"/>
        <v>-285.05</v>
      </c>
      <c r="M1487" s="111" t="s">
        <v>1745</v>
      </c>
    </row>
    <row r="1488" spans="1:14" x14ac:dyDescent="0.35">
      <c r="A1488" s="109">
        <v>45412</v>
      </c>
      <c r="B1488" s="111" t="s">
        <v>65</v>
      </c>
      <c r="C1488" s="111" t="s">
        <v>3</v>
      </c>
      <c r="E1488" s="111" t="s">
        <v>1828</v>
      </c>
      <c r="F1488" s="131">
        <v>-99.3</v>
      </c>
      <c r="G1488" s="135"/>
      <c r="H1488" s="133" t="s">
        <v>66</v>
      </c>
      <c r="I1488" s="133" t="s">
        <v>119</v>
      </c>
      <c r="K1488" s="135"/>
      <c r="L1488" s="153">
        <f t="shared" si="65"/>
        <v>-99.3</v>
      </c>
      <c r="M1488" s="111" t="s">
        <v>1784</v>
      </c>
    </row>
    <row r="1489" spans="1:13" x14ac:dyDescent="0.35">
      <c r="A1489" s="109">
        <v>45414</v>
      </c>
      <c r="B1489" s="111" t="s">
        <v>65</v>
      </c>
      <c r="C1489" s="111" t="s">
        <v>3</v>
      </c>
      <c r="E1489" s="111" t="s">
        <v>1829</v>
      </c>
      <c r="F1489" s="131">
        <v>-397.61</v>
      </c>
      <c r="G1489" s="135"/>
      <c r="H1489" s="133" t="s">
        <v>66</v>
      </c>
      <c r="I1489" s="133" t="s">
        <v>119</v>
      </c>
      <c r="J1489" s="111">
        <v>45448</v>
      </c>
      <c r="K1489" s="135"/>
      <c r="L1489" s="153">
        <f t="shared" si="65"/>
        <v>-397.61</v>
      </c>
      <c r="M1489" s="111" t="s">
        <v>1263</v>
      </c>
    </row>
    <row r="1490" spans="1:13" x14ac:dyDescent="0.35">
      <c r="A1490" s="109">
        <v>45421</v>
      </c>
      <c r="B1490" s="111" t="s">
        <v>65</v>
      </c>
      <c r="C1490" s="111" t="s">
        <v>3</v>
      </c>
      <c r="E1490" s="111" t="s">
        <v>1830</v>
      </c>
      <c r="F1490" s="131">
        <v>-195.52</v>
      </c>
      <c r="G1490" s="135"/>
      <c r="H1490" s="133" t="s">
        <v>66</v>
      </c>
      <c r="I1490" s="133" t="s">
        <v>119</v>
      </c>
      <c r="J1490" s="111">
        <v>45448</v>
      </c>
      <c r="K1490" s="135"/>
      <c r="L1490" s="153">
        <f t="shared" si="65"/>
        <v>-195.52</v>
      </c>
      <c r="M1490" s="111" t="s">
        <v>1784</v>
      </c>
    </row>
    <row r="1491" spans="1:13" x14ac:dyDescent="0.35">
      <c r="A1491" s="109">
        <v>45427</v>
      </c>
      <c r="B1491" s="111" t="s">
        <v>65</v>
      </c>
      <c r="C1491" s="111" t="s">
        <v>3</v>
      </c>
      <c r="E1491" s="111" t="s">
        <v>1831</v>
      </c>
      <c r="F1491" s="131">
        <v>-189.25</v>
      </c>
      <c r="G1491" s="135"/>
      <c r="H1491" s="133" t="s">
        <v>66</v>
      </c>
      <c r="I1491" s="133" t="s">
        <v>119</v>
      </c>
      <c r="J1491" s="111">
        <v>45448</v>
      </c>
      <c r="K1491" s="135"/>
      <c r="L1491" s="153">
        <f t="shared" si="65"/>
        <v>-189.25</v>
      </c>
      <c r="M1491" s="111" t="s">
        <v>1745</v>
      </c>
    </row>
    <row r="1492" spans="1:13" x14ac:dyDescent="0.35">
      <c r="A1492" s="109">
        <v>45435</v>
      </c>
      <c r="B1492" s="111" t="s">
        <v>65</v>
      </c>
      <c r="C1492" s="111" t="s">
        <v>3</v>
      </c>
      <c r="E1492" s="111" t="s">
        <v>1832</v>
      </c>
      <c r="F1492" s="131">
        <v>-189.33</v>
      </c>
      <c r="G1492" s="135"/>
      <c r="H1492" s="133" t="s">
        <v>66</v>
      </c>
      <c r="I1492" s="133" t="s">
        <v>119</v>
      </c>
      <c r="J1492" s="111">
        <v>45448</v>
      </c>
      <c r="K1492" s="135"/>
      <c r="L1492" s="153">
        <f t="shared" si="65"/>
        <v>-189.33</v>
      </c>
      <c r="M1492" s="111" t="s">
        <v>1263</v>
      </c>
    </row>
    <row r="1493" spans="1:13" x14ac:dyDescent="0.35">
      <c r="A1493" s="109">
        <v>45435</v>
      </c>
      <c r="B1493" s="111" t="s">
        <v>65</v>
      </c>
      <c r="C1493" s="111" t="s">
        <v>3</v>
      </c>
      <c r="E1493" s="111" t="s">
        <v>1833</v>
      </c>
      <c r="F1493" s="131">
        <v>-469.12</v>
      </c>
      <c r="G1493" s="135"/>
      <c r="H1493" s="133" t="s">
        <v>66</v>
      </c>
      <c r="I1493" s="133" t="s">
        <v>119</v>
      </c>
      <c r="J1493" s="111">
        <v>45448</v>
      </c>
      <c r="K1493" s="135"/>
      <c r="L1493" s="153">
        <f t="shared" si="65"/>
        <v>-469.12</v>
      </c>
      <c r="M1493" s="111" t="s">
        <v>1784</v>
      </c>
    </row>
    <row r="1494" spans="1:13" x14ac:dyDescent="0.35">
      <c r="A1494" s="109">
        <v>45443</v>
      </c>
      <c r="B1494" s="111" t="s">
        <v>65</v>
      </c>
      <c r="C1494" s="111" t="s">
        <v>3</v>
      </c>
      <c r="E1494" s="111" t="s">
        <v>1834</v>
      </c>
      <c r="F1494" s="131">
        <v>-181.77</v>
      </c>
      <c r="G1494" s="135"/>
      <c r="H1494" s="133" t="s">
        <v>66</v>
      </c>
      <c r="I1494" s="133" t="s">
        <v>119</v>
      </c>
      <c r="J1494" s="111">
        <v>45448</v>
      </c>
      <c r="K1494" s="135"/>
      <c r="L1494" s="153">
        <f t="shared" si="65"/>
        <v>-181.77</v>
      </c>
      <c r="M1494" s="111" t="s">
        <v>1263</v>
      </c>
    </row>
    <row r="1495" spans="1:13" x14ac:dyDescent="0.35">
      <c r="A1495" s="109">
        <v>45450</v>
      </c>
      <c r="B1495" s="111" t="s">
        <v>65</v>
      </c>
      <c r="C1495" s="111" t="s">
        <v>3</v>
      </c>
      <c r="E1495" s="111" t="s">
        <v>1835</v>
      </c>
      <c r="F1495" s="131">
        <v>-723.49</v>
      </c>
      <c r="G1495" s="135"/>
      <c r="H1495" s="133" t="s">
        <v>66</v>
      </c>
      <c r="K1495" s="135"/>
      <c r="L1495" s="153">
        <f t="shared" si="65"/>
        <v>-723.49</v>
      </c>
      <c r="M1495" s="111" t="s">
        <v>1791</v>
      </c>
    </row>
    <row r="1496" spans="1:13" x14ac:dyDescent="0.35">
      <c r="A1496" s="109">
        <v>45301</v>
      </c>
      <c r="B1496" s="121" t="s">
        <v>57</v>
      </c>
      <c r="C1496" s="111" t="s">
        <v>61</v>
      </c>
      <c r="D1496" s="111" t="s">
        <v>1625</v>
      </c>
      <c r="E1496" s="111" t="s">
        <v>1836</v>
      </c>
      <c r="F1496" s="149">
        <v>85.18</v>
      </c>
      <c r="G1496" s="135">
        <f>A1496+30</f>
        <v>45331</v>
      </c>
      <c r="H1496" s="133" t="s">
        <v>66</v>
      </c>
      <c r="I1496" s="133" t="s">
        <v>135</v>
      </c>
      <c r="K1496" s="135"/>
      <c r="L1496" s="153">
        <f t="shared" si="65"/>
        <v>85.18</v>
      </c>
      <c r="M1496" s="111">
        <v>510177670</v>
      </c>
    </row>
    <row r="1497" spans="1:13" x14ac:dyDescent="0.35">
      <c r="A1497" s="109">
        <v>45455</v>
      </c>
      <c r="B1497" s="111" t="s">
        <v>65</v>
      </c>
      <c r="C1497" s="111" t="s">
        <v>3</v>
      </c>
      <c r="E1497" s="111" t="s">
        <v>1837</v>
      </c>
      <c r="F1497" s="131">
        <v>-52.15</v>
      </c>
      <c r="G1497" s="135"/>
      <c r="H1497" s="133" t="s">
        <v>66</v>
      </c>
      <c r="K1497" s="135"/>
      <c r="L1497" s="153">
        <f t="shared" si="65"/>
        <v>-52.15</v>
      </c>
      <c r="M1497" s="111" t="s">
        <v>1784</v>
      </c>
    </row>
    <row r="1498" spans="1:13" x14ac:dyDescent="0.35">
      <c r="A1498" s="109">
        <v>45461</v>
      </c>
      <c r="B1498" s="111" t="s">
        <v>65</v>
      </c>
      <c r="C1498" s="111" t="s">
        <v>3</v>
      </c>
      <c r="E1498" s="111" t="s">
        <v>1838</v>
      </c>
      <c r="F1498" s="131">
        <v>-186.82</v>
      </c>
      <c r="G1498" s="135"/>
      <c r="H1498" s="133" t="s">
        <v>66</v>
      </c>
      <c r="K1498" s="135"/>
      <c r="L1498" s="153">
        <f t="shared" si="65"/>
        <v>-186.82</v>
      </c>
      <c r="M1498" s="111" t="s">
        <v>1263</v>
      </c>
    </row>
    <row r="1499" spans="1:13" x14ac:dyDescent="0.35">
      <c r="A1499" s="109">
        <v>45464</v>
      </c>
      <c r="B1499" s="111" t="s">
        <v>65</v>
      </c>
      <c r="C1499" s="111" t="s">
        <v>3</v>
      </c>
      <c r="E1499" s="111" t="s">
        <v>1839</v>
      </c>
      <c r="F1499" s="131">
        <v>-142.53</v>
      </c>
      <c r="G1499" s="135"/>
      <c r="H1499" s="133" t="s">
        <v>66</v>
      </c>
      <c r="K1499" s="135"/>
      <c r="L1499" s="153">
        <f t="shared" si="65"/>
        <v>-142.53</v>
      </c>
      <c r="M1499" s="111" t="s">
        <v>1745</v>
      </c>
    </row>
    <row r="1500" spans="1:13" x14ac:dyDescent="0.35">
      <c r="A1500" s="109">
        <v>45723</v>
      </c>
      <c r="B1500" s="111" t="s">
        <v>65</v>
      </c>
      <c r="C1500" s="111" t="s">
        <v>3</v>
      </c>
      <c r="E1500" s="111" t="s">
        <v>1840</v>
      </c>
      <c r="F1500" s="153">
        <v>-147.82</v>
      </c>
      <c r="G1500" s="135"/>
      <c r="H1500" s="133" t="s">
        <v>66</v>
      </c>
      <c r="I1500" s="133" t="s">
        <v>232</v>
      </c>
      <c r="K1500" s="135">
        <v>45758</v>
      </c>
      <c r="L1500" s="153">
        <f t="shared" si="65"/>
        <v>-147.82</v>
      </c>
      <c r="M1500" s="111"/>
    </row>
    <row r="1501" spans="1:13" x14ac:dyDescent="0.35">
      <c r="A1501" s="109">
        <v>45471</v>
      </c>
      <c r="B1501" s="111" t="s">
        <v>65</v>
      </c>
      <c r="C1501" s="111" t="s">
        <v>3</v>
      </c>
      <c r="E1501" s="111" t="s">
        <v>1841</v>
      </c>
      <c r="F1501" s="131">
        <v>-355.04</v>
      </c>
      <c r="G1501" s="135"/>
      <c r="H1501" s="133" t="s">
        <v>66</v>
      </c>
      <c r="K1501" s="135"/>
      <c r="L1501" s="153">
        <f t="shared" si="65"/>
        <v>-355.04</v>
      </c>
      <c r="M1501" s="111" t="s">
        <v>1784</v>
      </c>
    </row>
    <row r="1502" spans="1:13" x14ac:dyDescent="0.35">
      <c r="A1502" s="109">
        <v>45476</v>
      </c>
      <c r="B1502" s="111" t="s">
        <v>65</v>
      </c>
      <c r="C1502" s="111" t="s">
        <v>3</v>
      </c>
      <c r="E1502" s="111" t="s">
        <v>1842</v>
      </c>
      <c r="F1502" s="131">
        <v>-181.77</v>
      </c>
      <c r="G1502" s="135"/>
      <c r="H1502" s="133" t="s">
        <v>66</v>
      </c>
      <c r="K1502" s="135">
        <v>45506</v>
      </c>
      <c r="L1502" s="153">
        <f t="shared" si="65"/>
        <v>-181.77</v>
      </c>
      <c r="M1502" s="111" t="s">
        <v>1263</v>
      </c>
    </row>
    <row r="1503" spans="1:13" x14ac:dyDescent="0.35">
      <c r="A1503" s="109">
        <v>45483</v>
      </c>
      <c r="B1503" s="111" t="s">
        <v>65</v>
      </c>
      <c r="C1503" s="111" t="s">
        <v>3</v>
      </c>
      <c r="E1503" s="111" t="s">
        <v>1843</v>
      </c>
      <c r="F1503" s="131">
        <v>-233.42</v>
      </c>
      <c r="G1503" s="135"/>
      <c r="H1503" s="133" t="s">
        <v>66</v>
      </c>
      <c r="K1503" s="135">
        <v>45506</v>
      </c>
      <c r="L1503" s="153">
        <f t="shared" si="65"/>
        <v>-233.42</v>
      </c>
      <c r="M1503" s="111" t="s">
        <v>1263</v>
      </c>
    </row>
    <row r="1504" spans="1:13" x14ac:dyDescent="0.35">
      <c r="A1504" s="109">
        <v>45492</v>
      </c>
      <c r="B1504" s="111" t="s">
        <v>65</v>
      </c>
      <c r="C1504" s="111" t="s">
        <v>3</v>
      </c>
      <c r="E1504" s="111" t="s">
        <v>1844</v>
      </c>
      <c r="F1504" s="131">
        <v>-378.74</v>
      </c>
      <c r="G1504" s="135"/>
      <c r="H1504" s="133" t="s">
        <v>66</v>
      </c>
      <c r="K1504" s="135">
        <v>45506</v>
      </c>
      <c r="L1504" s="153">
        <f t="shared" si="65"/>
        <v>-378.74</v>
      </c>
      <c r="M1504" s="111" t="s">
        <v>1845</v>
      </c>
    </row>
    <row r="1505" spans="1:13" x14ac:dyDescent="0.35">
      <c r="A1505" s="109">
        <v>45497</v>
      </c>
      <c r="B1505" s="111" t="s">
        <v>65</v>
      </c>
      <c r="C1505" s="111" t="s">
        <v>3</v>
      </c>
      <c r="E1505" s="111" t="s">
        <v>1846</v>
      </c>
      <c r="F1505" s="131">
        <v>-233.92</v>
      </c>
      <c r="G1505" s="135"/>
      <c r="H1505" s="133" t="s">
        <v>66</v>
      </c>
      <c r="K1505" s="135">
        <v>45506</v>
      </c>
      <c r="L1505" s="153">
        <f t="shared" si="65"/>
        <v>-233.92</v>
      </c>
      <c r="M1505" s="111" t="s">
        <v>1847</v>
      </c>
    </row>
    <row r="1506" spans="1:13" x14ac:dyDescent="0.35">
      <c r="A1506" s="109">
        <v>45499</v>
      </c>
      <c r="B1506" s="111" t="s">
        <v>65</v>
      </c>
      <c r="C1506" s="111" t="s">
        <v>3</v>
      </c>
      <c r="E1506" s="111" t="s">
        <v>1848</v>
      </c>
      <c r="F1506" s="131">
        <v>-274.11</v>
      </c>
      <c r="G1506" s="135"/>
      <c r="H1506" s="133" t="s">
        <v>66</v>
      </c>
      <c r="K1506" s="135">
        <v>45506</v>
      </c>
      <c r="L1506" s="153">
        <f t="shared" si="65"/>
        <v>-274.11</v>
      </c>
      <c r="M1506" s="111" t="s">
        <v>1849</v>
      </c>
    </row>
    <row r="1507" spans="1:13" x14ac:dyDescent="0.35">
      <c r="A1507" s="109">
        <v>45504</v>
      </c>
      <c r="B1507" s="111" t="s">
        <v>65</v>
      </c>
      <c r="C1507" s="111" t="s">
        <v>3</v>
      </c>
      <c r="E1507" s="111" t="s">
        <v>1850</v>
      </c>
      <c r="F1507" s="131">
        <v>-410.84</v>
      </c>
      <c r="G1507" s="135"/>
      <c r="H1507" s="133" t="s">
        <v>66</v>
      </c>
      <c r="K1507" s="135">
        <v>45506</v>
      </c>
      <c r="L1507" s="153">
        <f t="shared" si="65"/>
        <v>-410.84</v>
      </c>
      <c r="M1507" s="111" t="s">
        <v>1851</v>
      </c>
    </row>
    <row r="1508" spans="1:13" x14ac:dyDescent="0.35">
      <c r="A1508" s="109">
        <v>45510</v>
      </c>
      <c r="B1508" s="111" t="s">
        <v>65</v>
      </c>
      <c r="C1508" s="111" t="s">
        <v>3</v>
      </c>
      <c r="E1508" s="111" t="s">
        <v>1852</v>
      </c>
      <c r="F1508" s="131">
        <v>-454.42</v>
      </c>
      <c r="G1508" s="135"/>
      <c r="H1508" s="133" t="s">
        <v>66</v>
      </c>
      <c r="I1508" s="133" t="s">
        <v>119</v>
      </c>
      <c r="K1508" s="135"/>
      <c r="L1508" s="153">
        <f t="shared" si="65"/>
        <v>-454.42</v>
      </c>
      <c r="M1508" s="111" t="s">
        <v>1263</v>
      </c>
    </row>
    <row r="1509" spans="1:13" x14ac:dyDescent="0.35">
      <c r="A1509" s="109">
        <v>45510</v>
      </c>
      <c r="B1509" s="111" t="s">
        <v>65</v>
      </c>
      <c r="C1509" s="111" t="s">
        <v>3</v>
      </c>
      <c r="E1509" s="111" t="s">
        <v>1853</v>
      </c>
      <c r="F1509" s="131">
        <v>-270.33</v>
      </c>
      <c r="G1509" s="135"/>
      <c r="H1509" s="133" t="s">
        <v>66</v>
      </c>
      <c r="I1509" s="133" t="s">
        <v>119</v>
      </c>
      <c r="K1509" s="135"/>
      <c r="L1509" s="153">
        <f t="shared" ref="L1509:L1540" si="66">F1509</f>
        <v>-270.33</v>
      </c>
      <c r="M1509" s="111" t="s">
        <v>1854</v>
      </c>
    </row>
    <row r="1510" spans="1:13" x14ac:dyDescent="0.35">
      <c r="A1510" s="109">
        <v>45513</v>
      </c>
      <c r="B1510" s="111" t="s">
        <v>65</v>
      </c>
      <c r="C1510" s="111" t="s">
        <v>3</v>
      </c>
      <c r="E1510" s="111" t="s">
        <v>1855</v>
      </c>
      <c r="F1510" s="131">
        <v>-454.42</v>
      </c>
      <c r="G1510" s="135"/>
      <c r="H1510" s="133" t="s">
        <v>66</v>
      </c>
      <c r="I1510" s="133" t="s">
        <v>119</v>
      </c>
      <c r="K1510" s="135"/>
      <c r="L1510" s="153">
        <f t="shared" si="66"/>
        <v>-454.42</v>
      </c>
      <c r="M1510" s="111" t="s">
        <v>1263</v>
      </c>
    </row>
    <row r="1511" spans="1:13" x14ac:dyDescent="0.35">
      <c r="A1511" s="109">
        <v>45514</v>
      </c>
      <c r="B1511" s="111" t="s">
        <v>65</v>
      </c>
      <c r="C1511" s="111" t="s">
        <v>3</v>
      </c>
      <c r="E1511" s="111" t="s">
        <v>1856</v>
      </c>
      <c r="F1511" s="131">
        <v>-642.93999999999994</v>
      </c>
      <c r="G1511" s="135"/>
      <c r="H1511" s="133" t="s">
        <v>66</v>
      </c>
      <c r="I1511" s="133" t="s">
        <v>119</v>
      </c>
      <c r="K1511" s="135"/>
      <c r="L1511" s="153">
        <f t="shared" si="66"/>
        <v>-642.93999999999994</v>
      </c>
      <c r="M1511" s="111" t="s">
        <v>1857</v>
      </c>
    </row>
    <row r="1512" spans="1:13" x14ac:dyDescent="0.35">
      <c r="A1512" s="109">
        <v>45523</v>
      </c>
      <c r="B1512" s="111" t="s">
        <v>65</v>
      </c>
      <c r="C1512" s="111" t="s">
        <v>3</v>
      </c>
      <c r="E1512" s="111" t="s">
        <v>1858</v>
      </c>
      <c r="F1512" s="131">
        <v>-94.91</v>
      </c>
      <c r="G1512" s="135"/>
      <c r="H1512" s="133" t="s">
        <v>66</v>
      </c>
      <c r="I1512" s="133" t="s">
        <v>131</v>
      </c>
      <c r="K1512" s="135"/>
      <c r="L1512" s="153">
        <f t="shared" si="66"/>
        <v>-94.91</v>
      </c>
      <c r="M1512" s="111" t="s">
        <v>1859</v>
      </c>
    </row>
    <row r="1513" spans="1:13" x14ac:dyDescent="0.35">
      <c r="A1513" s="109">
        <v>45524</v>
      </c>
      <c r="B1513" s="111" t="s">
        <v>65</v>
      </c>
      <c r="C1513" s="111" t="s">
        <v>3</v>
      </c>
      <c r="E1513" s="111" t="s">
        <v>1860</v>
      </c>
      <c r="F1513" s="131">
        <v>-699.87</v>
      </c>
      <c r="G1513" s="135"/>
      <c r="H1513" s="133" t="s">
        <v>66</v>
      </c>
      <c r="I1513" s="133" t="s">
        <v>119</v>
      </c>
      <c r="K1513" s="135"/>
      <c r="L1513" s="153">
        <f t="shared" si="66"/>
        <v>-699.87</v>
      </c>
      <c r="M1513" s="111" t="s">
        <v>1861</v>
      </c>
    </row>
    <row r="1514" spans="1:13" x14ac:dyDescent="0.35">
      <c r="A1514" s="109">
        <v>45527</v>
      </c>
      <c r="B1514" s="111" t="s">
        <v>65</v>
      </c>
      <c r="C1514" s="111" t="s">
        <v>3</v>
      </c>
      <c r="E1514" s="111" t="s">
        <v>1862</v>
      </c>
      <c r="F1514" s="131">
        <v>-184.52</v>
      </c>
      <c r="G1514" s="135"/>
      <c r="H1514" s="133" t="s">
        <v>66</v>
      </c>
      <c r="I1514" s="133" t="s">
        <v>119</v>
      </c>
      <c r="K1514" s="135"/>
      <c r="L1514" s="153">
        <f t="shared" si="66"/>
        <v>-184.52</v>
      </c>
      <c r="M1514" s="111" t="s">
        <v>1263</v>
      </c>
    </row>
    <row r="1515" spans="1:13" x14ac:dyDescent="0.35">
      <c r="A1515" s="109">
        <v>45531</v>
      </c>
      <c r="B1515" s="111" t="s">
        <v>65</v>
      </c>
      <c r="C1515" s="111" t="s">
        <v>3</v>
      </c>
      <c r="E1515" s="111" t="s">
        <v>1863</v>
      </c>
      <c r="F1515" s="131">
        <v>-614.21</v>
      </c>
      <c r="G1515" s="135"/>
      <c r="H1515" s="133" t="s">
        <v>66</v>
      </c>
      <c r="I1515" s="133" t="s">
        <v>119</v>
      </c>
      <c r="K1515" s="135"/>
      <c r="L1515" s="153">
        <f t="shared" si="66"/>
        <v>-614.21</v>
      </c>
      <c r="M1515" s="111" t="s">
        <v>1781</v>
      </c>
    </row>
    <row r="1516" spans="1:13" x14ac:dyDescent="0.35">
      <c r="A1516" s="109">
        <v>45532</v>
      </c>
      <c r="B1516" s="111" t="s">
        <v>65</v>
      </c>
      <c r="C1516" s="111" t="s">
        <v>3</v>
      </c>
      <c r="E1516" s="111" t="s">
        <v>1864</v>
      </c>
      <c r="F1516" s="131">
        <v>-482.89</v>
      </c>
      <c r="G1516" s="135"/>
      <c r="H1516" s="133" t="s">
        <v>66</v>
      </c>
      <c r="I1516" s="133" t="s">
        <v>119</v>
      </c>
      <c r="K1516" s="135"/>
      <c r="L1516" s="153">
        <f t="shared" si="66"/>
        <v>-482.89</v>
      </c>
      <c r="M1516" s="111" t="s">
        <v>1263</v>
      </c>
    </row>
    <row r="1517" spans="1:13" x14ac:dyDescent="0.35">
      <c r="A1517" s="109">
        <v>45539</v>
      </c>
      <c r="B1517" s="111" t="s">
        <v>65</v>
      </c>
      <c r="C1517" s="111" t="s">
        <v>3</v>
      </c>
      <c r="E1517" s="111" t="s">
        <v>1865</v>
      </c>
      <c r="F1517" s="131">
        <v>-414.41</v>
      </c>
      <c r="G1517" s="135"/>
      <c r="H1517" s="133" t="s">
        <v>66</v>
      </c>
      <c r="I1517" s="133" t="s">
        <v>119</v>
      </c>
      <c r="K1517" s="135"/>
      <c r="L1517" s="153">
        <f t="shared" si="66"/>
        <v>-414.41</v>
      </c>
      <c r="M1517" s="111" t="s">
        <v>1866</v>
      </c>
    </row>
    <row r="1518" spans="1:13" x14ac:dyDescent="0.35">
      <c r="A1518" s="109">
        <v>45539</v>
      </c>
      <c r="B1518" s="111" t="s">
        <v>65</v>
      </c>
      <c r="C1518" s="111" t="s">
        <v>3</v>
      </c>
      <c r="E1518" s="111" t="s">
        <v>1867</v>
      </c>
      <c r="F1518" s="131">
        <v>-2238.9450000000002</v>
      </c>
      <c r="G1518" s="135"/>
      <c r="H1518" s="133" t="s">
        <v>66</v>
      </c>
      <c r="I1518" s="133" t="s">
        <v>232</v>
      </c>
      <c r="K1518" s="135">
        <v>45515</v>
      </c>
      <c r="L1518" s="153">
        <f t="shared" si="66"/>
        <v>-2238.9450000000002</v>
      </c>
      <c r="M1518" s="111" t="s">
        <v>1868</v>
      </c>
    </row>
    <row r="1519" spans="1:13" x14ac:dyDescent="0.35">
      <c r="A1519" s="109">
        <v>45546</v>
      </c>
      <c r="B1519" s="111" t="s">
        <v>65</v>
      </c>
      <c r="C1519" s="111" t="s">
        <v>3</v>
      </c>
      <c r="E1519" s="111" t="s">
        <v>1869</v>
      </c>
      <c r="F1519" s="131">
        <v>-1625.41</v>
      </c>
      <c r="G1519" s="135"/>
      <c r="H1519" s="133" t="s">
        <v>66</v>
      </c>
      <c r="I1519" s="133" t="s">
        <v>119</v>
      </c>
      <c r="K1519" s="135"/>
      <c r="L1519" s="153">
        <f t="shared" si="66"/>
        <v>-1625.41</v>
      </c>
      <c r="M1519" s="111" t="s">
        <v>1781</v>
      </c>
    </row>
    <row r="1520" spans="1:13" x14ac:dyDescent="0.35">
      <c r="A1520" s="109">
        <v>45553</v>
      </c>
      <c r="B1520" s="111" t="s">
        <v>65</v>
      </c>
      <c r="C1520" s="111" t="s">
        <v>3</v>
      </c>
      <c r="E1520" s="111" t="s">
        <v>1870</v>
      </c>
      <c r="F1520" s="131">
        <v>-608.15000000000009</v>
      </c>
      <c r="G1520" s="135"/>
      <c r="H1520" s="133" t="s">
        <v>66</v>
      </c>
      <c r="I1520" s="133" t="s">
        <v>119</v>
      </c>
      <c r="K1520" s="135"/>
      <c r="L1520" s="153">
        <f t="shared" si="66"/>
        <v>-608.15000000000009</v>
      </c>
      <c r="M1520" s="111" t="s">
        <v>1871</v>
      </c>
    </row>
    <row r="1521" spans="1:13" x14ac:dyDescent="0.35">
      <c r="A1521" s="109">
        <v>45345</v>
      </c>
      <c r="B1521" s="121" t="s">
        <v>57</v>
      </c>
      <c r="C1521" s="111" t="s">
        <v>61</v>
      </c>
      <c r="D1521" s="111" t="s">
        <v>1625</v>
      </c>
      <c r="E1521" s="111" t="s">
        <v>1872</v>
      </c>
      <c r="F1521" s="149">
        <v>70.569999999999993</v>
      </c>
      <c r="G1521" s="135">
        <f t="shared" ref="G1521:G1534" si="67">A1521+30</f>
        <v>45375</v>
      </c>
      <c r="H1521" s="133" t="s">
        <v>66</v>
      </c>
      <c r="I1521" s="133" t="s">
        <v>135</v>
      </c>
      <c r="K1521" s="135"/>
      <c r="L1521" s="153">
        <f t="shared" si="66"/>
        <v>70.569999999999993</v>
      </c>
      <c r="M1521" s="111">
        <v>510177670</v>
      </c>
    </row>
    <row r="1522" spans="1:13" x14ac:dyDescent="0.35">
      <c r="A1522" s="109">
        <v>45357</v>
      </c>
      <c r="B1522" s="121" t="s">
        <v>57</v>
      </c>
      <c r="C1522" s="111" t="s">
        <v>61</v>
      </c>
      <c r="D1522" s="111" t="s">
        <v>1625</v>
      </c>
      <c r="E1522" s="111" t="s">
        <v>1873</v>
      </c>
      <c r="F1522" s="149">
        <v>97.16</v>
      </c>
      <c r="G1522" s="135">
        <f t="shared" si="67"/>
        <v>45387</v>
      </c>
      <c r="H1522" s="133" t="s">
        <v>66</v>
      </c>
      <c r="I1522" s="133" t="s">
        <v>135</v>
      </c>
      <c r="K1522" s="135"/>
      <c r="L1522" s="153">
        <f t="shared" si="66"/>
        <v>97.16</v>
      </c>
      <c r="M1522" s="111">
        <v>510177670</v>
      </c>
    </row>
    <row r="1523" spans="1:13" x14ac:dyDescent="0.35">
      <c r="A1523" s="109">
        <v>45386</v>
      </c>
      <c r="B1523" s="121" t="s">
        <v>57</v>
      </c>
      <c r="C1523" s="111" t="s">
        <v>61</v>
      </c>
      <c r="D1523" s="111" t="s">
        <v>1625</v>
      </c>
      <c r="E1523" s="111" t="s">
        <v>1874</v>
      </c>
      <c r="F1523" s="149">
        <v>76.680000000000007</v>
      </c>
      <c r="G1523" s="135">
        <f t="shared" si="67"/>
        <v>45416</v>
      </c>
      <c r="H1523" s="133" t="s">
        <v>66</v>
      </c>
      <c r="I1523" s="133" t="s">
        <v>135</v>
      </c>
      <c r="K1523" s="135"/>
      <c r="L1523" s="153">
        <f t="shared" si="66"/>
        <v>76.680000000000007</v>
      </c>
      <c r="M1523" s="111">
        <v>510177670</v>
      </c>
    </row>
    <row r="1524" spans="1:13" x14ac:dyDescent="0.35">
      <c r="A1524" s="109">
        <v>45401</v>
      </c>
      <c r="B1524" s="121" t="s">
        <v>57</v>
      </c>
      <c r="C1524" s="111" t="s">
        <v>61</v>
      </c>
      <c r="D1524" s="111" t="s">
        <v>1625</v>
      </c>
      <c r="E1524" s="111" t="s">
        <v>1875</v>
      </c>
      <c r="F1524" s="149">
        <v>79.56</v>
      </c>
      <c r="G1524" s="135">
        <f t="shared" si="67"/>
        <v>45431</v>
      </c>
      <c r="H1524" s="133" t="s">
        <v>66</v>
      </c>
      <c r="I1524" s="133" t="s">
        <v>135</v>
      </c>
      <c r="K1524" s="135"/>
      <c r="L1524" s="153">
        <f t="shared" si="66"/>
        <v>79.56</v>
      </c>
      <c r="M1524" s="111">
        <v>510177670</v>
      </c>
    </row>
    <row r="1525" spans="1:13" x14ac:dyDescent="0.35">
      <c r="A1525" s="109">
        <v>45406</v>
      </c>
      <c r="B1525" s="121" t="s">
        <v>57</v>
      </c>
      <c r="C1525" s="111" t="s">
        <v>61</v>
      </c>
      <c r="D1525" s="111" t="s">
        <v>1625</v>
      </c>
      <c r="E1525" s="111" t="s">
        <v>1876</v>
      </c>
      <c r="F1525" s="149">
        <v>74.150000000000006</v>
      </c>
      <c r="G1525" s="135">
        <f t="shared" si="67"/>
        <v>45436</v>
      </c>
      <c r="H1525" s="133" t="s">
        <v>66</v>
      </c>
      <c r="I1525" s="133" t="s">
        <v>135</v>
      </c>
      <c r="K1525" s="135"/>
      <c r="L1525" s="153">
        <f t="shared" si="66"/>
        <v>74.150000000000006</v>
      </c>
      <c r="M1525" s="111">
        <v>510177670</v>
      </c>
    </row>
    <row r="1526" spans="1:13" x14ac:dyDescent="0.35">
      <c r="A1526" s="109">
        <v>45406</v>
      </c>
      <c r="B1526" s="121" t="s">
        <v>57</v>
      </c>
      <c r="C1526" s="111" t="s">
        <v>61</v>
      </c>
      <c r="D1526" s="111" t="s">
        <v>1625</v>
      </c>
      <c r="E1526" s="111" t="s">
        <v>1877</v>
      </c>
      <c r="F1526" s="149">
        <v>25.33</v>
      </c>
      <c r="G1526" s="135">
        <f t="shared" si="67"/>
        <v>45436</v>
      </c>
      <c r="H1526" s="133" t="s">
        <v>66</v>
      </c>
      <c r="I1526" s="133" t="s">
        <v>135</v>
      </c>
      <c r="K1526" s="135"/>
      <c r="L1526" s="153">
        <f t="shared" si="66"/>
        <v>25.33</v>
      </c>
      <c r="M1526" s="111">
        <v>510177670</v>
      </c>
    </row>
    <row r="1527" spans="1:13" x14ac:dyDescent="0.35">
      <c r="A1527" s="109">
        <v>45315</v>
      </c>
      <c r="B1527" s="121" t="s">
        <v>57</v>
      </c>
      <c r="C1527" s="111" t="s">
        <v>61</v>
      </c>
      <c r="D1527" s="111" t="s">
        <v>1625</v>
      </c>
      <c r="E1527" s="111" t="s">
        <v>1878</v>
      </c>
      <c r="F1527" s="149">
        <v>81.78</v>
      </c>
      <c r="G1527" s="135">
        <f t="shared" si="67"/>
        <v>45345</v>
      </c>
      <c r="H1527" s="133" t="s">
        <v>66</v>
      </c>
      <c r="I1527" s="133" t="s">
        <v>135</v>
      </c>
      <c r="K1527" s="135"/>
      <c r="L1527" s="153">
        <f t="shared" si="66"/>
        <v>81.78</v>
      </c>
      <c r="M1527" s="111">
        <v>510177670</v>
      </c>
    </row>
    <row r="1528" spans="1:13" x14ac:dyDescent="0.35">
      <c r="A1528" s="109">
        <v>44993</v>
      </c>
      <c r="B1528" s="121" t="s">
        <v>57</v>
      </c>
      <c r="C1528" s="111" t="s">
        <v>61</v>
      </c>
      <c r="D1528" s="111" t="s">
        <v>1625</v>
      </c>
      <c r="E1528" s="111" t="s">
        <v>1879</v>
      </c>
      <c r="F1528" s="149">
        <v>199.35</v>
      </c>
      <c r="G1528" s="135">
        <f t="shared" si="67"/>
        <v>45023</v>
      </c>
      <c r="H1528" s="133" t="s">
        <v>66</v>
      </c>
      <c r="I1528" s="133" t="s">
        <v>135</v>
      </c>
      <c r="K1528" s="135"/>
      <c r="L1528" s="153">
        <f t="shared" si="66"/>
        <v>199.35</v>
      </c>
      <c r="M1528" s="111">
        <v>510177670</v>
      </c>
    </row>
    <row r="1529" spans="1:13" x14ac:dyDescent="0.35">
      <c r="A1529" s="109">
        <v>45014</v>
      </c>
      <c r="B1529" s="121" t="s">
        <v>57</v>
      </c>
      <c r="C1529" s="111" t="s">
        <v>61</v>
      </c>
      <c r="D1529" s="111" t="s">
        <v>1625</v>
      </c>
      <c r="E1529" s="111" t="s">
        <v>1880</v>
      </c>
      <c r="F1529" s="149">
        <v>142.1</v>
      </c>
      <c r="G1529" s="135">
        <f t="shared" si="67"/>
        <v>45044</v>
      </c>
      <c r="H1529" s="133" t="s">
        <v>66</v>
      </c>
      <c r="I1529" s="133" t="s">
        <v>135</v>
      </c>
      <c r="K1529" s="135"/>
      <c r="L1529" s="153">
        <f t="shared" si="66"/>
        <v>142.1</v>
      </c>
      <c r="M1529" s="111">
        <v>510177670</v>
      </c>
    </row>
    <row r="1530" spans="1:13" x14ac:dyDescent="0.35">
      <c r="A1530" s="109">
        <v>45030</v>
      </c>
      <c r="B1530" s="121" t="s">
        <v>57</v>
      </c>
      <c r="C1530" s="111" t="s">
        <v>61</v>
      </c>
      <c r="D1530" s="111" t="s">
        <v>1625</v>
      </c>
      <c r="E1530" s="111" t="s">
        <v>1881</v>
      </c>
      <c r="F1530" s="149">
        <v>115.04</v>
      </c>
      <c r="G1530" s="135">
        <f t="shared" si="67"/>
        <v>45060</v>
      </c>
      <c r="H1530" s="133" t="s">
        <v>66</v>
      </c>
      <c r="I1530" s="133" t="s">
        <v>135</v>
      </c>
      <c r="K1530" s="135"/>
      <c r="L1530" s="153">
        <f t="shared" si="66"/>
        <v>115.04</v>
      </c>
      <c r="M1530" s="111">
        <v>510177670</v>
      </c>
    </row>
    <row r="1531" spans="1:13" x14ac:dyDescent="0.35">
      <c r="A1531" s="109">
        <v>44982</v>
      </c>
      <c r="B1531" s="121" t="s">
        <v>57</v>
      </c>
      <c r="C1531" s="111" t="s">
        <v>61</v>
      </c>
      <c r="D1531" s="111" t="s">
        <v>1625</v>
      </c>
      <c r="E1531" s="111" t="s">
        <v>1882</v>
      </c>
      <c r="F1531" s="149">
        <v>59</v>
      </c>
      <c r="G1531" s="135">
        <f t="shared" si="67"/>
        <v>45012</v>
      </c>
      <c r="H1531" s="133" t="s">
        <v>66</v>
      </c>
      <c r="I1531" s="133" t="s">
        <v>135</v>
      </c>
      <c r="K1531" s="135"/>
      <c r="L1531" s="153">
        <f t="shared" si="66"/>
        <v>59</v>
      </c>
      <c r="M1531" s="111">
        <v>510177670</v>
      </c>
    </row>
    <row r="1532" spans="1:13" x14ac:dyDescent="0.35">
      <c r="A1532" s="109">
        <v>45044</v>
      </c>
      <c r="B1532" s="121" t="s">
        <v>57</v>
      </c>
      <c r="C1532" s="111" t="s">
        <v>61</v>
      </c>
      <c r="D1532" s="111" t="s">
        <v>1625</v>
      </c>
      <c r="E1532" s="111" t="s">
        <v>1883</v>
      </c>
      <c r="F1532" s="149">
        <v>115.54</v>
      </c>
      <c r="G1532" s="135">
        <f t="shared" si="67"/>
        <v>45074</v>
      </c>
      <c r="H1532" s="133" t="s">
        <v>66</v>
      </c>
      <c r="I1532" s="133" t="s">
        <v>135</v>
      </c>
      <c r="K1532" s="135"/>
      <c r="L1532" s="153">
        <f t="shared" si="66"/>
        <v>115.54</v>
      </c>
      <c r="M1532" s="111">
        <v>510177670</v>
      </c>
    </row>
    <row r="1533" spans="1:13" x14ac:dyDescent="0.35">
      <c r="A1533" s="109">
        <v>45065</v>
      </c>
      <c r="B1533" s="121" t="s">
        <v>57</v>
      </c>
      <c r="C1533" s="111" t="s">
        <v>61</v>
      </c>
      <c r="D1533" s="111" t="s">
        <v>1625</v>
      </c>
      <c r="E1533" s="111" t="s">
        <v>1884</v>
      </c>
      <c r="F1533" s="149">
        <v>142.94</v>
      </c>
      <c r="G1533" s="135">
        <f t="shared" si="67"/>
        <v>45095</v>
      </c>
      <c r="H1533" s="133" t="s">
        <v>66</v>
      </c>
      <c r="I1533" s="133" t="s">
        <v>135</v>
      </c>
      <c r="K1533" s="135"/>
      <c r="L1533" s="153">
        <f t="shared" si="66"/>
        <v>142.94</v>
      </c>
      <c r="M1533" s="111">
        <v>510177670</v>
      </c>
    </row>
    <row r="1534" spans="1:13" x14ac:dyDescent="0.35">
      <c r="A1534" s="109">
        <v>45077</v>
      </c>
      <c r="B1534" s="121" t="s">
        <v>57</v>
      </c>
      <c r="C1534" s="111" t="s">
        <v>61</v>
      </c>
      <c r="D1534" s="111" t="s">
        <v>1625</v>
      </c>
      <c r="E1534" s="111" t="s">
        <v>1885</v>
      </c>
      <c r="F1534" s="149">
        <v>113.28</v>
      </c>
      <c r="G1534" s="135">
        <f t="shared" si="67"/>
        <v>45107</v>
      </c>
      <c r="H1534" s="133" t="s">
        <v>66</v>
      </c>
      <c r="I1534" s="133" t="s">
        <v>135</v>
      </c>
      <c r="K1534" s="135"/>
      <c r="L1534" s="153">
        <f t="shared" si="66"/>
        <v>113.28</v>
      </c>
      <c r="M1534" s="111">
        <v>510177670</v>
      </c>
    </row>
    <row r="1535" spans="1:13" x14ac:dyDescent="0.35">
      <c r="A1535" s="109">
        <v>45554</v>
      </c>
      <c r="B1535" s="111" t="s">
        <v>65</v>
      </c>
      <c r="C1535" s="111" t="s">
        <v>3</v>
      </c>
      <c r="E1535" s="111" t="s">
        <v>1886</v>
      </c>
      <c r="F1535" s="131">
        <v>-109.21</v>
      </c>
      <c r="G1535" s="135"/>
      <c r="H1535" s="133" t="s">
        <v>66</v>
      </c>
      <c r="I1535" s="133" t="s">
        <v>119</v>
      </c>
      <c r="K1535" s="135"/>
      <c r="L1535" s="153">
        <f t="shared" si="66"/>
        <v>-109.21</v>
      </c>
      <c r="M1535" s="111" t="s">
        <v>1887</v>
      </c>
    </row>
    <row r="1536" spans="1:13" x14ac:dyDescent="0.35">
      <c r="A1536" s="109">
        <v>45569</v>
      </c>
      <c r="B1536" s="111" t="s">
        <v>65</v>
      </c>
      <c r="C1536" s="111" t="s">
        <v>3</v>
      </c>
      <c r="E1536" s="111" t="s">
        <v>1888</v>
      </c>
      <c r="F1536" s="131">
        <v>-15.13</v>
      </c>
      <c r="G1536" s="135"/>
      <c r="H1536" s="133" t="s">
        <v>66</v>
      </c>
      <c r="I1536" s="133" t="s">
        <v>119</v>
      </c>
      <c r="K1536" s="135">
        <v>45515</v>
      </c>
      <c r="L1536" s="153">
        <f t="shared" si="66"/>
        <v>-15.13</v>
      </c>
      <c r="M1536" s="111" t="s">
        <v>1889</v>
      </c>
    </row>
    <row r="1537" spans="1:13" x14ac:dyDescent="0.35">
      <c r="A1537" s="109">
        <v>45085</v>
      </c>
      <c r="B1537" s="121" t="s">
        <v>57</v>
      </c>
      <c r="C1537" s="111" t="s">
        <v>61</v>
      </c>
      <c r="D1537" s="111" t="s">
        <v>1625</v>
      </c>
      <c r="E1537" s="111" t="s">
        <v>1890</v>
      </c>
      <c r="F1537" s="149">
        <v>115.68</v>
      </c>
      <c r="G1537" s="135">
        <f>A1537+30</f>
        <v>45115</v>
      </c>
      <c r="H1537" s="133" t="s">
        <v>66</v>
      </c>
      <c r="I1537" s="133" t="s">
        <v>135</v>
      </c>
      <c r="K1537" s="135"/>
      <c r="L1537" s="153">
        <f t="shared" si="66"/>
        <v>115.68</v>
      </c>
      <c r="M1537" s="111">
        <v>510177670</v>
      </c>
    </row>
    <row r="1538" spans="1:13" x14ac:dyDescent="0.35">
      <c r="A1538" s="74">
        <v>45572</v>
      </c>
      <c r="B1538" s="111" t="s">
        <v>65</v>
      </c>
      <c r="C1538" t="s">
        <v>3</v>
      </c>
      <c r="E1538" s="111" t="s">
        <v>1891</v>
      </c>
      <c r="F1538" s="131">
        <v>-180.22</v>
      </c>
      <c r="G1538" s="135"/>
      <c r="H1538" s="133" t="s">
        <v>66</v>
      </c>
      <c r="I1538" s="133" t="s">
        <v>119</v>
      </c>
      <c r="K1538" s="135">
        <v>45515</v>
      </c>
      <c r="L1538" s="153">
        <f t="shared" si="66"/>
        <v>-180.22</v>
      </c>
      <c r="M1538" s="111" t="s">
        <v>1892</v>
      </c>
    </row>
    <row r="1539" spans="1:13" x14ac:dyDescent="0.35">
      <c r="A1539" s="74">
        <v>45581</v>
      </c>
      <c r="B1539" s="111" t="s">
        <v>65</v>
      </c>
      <c r="C1539" s="111" t="s">
        <v>3</v>
      </c>
      <c r="E1539" s="111" t="s">
        <v>1893</v>
      </c>
      <c r="F1539" s="131">
        <v>-350.27</v>
      </c>
      <c r="G1539" s="135"/>
      <c r="H1539" s="133" t="s">
        <v>66</v>
      </c>
      <c r="I1539" s="133" t="s">
        <v>119</v>
      </c>
      <c r="K1539" s="135">
        <v>45515</v>
      </c>
      <c r="L1539" s="153">
        <f t="shared" si="66"/>
        <v>-350.27</v>
      </c>
      <c r="M1539" s="111" t="s">
        <v>1781</v>
      </c>
    </row>
    <row r="1540" spans="1:13" x14ac:dyDescent="0.35">
      <c r="A1540" s="74">
        <v>45591</v>
      </c>
      <c r="B1540" s="111" t="s">
        <v>65</v>
      </c>
      <c r="C1540" s="111" t="s">
        <v>3</v>
      </c>
      <c r="E1540" s="111" t="s">
        <v>1894</v>
      </c>
      <c r="F1540" s="131">
        <v>-142.53</v>
      </c>
      <c r="G1540" s="135"/>
      <c r="H1540" s="133" t="s">
        <v>66</v>
      </c>
      <c r="I1540" s="133" t="s">
        <v>119</v>
      </c>
      <c r="K1540" s="135">
        <v>45515</v>
      </c>
      <c r="L1540" s="153">
        <f t="shared" si="66"/>
        <v>-142.53</v>
      </c>
      <c r="M1540" t="s">
        <v>1781</v>
      </c>
    </row>
    <row r="1541" spans="1:13" x14ac:dyDescent="0.35">
      <c r="A1541" s="109">
        <v>45595</v>
      </c>
      <c r="B1541" s="111" t="s">
        <v>65</v>
      </c>
      <c r="C1541" s="111" t="s">
        <v>3</v>
      </c>
      <c r="E1541" s="111" t="s">
        <v>1895</v>
      </c>
      <c r="F1541" s="131">
        <v>-699.82</v>
      </c>
      <c r="G1541" s="135"/>
      <c r="H1541" s="133" t="s">
        <v>66</v>
      </c>
      <c r="I1541" s="133" t="s">
        <v>119</v>
      </c>
      <c r="K1541" s="135">
        <v>45515</v>
      </c>
      <c r="L1541" s="153">
        <f t="shared" ref="L1541:L1568" si="68">F1541</f>
        <v>-699.82</v>
      </c>
      <c r="M1541" s="111" t="s">
        <v>1896</v>
      </c>
    </row>
    <row r="1542" spans="1:13" x14ac:dyDescent="0.35">
      <c r="A1542" s="109">
        <v>45596</v>
      </c>
      <c r="B1542" s="111" t="s">
        <v>65</v>
      </c>
      <c r="C1542" s="111" t="s">
        <v>3</v>
      </c>
      <c r="E1542" s="111" t="s">
        <v>1897</v>
      </c>
      <c r="F1542" s="131">
        <v>-73.900000000000006</v>
      </c>
      <c r="G1542" s="135"/>
      <c r="H1542" s="133" t="s">
        <v>66</v>
      </c>
      <c r="I1542" s="133" t="s">
        <v>119</v>
      </c>
      <c r="K1542" s="135"/>
      <c r="L1542" s="153">
        <f t="shared" si="68"/>
        <v>-73.900000000000006</v>
      </c>
      <c r="M1542" s="111"/>
    </row>
    <row r="1543" spans="1:13" x14ac:dyDescent="0.35">
      <c r="A1543" s="109">
        <v>45103</v>
      </c>
      <c r="B1543" s="121" t="s">
        <v>57</v>
      </c>
      <c r="C1543" s="111" t="s">
        <v>61</v>
      </c>
      <c r="D1543" s="111" t="s">
        <v>1625</v>
      </c>
      <c r="E1543" s="111" t="s">
        <v>1898</v>
      </c>
      <c r="F1543" s="149">
        <v>113.24</v>
      </c>
      <c r="G1543" s="135">
        <f>A1543+30</f>
        <v>45133</v>
      </c>
      <c r="H1543" s="133" t="s">
        <v>66</v>
      </c>
      <c r="I1543" s="133" t="s">
        <v>135</v>
      </c>
      <c r="K1543" s="135"/>
      <c r="L1543" s="153">
        <f t="shared" si="68"/>
        <v>113.24</v>
      </c>
      <c r="M1543" s="111">
        <v>510177670</v>
      </c>
    </row>
    <row r="1544" spans="1:13" x14ac:dyDescent="0.35">
      <c r="A1544" s="109">
        <v>45119</v>
      </c>
      <c r="B1544" s="121" t="s">
        <v>57</v>
      </c>
      <c r="C1544" s="111" t="s">
        <v>61</v>
      </c>
      <c r="D1544" s="111" t="s">
        <v>1625</v>
      </c>
      <c r="E1544" s="111" t="s">
        <v>1899</v>
      </c>
      <c r="F1544" s="149">
        <v>106.05</v>
      </c>
      <c r="G1544" s="135">
        <f>A1544+30</f>
        <v>45149</v>
      </c>
      <c r="H1544" s="133" t="s">
        <v>66</v>
      </c>
      <c r="I1544" s="133" t="s">
        <v>135</v>
      </c>
      <c r="K1544" s="135"/>
      <c r="L1544" s="153">
        <f t="shared" si="68"/>
        <v>106.05</v>
      </c>
      <c r="M1544" s="111">
        <v>510177670</v>
      </c>
    </row>
    <row r="1545" spans="1:13" x14ac:dyDescent="0.35">
      <c r="A1545" s="109">
        <v>45022</v>
      </c>
      <c r="B1545" s="121" t="s">
        <v>57</v>
      </c>
      <c r="C1545" s="111" t="s">
        <v>61</v>
      </c>
      <c r="D1545" s="111" t="s">
        <v>1625</v>
      </c>
      <c r="E1545" s="111" t="s">
        <v>1900</v>
      </c>
      <c r="F1545" s="149">
        <v>87.76</v>
      </c>
      <c r="G1545" s="135">
        <f>A1545+30</f>
        <v>45052</v>
      </c>
      <c r="H1545" s="133" t="s">
        <v>66</v>
      </c>
      <c r="I1545" s="133" t="s">
        <v>135</v>
      </c>
      <c r="K1545" s="135"/>
      <c r="L1545" s="153">
        <f t="shared" si="68"/>
        <v>87.76</v>
      </c>
      <c r="M1545" s="111">
        <v>510177670</v>
      </c>
    </row>
    <row r="1546" spans="1:13" x14ac:dyDescent="0.35">
      <c r="A1546" s="109">
        <v>45601</v>
      </c>
      <c r="B1546" s="111" t="s">
        <v>65</v>
      </c>
      <c r="C1546" s="111" t="s">
        <v>3</v>
      </c>
      <c r="E1546" s="111" t="s">
        <v>1901</v>
      </c>
      <c r="F1546" s="131">
        <v>-216.94</v>
      </c>
      <c r="G1546" s="135"/>
      <c r="H1546" s="133" t="s">
        <v>66</v>
      </c>
      <c r="I1546" s="133" t="s">
        <v>119</v>
      </c>
      <c r="K1546" s="135"/>
      <c r="L1546" s="153">
        <f t="shared" si="68"/>
        <v>-216.94</v>
      </c>
      <c r="M1546" s="111"/>
    </row>
    <row r="1547" spans="1:13" x14ac:dyDescent="0.35">
      <c r="A1547" s="109">
        <v>45608</v>
      </c>
      <c r="B1547" s="111" t="s">
        <v>65</v>
      </c>
      <c r="C1547" s="111" t="s">
        <v>3</v>
      </c>
      <c r="E1547" s="111" t="s">
        <v>1902</v>
      </c>
      <c r="F1547" s="131">
        <v>-121.09</v>
      </c>
      <c r="G1547" s="135"/>
      <c r="H1547" s="133" t="s">
        <v>66</v>
      </c>
      <c r="I1547" s="133" t="s">
        <v>119</v>
      </c>
      <c r="K1547" s="135"/>
      <c r="L1547" s="153">
        <f t="shared" si="68"/>
        <v>-121.09</v>
      </c>
      <c r="M1547" s="111" t="s">
        <v>1903</v>
      </c>
    </row>
    <row r="1548" spans="1:13" x14ac:dyDescent="0.35">
      <c r="A1548" s="109">
        <v>45615</v>
      </c>
      <c r="B1548" s="111" t="s">
        <v>65</v>
      </c>
      <c r="C1548" s="111" t="s">
        <v>3</v>
      </c>
      <c r="E1548" s="111" t="s">
        <v>1904</v>
      </c>
      <c r="F1548" s="131">
        <v>-52.15</v>
      </c>
      <c r="G1548" s="135">
        <v>45616</v>
      </c>
      <c r="H1548" s="133" t="s">
        <v>66</v>
      </c>
      <c r="I1548" s="133" t="s">
        <v>119</v>
      </c>
      <c r="K1548" s="135"/>
      <c r="L1548" s="153">
        <f t="shared" si="68"/>
        <v>-52.15</v>
      </c>
      <c r="M1548" s="111"/>
    </row>
    <row r="1549" spans="1:13" x14ac:dyDescent="0.35">
      <c r="A1549" s="109">
        <v>45623</v>
      </c>
      <c r="B1549" s="111" t="s">
        <v>65</v>
      </c>
      <c r="C1549" s="111" t="s">
        <v>3</v>
      </c>
      <c r="E1549" s="111" t="s">
        <v>1905</v>
      </c>
      <c r="F1549" s="131">
        <v>-429.91</v>
      </c>
      <c r="G1549" s="135">
        <v>45624</v>
      </c>
      <c r="H1549" s="133" t="s">
        <v>66</v>
      </c>
      <c r="I1549" s="133" t="s">
        <v>119</v>
      </c>
      <c r="K1549" s="135"/>
      <c r="L1549" s="153">
        <f t="shared" si="68"/>
        <v>-429.91</v>
      </c>
      <c r="M1549" s="111"/>
    </row>
    <row r="1550" spans="1:13" x14ac:dyDescent="0.35">
      <c r="A1550" s="109">
        <v>45636</v>
      </c>
      <c r="B1550" s="111" t="s">
        <v>65</v>
      </c>
      <c r="C1550" s="111" t="s">
        <v>3</v>
      </c>
      <c r="E1550" s="111" t="s">
        <v>1906</v>
      </c>
      <c r="F1550" s="131">
        <v>-286.26</v>
      </c>
      <c r="G1550" s="135">
        <f>IF(OR(C1550="Matosinhos",C1550="Bolhão"),A1550,A1550+30)</f>
        <v>45666</v>
      </c>
      <c r="H1550" s="133" t="s">
        <v>66</v>
      </c>
      <c r="I1550" s="133" t="s">
        <v>119</v>
      </c>
      <c r="K1550" s="135">
        <v>45670</v>
      </c>
      <c r="L1550" s="153">
        <f t="shared" si="68"/>
        <v>-286.26</v>
      </c>
      <c r="M1550" s="111"/>
    </row>
    <row r="1551" spans="1:13" x14ac:dyDescent="0.35">
      <c r="A1551" s="109">
        <v>45643</v>
      </c>
      <c r="B1551" s="111" t="s">
        <v>65</v>
      </c>
      <c r="C1551" s="111" t="s">
        <v>3</v>
      </c>
      <c r="E1551" s="111" t="s">
        <v>1907</v>
      </c>
      <c r="F1551" s="131">
        <v>-121.62</v>
      </c>
      <c r="G1551" s="135">
        <f>IF(OR(C1551="Matosinhos",C1551="Bolhão"),A1551,A1551+30)</f>
        <v>45673</v>
      </c>
      <c r="H1551" s="133" t="s">
        <v>66</v>
      </c>
      <c r="I1551" s="133" t="s">
        <v>119</v>
      </c>
      <c r="K1551" s="135">
        <v>45670</v>
      </c>
      <c r="L1551" s="153">
        <f t="shared" si="68"/>
        <v>-121.62</v>
      </c>
      <c r="M1551" s="111"/>
    </row>
    <row r="1552" spans="1:13" x14ac:dyDescent="0.35">
      <c r="A1552" s="109">
        <v>45656</v>
      </c>
      <c r="B1552" s="111" t="s">
        <v>65</v>
      </c>
      <c r="C1552" s="111" t="s">
        <v>3</v>
      </c>
      <c r="E1552" s="111" t="s">
        <v>1908</v>
      </c>
      <c r="F1552" s="131">
        <v>-361.99</v>
      </c>
      <c r="G1552" s="135">
        <f>IF(OR(C1552="Matosinhos",C1552="Bolhão"),A1552,A1552+30)</f>
        <v>45686</v>
      </c>
      <c r="H1552" s="133" t="s">
        <v>66</v>
      </c>
      <c r="I1552" s="133" t="s">
        <v>119</v>
      </c>
      <c r="K1552" s="135">
        <v>45670</v>
      </c>
      <c r="L1552" s="153">
        <f t="shared" si="68"/>
        <v>-361.99</v>
      </c>
      <c r="M1552" s="111"/>
    </row>
    <row r="1553" spans="1:13" x14ac:dyDescent="0.35">
      <c r="A1553" s="109">
        <v>45656</v>
      </c>
      <c r="B1553" s="111" t="s">
        <v>65</v>
      </c>
      <c r="C1553" s="111" t="s">
        <v>3</v>
      </c>
      <c r="E1553" s="111" t="s">
        <v>1909</v>
      </c>
      <c r="F1553" s="131">
        <v>-209</v>
      </c>
      <c r="G1553" s="135">
        <f>IF(OR(C1553="Matosinhos",C1553="Bolhão"),A1553,A1553+30)</f>
        <v>45686</v>
      </c>
      <c r="H1553" s="133" t="s">
        <v>66</v>
      </c>
      <c r="I1553" s="133" t="s">
        <v>119</v>
      </c>
      <c r="K1553" s="135">
        <v>45670</v>
      </c>
      <c r="L1553" s="153">
        <f t="shared" si="68"/>
        <v>-209</v>
      </c>
      <c r="M1553" s="111"/>
    </row>
    <row r="1554" spans="1:13" x14ac:dyDescent="0.35">
      <c r="A1554" s="109">
        <v>45681</v>
      </c>
      <c r="B1554" s="111" t="s">
        <v>65</v>
      </c>
      <c r="C1554" s="111" t="s">
        <v>3</v>
      </c>
      <c r="E1554" s="111" t="s">
        <v>1910</v>
      </c>
      <c r="F1554" s="149">
        <v>-285.42</v>
      </c>
      <c r="G1554" s="135">
        <v>45681</v>
      </c>
      <c r="H1554" s="133" t="s">
        <v>66</v>
      </c>
      <c r="I1554" s="133" t="s">
        <v>119</v>
      </c>
      <c r="K1554" s="135">
        <v>45700</v>
      </c>
      <c r="L1554" s="153">
        <f t="shared" si="68"/>
        <v>-285.42</v>
      </c>
      <c r="M1554" s="111"/>
    </row>
    <row r="1555" spans="1:13" x14ac:dyDescent="0.35">
      <c r="A1555" s="109">
        <v>45685</v>
      </c>
      <c r="B1555" s="111" t="s">
        <v>65</v>
      </c>
      <c r="C1555" s="111" t="s">
        <v>3</v>
      </c>
      <c r="E1555" s="111" t="s">
        <v>1911</v>
      </c>
      <c r="F1555" s="149">
        <v>-226.09</v>
      </c>
      <c r="G1555" s="135">
        <v>45686</v>
      </c>
      <c r="H1555" s="133" t="s">
        <v>66</v>
      </c>
      <c r="I1555" s="133" t="s">
        <v>119</v>
      </c>
      <c r="K1555" s="135">
        <v>45700</v>
      </c>
      <c r="L1555" s="153">
        <f t="shared" si="68"/>
        <v>-226.09</v>
      </c>
      <c r="M1555" s="111"/>
    </row>
    <row r="1556" spans="1:13" x14ac:dyDescent="0.35">
      <c r="A1556" s="109">
        <v>45691</v>
      </c>
      <c r="B1556" s="121" t="s">
        <v>65</v>
      </c>
      <c r="C1556" s="121" t="s">
        <v>3</v>
      </c>
      <c r="E1556" s="121" t="s">
        <v>167</v>
      </c>
      <c r="F1556" s="149">
        <v>-462.06</v>
      </c>
      <c r="G1556" s="135"/>
      <c r="H1556" s="134" t="s">
        <v>66</v>
      </c>
      <c r="I1556" s="133" t="s">
        <v>119</v>
      </c>
      <c r="K1556" s="135">
        <v>45723</v>
      </c>
      <c r="L1556" s="153">
        <f t="shared" si="68"/>
        <v>-462.06</v>
      </c>
      <c r="M1556" s="111"/>
    </row>
    <row r="1557" spans="1:13" x14ac:dyDescent="0.35">
      <c r="A1557" s="109">
        <v>45693</v>
      </c>
      <c r="B1557" s="111" t="s">
        <v>65</v>
      </c>
      <c r="C1557" s="111" t="s">
        <v>3</v>
      </c>
      <c r="E1557" s="111" t="s">
        <v>1912</v>
      </c>
      <c r="F1557" s="153">
        <v>-369.32</v>
      </c>
      <c r="G1557" s="135">
        <v>45694</v>
      </c>
      <c r="H1557" s="134" t="s">
        <v>66</v>
      </c>
      <c r="I1557" s="133" t="s">
        <v>119</v>
      </c>
      <c r="K1557" s="135">
        <v>45723</v>
      </c>
      <c r="L1557" s="153">
        <f t="shared" si="68"/>
        <v>-369.32</v>
      </c>
      <c r="M1557" s="111"/>
    </row>
    <row r="1558" spans="1:13" x14ac:dyDescent="0.35">
      <c r="A1558" s="109">
        <v>45713</v>
      </c>
      <c r="B1558" s="121" t="s">
        <v>65</v>
      </c>
      <c r="C1558" s="121" t="s">
        <v>3</v>
      </c>
      <c r="E1558" s="121" t="s">
        <v>1913</v>
      </c>
      <c r="F1558" s="153">
        <v>-263.7</v>
      </c>
      <c r="G1558" s="135">
        <v>45741</v>
      </c>
      <c r="H1558" s="134" t="s">
        <v>66</v>
      </c>
      <c r="I1558" s="133" t="s">
        <v>119</v>
      </c>
      <c r="K1558" s="135">
        <v>45723</v>
      </c>
      <c r="L1558" s="153">
        <f t="shared" si="68"/>
        <v>-263.7</v>
      </c>
      <c r="M1558" s="111"/>
    </row>
    <row r="1559" spans="1:13" x14ac:dyDescent="0.35">
      <c r="A1559" s="109">
        <v>45708</v>
      </c>
      <c r="B1559" s="121" t="s">
        <v>65</v>
      </c>
      <c r="C1559" s="121" t="s">
        <v>3</v>
      </c>
      <c r="E1559" s="121" t="s">
        <v>1914</v>
      </c>
      <c r="F1559" s="153">
        <v>-362.9</v>
      </c>
      <c r="G1559" s="135">
        <v>45736</v>
      </c>
      <c r="H1559" s="134" t="s">
        <v>66</v>
      </c>
      <c r="I1559" s="133" t="s">
        <v>119</v>
      </c>
      <c r="K1559" s="135">
        <v>45723</v>
      </c>
      <c r="L1559" s="153">
        <f t="shared" si="68"/>
        <v>-362.9</v>
      </c>
      <c r="M1559" s="111"/>
    </row>
    <row r="1560" spans="1:13" x14ac:dyDescent="0.35">
      <c r="A1560" s="109">
        <v>45699</v>
      </c>
      <c r="B1560" s="121" t="s">
        <v>65</v>
      </c>
      <c r="C1560" s="121" t="s">
        <v>3</v>
      </c>
      <c r="E1560" s="121" t="s">
        <v>1915</v>
      </c>
      <c r="F1560" s="153">
        <v>-143.37</v>
      </c>
      <c r="G1560" s="135">
        <v>45727</v>
      </c>
      <c r="H1560" s="134" t="s">
        <v>66</v>
      </c>
      <c r="I1560" s="133" t="s">
        <v>119</v>
      </c>
      <c r="K1560" s="135">
        <v>45723</v>
      </c>
      <c r="L1560" s="153">
        <f t="shared" si="68"/>
        <v>-143.37</v>
      </c>
      <c r="M1560" s="111"/>
    </row>
    <row r="1561" spans="1:13" x14ac:dyDescent="0.35">
      <c r="A1561" s="109">
        <v>45727</v>
      </c>
      <c r="B1561" s="111" t="s">
        <v>65</v>
      </c>
      <c r="C1561" s="111" t="s">
        <v>3</v>
      </c>
      <c r="E1561" s="111" t="s">
        <v>1916</v>
      </c>
      <c r="F1561" s="153">
        <v>-271.44</v>
      </c>
      <c r="G1561" s="135"/>
      <c r="H1561" s="133" t="s">
        <v>66</v>
      </c>
      <c r="I1561" s="133" t="s">
        <v>119</v>
      </c>
      <c r="K1561" s="135">
        <v>45758</v>
      </c>
      <c r="L1561" s="153">
        <f t="shared" si="68"/>
        <v>-271.44</v>
      </c>
      <c r="M1561" s="111"/>
    </row>
    <row r="1562" spans="1:13" x14ac:dyDescent="0.35">
      <c r="A1562" s="109">
        <v>45735</v>
      </c>
      <c r="B1562" s="121" t="s">
        <v>65</v>
      </c>
      <c r="C1562" s="121" t="s">
        <v>3</v>
      </c>
      <c r="E1562" s="121" t="s">
        <v>1393</v>
      </c>
      <c r="F1562" s="153">
        <v>-557.24</v>
      </c>
      <c r="G1562" s="135"/>
      <c r="H1562" s="133" t="s">
        <v>66</v>
      </c>
      <c r="I1562" s="133" t="s">
        <v>119</v>
      </c>
      <c r="K1562" s="135">
        <v>45758</v>
      </c>
      <c r="L1562" s="153">
        <f t="shared" si="68"/>
        <v>-557.24</v>
      </c>
      <c r="M1562" s="111"/>
    </row>
    <row r="1563" spans="1:13" x14ac:dyDescent="0.35">
      <c r="A1563" s="109">
        <v>45743</v>
      </c>
      <c r="B1563" s="121" t="s">
        <v>65</v>
      </c>
      <c r="C1563" s="121" t="s">
        <v>3</v>
      </c>
      <c r="E1563" s="121" t="s">
        <v>1917</v>
      </c>
      <c r="F1563" s="153">
        <v>-381.9</v>
      </c>
      <c r="G1563" s="135"/>
      <c r="H1563" s="133" t="s">
        <v>66</v>
      </c>
      <c r="I1563" s="133" t="s">
        <v>119</v>
      </c>
      <c r="K1563" s="135">
        <v>45758</v>
      </c>
      <c r="L1563" s="153">
        <f t="shared" si="68"/>
        <v>-381.9</v>
      </c>
      <c r="M1563" s="111"/>
    </row>
    <row r="1564" spans="1:13" x14ac:dyDescent="0.35">
      <c r="A1564" s="109">
        <v>45756</v>
      </c>
      <c r="B1564" s="111" t="s">
        <v>65</v>
      </c>
      <c r="C1564" s="111" t="s">
        <v>3</v>
      </c>
      <c r="E1564" s="111" t="s">
        <v>1398</v>
      </c>
      <c r="F1564" s="153">
        <v>-553.19000000000005</v>
      </c>
      <c r="G1564" s="135"/>
      <c r="H1564" s="133" t="s">
        <v>66</v>
      </c>
      <c r="I1564" s="133" t="s">
        <v>119</v>
      </c>
      <c r="K1564" s="135">
        <v>45786</v>
      </c>
      <c r="L1564" s="153">
        <f t="shared" si="68"/>
        <v>-553.19000000000005</v>
      </c>
      <c r="M1564" s="111"/>
    </row>
    <row r="1565" spans="1:13" x14ac:dyDescent="0.35">
      <c r="A1565" s="109">
        <v>45750</v>
      </c>
      <c r="B1565" s="111" t="s">
        <v>65</v>
      </c>
      <c r="C1565" s="111" t="s">
        <v>3</v>
      </c>
      <c r="E1565" s="111" t="s">
        <v>1918</v>
      </c>
      <c r="F1565" s="153">
        <v>-552.72</v>
      </c>
      <c r="G1565" s="135"/>
      <c r="H1565" s="133" t="s">
        <v>66</v>
      </c>
      <c r="I1565" s="133" t="s">
        <v>119</v>
      </c>
      <c r="K1565" s="135">
        <v>45786</v>
      </c>
      <c r="L1565" s="153">
        <f t="shared" si="68"/>
        <v>-552.72</v>
      </c>
      <c r="M1565" s="111"/>
    </row>
    <row r="1566" spans="1:13" x14ac:dyDescent="0.35">
      <c r="A1566" s="109">
        <v>45762</v>
      </c>
      <c r="B1566" s="111" t="s">
        <v>65</v>
      </c>
      <c r="C1566" s="111" t="s">
        <v>3</v>
      </c>
      <c r="E1566" s="111" t="s">
        <v>1919</v>
      </c>
      <c r="F1566" s="153">
        <v>-1013.35</v>
      </c>
      <c r="G1566" s="135">
        <v>45763</v>
      </c>
      <c r="H1566" s="133" t="s">
        <v>66</v>
      </c>
      <c r="I1566" s="133" t="s">
        <v>119</v>
      </c>
      <c r="K1566" s="135">
        <v>45789</v>
      </c>
      <c r="L1566" s="153">
        <f t="shared" si="68"/>
        <v>-1013.35</v>
      </c>
      <c r="M1566" s="111"/>
    </row>
    <row r="1567" spans="1:13" x14ac:dyDescent="0.35">
      <c r="A1567" s="109">
        <v>45777</v>
      </c>
      <c r="B1567" s="111" t="s">
        <v>65</v>
      </c>
      <c r="C1567" s="121" t="s">
        <v>3</v>
      </c>
      <c r="E1567" s="121" t="s">
        <v>1920</v>
      </c>
      <c r="F1567" s="153">
        <v>-425.69</v>
      </c>
      <c r="G1567" s="135"/>
      <c r="H1567" s="133" t="s">
        <v>66</v>
      </c>
      <c r="I1567" s="133" t="s">
        <v>119</v>
      </c>
      <c r="K1567" s="135">
        <v>45789</v>
      </c>
      <c r="L1567" s="153">
        <f t="shared" si="68"/>
        <v>-425.69</v>
      </c>
      <c r="M1567" s="111"/>
    </row>
    <row r="1568" spans="1:13" x14ac:dyDescent="0.35">
      <c r="A1568" s="109">
        <v>45770</v>
      </c>
      <c r="B1568" s="111" t="s">
        <v>65</v>
      </c>
      <c r="C1568" s="121" t="s">
        <v>3</v>
      </c>
      <c r="E1568" s="121" t="s">
        <v>1921</v>
      </c>
      <c r="F1568" s="153">
        <v>-813.46</v>
      </c>
      <c r="G1568" s="135"/>
      <c r="H1568" s="133" t="s">
        <v>66</v>
      </c>
      <c r="I1568" s="133" t="s">
        <v>119</v>
      </c>
      <c r="K1568" s="135">
        <v>45789</v>
      </c>
      <c r="L1568" s="153">
        <f t="shared" si="68"/>
        <v>-813.46</v>
      </c>
      <c r="M1568" s="111"/>
    </row>
    <row r="1569" spans="1:13" x14ac:dyDescent="0.35">
      <c r="B1569" s="121" t="s">
        <v>65</v>
      </c>
      <c r="F1569" s="153"/>
      <c r="G1569" s="135">
        <f t="shared" ref="G1569:G1574" si="69">A1569+30</f>
        <v>30</v>
      </c>
      <c r="K1569" s="135"/>
    </row>
    <row r="1570" spans="1:13" x14ac:dyDescent="0.35">
      <c r="B1570" s="121" t="s">
        <v>65</v>
      </c>
      <c r="F1570" s="153"/>
      <c r="G1570" s="135">
        <f t="shared" si="69"/>
        <v>30</v>
      </c>
      <c r="K1570" s="135"/>
    </row>
    <row r="1571" spans="1:13" x14ac:dyDescent="0.35">
      <c r="B1571" s="121" t="s">
        <v>65</v>
      </c>
      <c r="F1571" s="153"/>
      <c r="G1571" s="135">
        <f t="shared" si="69"/>
        <v>30</v>
      </c>
      <c r="K1571" s="135"/>
    </row>
    <row r="1572" spans="1:13" x14ac:dyDescent="0.35">
      <c r="B1572" s="121" t="s">
        <v>65</v>
      </c>
      <c r="F1572" s="153"/>
      <c r="G1572" s="135">
        <f t="shared" si="69"/>
        <v>30</v>
      </c>
      <c r="K1572" s="135"/>
    </row>
    <row r="1573" spans="1:13" x14ac:dyDescent="0.35">
      <c r="F1573" s="153"/>
      <c r="G1573" s="135">
        <f t="shared" si="69"/>
        <v>30</v>
      </c>
      <c r="K1573" s="135"/>
    </row>
    <row r="1574" spans="1:13" x14ac:dyDescent="0.35">
      <c r="F1574" s="153"/>
      <c r="G1574" s="135">
        <f t="shared" si="69"/>
        <v>30</v>
      </c>
      <c r="K1574" s="135"/>
    </row>
    <row r="1575" spans="1:13" x14ac:dyDescent="0.35">
      <c r="A1575" s="109">
        <v>45786</v>
      </c>
      <c r="B1575" s="111" t="s">
        <v>65</v>
      </c>
      <c r="C1575" s="121" t="s">
        <v>3</v>
      </c>
      <c r="E1575" s="111" t="s">
        <v>768</v>
      </c>
      <c r="F1575" s="153">
        <v>-128.28</v>
      </c>
      <c r="G1575" s="135">
        <v>45816</v>
      </c>
      <c r="H1575" s="133" t="s">
        <v>66</v>
      </c>
      <c r="I1575" s="133" t="s">
        <v>119</v>
      </c>
      <c r="K1575" s="135">
        <v>45819</v>
      </c>
      <c r="L1575" s="153">
        <f t="shared" ref="L1575:L1589" si="70">F1575</f>
        <v>-128.28</v>
      </c>
      <c r="M1575" s="111"/>
    </row>
    <row r="1576" spans="1:13" x14ac:dyDescent="0.35">
      <c r="A1576" s="109">
        <v>45140</v>
      </c>
      <c r="B1576" s="121" t="s">
        <v>57</v>
      </c>
      <c r="C1576" s="111" t="s">
        <v>61</v>
      </c>
      <c r="D1576" s="111" t="s">
        <v>1625</v>
      </c>
      <c r="E1576" s="111" t="s">
        <v>1922</v>
      </c>
      <c r="F1576" s="149">
        <v>141.58000000000001</v>
      </c>
      <c r="G1576" s="135">
        <f t="shared" ref="G1576:G1582" si="71">A1576+30</f>
        <v>45170</v>
      </c>
      <c r="H1576" s="133" t="s">
        <v>66</v>
      </c>
      <c r="I1576" s="133" t="s">
        <v>135</v>
      </c>
      <c r="K1576" s="135"/>
      <c r="L1576" s="153">
        <f t="shared" si="70"/>
        <v>141.58000000000001</v>
      </c>
      <c r="M1576" s="111">
        <v>510177670</v>
      </c>
    </row>
    <row r="1577" spans="1:13" x14ac:dyDescent="0.35">
      <c r="A1577" s="109">
        <v>45147</v>
      </c>
      <c r="B1577" s="121" t="s">
        <v>57</v>
      </c>
      <c r="C1577" s="111" t="s">
        <v>61</v>
      </c>
      <c r="D1577" s="111" t="s">
        <v>1625</v>
      </c>
      <c r="E1577" s="111" t="s">
        <v>1923</v>
      </c>
      <c r="F1577" s="149">
        <v>111.57</v>
      </c>
      <c r="G1577" s="135">
        <f t="shared" si="71"/>
        <v>45177</v>
      </c>
      <c r="H1577" s="133" t="s">
        <v>66</v>
      </c>
      <c r="I1577" s="133" t="s">
        <v>135</v>
      </c>
      <c r="K1577" s="135"/>
      <c r="L1577" s="153">
        <f t="shared" si="70"/>
        <v>111.57</v>
      </c>
      <c r="M1577" s="111">
        <v>510177670</v>
      </c>
    </row>
    <row r="1578" spans="1:13" x14ac:dyDescent="0.35">
      <c r="A1578" s="109">
        <v>45155</v>
      </c>
      <c r="B1578" s="121" t="s">
        <v>57</v>
      </c>
      <c r="C1578" s="111" t="s">
        <v>61</v>
      </c>
      <c r="D1578" s="111" t="s">
        <v>1625</v>
      </c>
      <c r="E1578" s="111" t="s">
        <v>1924</v>
      </c>
      <c r="F1578" s="149">
        <v>140.94</v>
      </c>
      <c r="G1578" s="135">
        <f t="shared" si="71"/>
        <v>45185</v>
      </c>
      <c r="H1578" s="133" t="s">
        <v>66</v>
      </c>
      <c r="I1578" s="133" t="s">
        <v>135</v>
      </c>
      <c r="K1578" s="135"/>
      <c r="L1578" s="153">
        <f t="shared" si="70"/>
        <v>140.94</v>
      </c>
      <c r="M1578" s="111">
        <v>510177670</v>
      </c>
    </row>
    <row r="1579" spans="1:13" x14ac:dyDescent="0.35">
      <c r="A1579" s="109">
        <v>45161</v>
      </c>
      <c r="B1579" s="121" t="s">
        <v>57</v>
      </c>
      <c r="C1579" s="111" t="s">
        <v>61</v>
      </c>
      <c r="D1579" s="111" t="s">
        <v>1625</v>
      </c>
      <c r="E1579" s="111" t="s">
        <v>1925</v>
      </c>
      <c r="F1579" s="149">
        <v>201.5</v>
      </c>
      <c r="G1579" s="135">
        <f t="shared" si="71"/>
        <v>45191</v>
      </c>
      <c r="H1579" s="133" t="s">
        <v>66</v>
      </c>
      <c r="I1579" s="133" t="s">
        <v>135</v>
      </c>
      <c r="K1579" s="135"/>
      <c r="L1579" s="153">
        <f t="shared" si="70"/>
        <v>201.5</v>
      </c>
      <c r="M1579" s="111">
        <v>510177670</v>
      </c>
    </row>
    <row r="1580" spans="1:13" x14ac:dyDescent="0.35">
      <c r="A1580" s="109">
        <v>45238</v>
      </c>
      <c r="B1580" s="121" t="s">
        <v>57</v>
      </c>
      <c r="C1580" s="111" t="s">
        <v>61</v>
      </c>
      <c r="D1580" s="111" t="s">
        <v>1625</v>
      </c>
      <c r="E1580" s="111" t="s">
        <v>1926</v>
      </c>
      <c r="F1580" s="149">
        <v>125.71</v>
      </c>
      <c r="G1580" s="135">
        <f t="shared" si="71"/>
        <v>45268</v>
      </c>
      <c r="H1580" s="133" t="s">
        <v>66</v>
      </c>
      <c r="I1580" s="133" t="s">
        <v>135</v>
      </c>
      <c r="K1580" s="135"/>
      <c r="L1580" s="153">
        <f t="shared" si="70"/>
        <v>125.71</v>
      </c>
      <c r="M1580" s="111">
        <v>510177670</v>
      </c>
    </row>
    <row r="1581" spans="1:13" x14ac:dyDescent="0.35">
      <c r="A1581" s="109">
        <v>45420</v>
      </c>
      <c r="B1581" s="121" t="s">
        <v>57</v>
      </c>
      <c r="C1581" s="111" t="s">
        <v>61</v>
      </c>
      <c r="D1581" s="111" t="s">
        <v>1625</v>
      </c>
      <c r="E1581" s="111" t="s">
        <v>1927</v>
      </c>
      <c r="F1581" s="149">
        <v>139.65</v>
      </c>
      <c r="G1581" s="135">
        <f t="shared" si="71"/>
        <v>45450</v>
      </c>
      <c r="H1581" s="133" t="s">
        <v>66</v>
      </c>
      <c r="I1581" s="133" t="s">
        <v>135</v>
      </c>
      <c r="K1581" s="135"/>
      <c r="L1581" s="153">
        <f t="shared" si="70"/>
        <v>139.65</v>
      </c>
      <c r="M1581" s="111">
        <v>510177670</v>
      </c>
    </row>
    <row r="1582" spans="1:13" x14ac:dyDescent="0.35">
      <c r="A1582" s="109">
        <v>45462</v>
      </c>
      <c r="B1582" s="121" t="s">
        <v>57</v>
      </c>
      <c r="C1582" s="111" t="s">
        <v>61</v>
      </c>
      <c r="D1582" s="111" t="s">
        <v>1625</v>
      </c>
      <c r="E1582" s="111" t="s">
        <v>1928</v>
      </c>
      <c r="F1582" s="149">
        <v>178.96</v>
      </c>
      <c r="G1582" s="135">
        <f t="shared" si="71"/>
        <v>45492</v>
      </c>
      <c r="H1582" s="133" t="s">
        <v>66</v>
      </c>
      <c r="I1582" s="133" t="s">
        <v>135</v>
      </c>
      <c r="K1582" s="135"/>
      <c r="L1582" s="153">
        <f t="shared" si="70"/>
        <v>178.96</v>
      </c>
      <c r="M1582" s="111">
        <v>510177670</v>
      </c>
    </row>
    <row r="1583" spans="1:13" x14ac:dyDescent="0.35">
      <c r="A1583" s="109">
        <v>45783</v>
      </c>
      <c r="B1583" s="111" t="s">
        <v>65</v>
      </c>
      <c r="C1583" s="121" t="s">
        <v>3</v>
      </c>
      <c r="E1583" s="111" t="s">
        <v>1929</v>
      </c>
      <c r="F1583" s="153">
        <v>-760.21</v>
      </c>
      <c r="G1583" s="135">
        <v>45816</v>
      </c>
      <c r="H1583" s="133" t="s">
        <v>66</v>
      </c>
      <c r="I1583" s="133" t="s">
        <v>119</v>
      </c>
      <c r="K1583" s="135">
        <v>45819</v>
      </c>
      <c r="L1583" s="153">
        <f t="shared" si="70"/>
        <v>-760.21</v>
      </c>
      <c r="M1583" s="111"/>
    </row>
    <row r="1584" spans="1:13" x14ac:dyDescent="0.35">
      <c r="A1584" s="109">
        <v>45797</v>
      </c>
      <c r="B1584" s="111" t="s">
        <v>65</v>
      </c>
      <c r="C1584" s="111" t="s">
        <v>3</v>
      </c>
      <c r="E1584" s="111" t="s">
        <v>1930</v>
      </c>
      <c r="F1584" s="153">
        <v>-142.53</v>
      </c>
      <c r="H1584" s="133" t="s">
        <v>66</v>
      </c>
      <c r="I1584" s="133" t="s">
        <v>119</v>
      </c>
      <c r="K1584" s="135">
        <v>45819</v>
      </c>
      <c r="L1584" s="153">
        <f t="shared" si="70"/>
        <v>-142.53</v>
      </c>
      <c r="M1584" s="111"/>
    </row>
    <row r="1585" spans="1:13" x14ac:dyDescent="0.35">
      <c r="A1585" s="109">
        <v>45796</v>
      </c>
      <c r="B1585" s="111" t="s">
        <v>65</v>
      </c>
      <c r="C1585" s="111" t="s">
        <v>3</v>
      </c>
      <c r="E1585" s="111" t="s">
        <v>1931</v>
      </c>
      <c r="F1585" s="153">
        <v>-1290.95</v>
      </c>
      <c r="H1585" s="133" t="s">
        <v>66</v>
      </c>
      <c r="I1585" s="133" t="s">
        <v>119</v>
      </c>
      <c r="K1585" s="135">
        <v>45819</v>
      </c>
      <c r="L1585" s="153">
        <f t="shared" si="70"/>
        <v>-1290.95</v>
      </c>
      <c r="M1585" s="111"/>
    </row>
    <row r="1586" spans="1:13" x14ac:dyDescent="0.35">
      <c r="A1586" s="109">
        <v>45793</v>
      </c>
      <c r="B1586" s="140" t="s">
        <v>65</v>
      </c>
      <c r="C1586" s="140" t="s">
        <v>3</v>
      </c>
      <c r="E1586" s="140" t="s">
        <v>1932</v>
      </c>
      <c r="F1586" s="153">
        <v>-323.11</v>
      </c>
      <c r="H1586" s="133" t="s">
        <v>66</v>
      </c>
      <c r="I1586" s="133" t="s">
        <v>119</v>
      </c>
      <c r="K1586" s="135">
        <v>45819</v>
      </c>
      <c r="L1586" s="153">
        <f t="shared" si="70"/>
        <v>-323.11</v>
      </c>
      <c r="M1586" s="111"/>
    </row>
    <row r="1587" spans="1:13" x14ac:dyDescent="0.35">
      <c r="A1587" s="109">
        <v>45804</v>
      </c>
      <c r="B1587" s="111" t="s">
        <v>65</v>
      </c>
      <c r="C1587" s="111" t="s">
        <v>3</v>
      </c>
      <c r="E1587" s="111" t="s">
        <v>1933</v>
      </c>
      <c r="F1587" s="153">
        <v>-1229.79</v>
      </c>
      <c r="H1587" s="133" t="s">
        <v>66</v>
      </c>
      <c r="I1587" s="133" t="s">
        <v>119</v>
      </c>
      <c r="K1587" s="135">
        <v>45819</v>
      </c>
      <c r="L1587" s="111">
        <f t="shared" si="70"/>
        <v>-1229.79</v>
      </c>
      <c r="M1587" s="111"/>
    </row>
    <row r="1588" spans="1:13" x14ac:dyDescent="0.35">
      <c r="A1588" s="109">
        <v>45370</v>
      </c>
      <c r="B1588" s="121" t="s">
        <v>57</v>
      </c>
      <c r="C1588" s="111" t="s">
        <v>61</v>
      </c>
      <c r="D1588" s="111" t="s">
        <v>1625</v>
      </c>
      <c r="E1588" s="111" t="s">
        <v>1934</v>
      </c>
      <c r="F1588" s="149">
        <v>109.43</v>
      </c>
      <c r="G1588" s="135">
        <f>A1588+30</f>
        <v>45400</v>
      </c>
      <c r="H1588" s="133" t="s">
        <v>66</v>
      </c>
      <c r="I1588" s="133" t="s">
        <v>135</v>
      </c>
      <c r="K1588" s="135"/>
      <c r="L1588" s="153">
        <f t="shared" si="70"/>
        <v>109.43</v>
      </c>
      <c r="M1588" s="111">
        <v>510177670</v>
      </c>
    </row>
    <row r="1589" spans="1:13" x14ac:dyDescent="0.35">
      <c r="A1589" s="109">
        <v>45395</v>
      </c>
      <c r="B1589" s="121" t="s">
        <v>57</v>
      </c>
      <c r="C1589" s="111" t="s">
        <v>61</v>
      </c>
      <c r="D1589" s="111" t="s">
        <v>1625</v>
      </c>
      <c r="E1589" s="111" t="s">
        <v>1935</v>
      </c>
      <c r="F1589" s="149">
        <v>61.95</v>
      </c>
      <c r="G1589" s="135">
        <f>A1589+30</f>
        <v>45425</v>
      </c>
      <c r="H1589" s="133" t="s">
        <v>66</v>
      </c>
      <c r="I1589" s="133" t="s">
        <v>135</v>
      </c>
      <c r="K1589" s="135"/>
      <c r="L1589" s="153">
        <f t="shared" si="70"/>
        <v>61.95</v>
      </c>
      <c r="M1589" s="111">
        <v>510177670</v>
      </c>
    </row>
    <row r="1590" spans="1:13" x14ac:dyDescent="0.35">
      <c r="A1590" s="109">
        <v>46052</v>
      </c>
      <c r="B1590" s="111" t="s">
        <v>57</v>
      </c>
      <c r="C1590" s="111" t="s">
        <v>22</v>
      </c>
      <c r="D1590" s="111" t="s">
        <v>550</v>
      </c>
      <c r="E1590" s="111" t="s">
        <v>1936</v>
      </c>
      <c r="F1590" s="153">
        <v>33.06</v>
      </c>
      <c r="G1590" s="135">
        <v>46083</v>
      </c>
      <c r="H1590" s="133" t="s">
        <v>66</v>
      </c>
      <c r="I1590" s="133" t="s">
        <v>135</v>
      </c>
      <c r="K1590" s="160">
        <v>46064</v>
      </c>
    </row>
    <row r="1591" spans="1:13" x14ac:dyDescent="0.35">
      <c r="A1591" s="109">
        <v>45791</v>
      </c>
      <c r="B1591" s="111" t="s">
        <v>65</v>
      </c>
      <c r="C1591" s="111" t="s">
        <v>3</v>
      </c>
      <c r="E1591" s="111" t="s">
        <v>1937</v>
      </c>
      <c r="F1591" s="153">
        <v>-599.59</v>
      </c>
      <c r="H1591" s="133" t="s">
        <v>66</v>
      </c>
      <c r="I1591" s="133" t="s">
        <v>119</v>
      </c>
      <c r="K1591" s="135">
        <v>45819</v>
      </c>
      <c r="L1591" s="111">
        <f>F1591</f>
        <v>-599.59</v>
      </c>
      <c r="M1591" s="111"/>
    </row>
    <row r="1592" spans="1:13" x14ac:dyDescent="0.35">
      <c r="A1592" s="109">
        <v>45811</v>
      </c>
      <c r="B1592" s="111" t="s">
        <v>65</v>
      </c>
      <c r="C1592" s="111" t="s">
        <v>3</v>
      </c>
      <c r="E1592" s="111" t="s">
        <v>1938</v>
      </c>
      <c r="F1592" s="153">
        <v>-1202.1300000000001</v>
      </c>
      <c r="H1592" s="133" t="s">
        <v>66</v>
      </c>
      <c r="I1592" s="133" t="s">
        <v>119</v>
      </c>
      <c r="K1592" s="135">
        <v>45849</v>
      </c>
      <c r="L1592" s="111">
        <f>F1592</f>
        <v>-1202.1300000000001</v>
      </c>
      <c r="M1592" s="111"/>
    </row>
    <row r="1593" spans="1:13" x14ac:dyDescent="0.35">
      <c r="A1593" s="109">
        <v>45820</v>
      </c>
      <c r="B1593" s="111" t="s">
        <v>65</v>
      </c>
      <c r="C1593" s="111" t="s">
        <v>3</v>
      </c>
      <c r="E1593" s="111" t="s">
        <v>1939</v>
      </c>
      <c r="F1593" s="153">
        <v>-1291.6600000000001</v>
      </c>
      <c r="H1593" s="133" t="s">
        <v>66</v>
      </c>
      <c r="I1593" s="133" t="s">
        <v>119</v>
      </c>
      <c r="K1593" s="135">
        <v>45849</v>
      </c>
      <c r="M1593" s="111"/>
    </row>
    <row r="1594" spans="1:13" x14ac:dyDescent="0.35">
      <c r="A1594" s="109">
        <v>45821</v>
      </c>
      <c r="B1594" s="111" t="s">
        <v>65</v>
      </c>
      <c r="C1594" s="111" t="s">
        <v>3</v>
      </c>
      <c r="E1594" s="111" t="s">
        <v>1940</v>
      </c>
      <c r="F1594" s="153">
        <v>-309.98</v>
      </c>
      <c r="H1594" s="133" t="s">
        <v>66</v>
      </c>
      <c r="I1594" s="133" t="s">
        <v>119</v>
      </c>
      <c r="K1594" s="135">
        <v>45849</v>
      </c>
      <c r="M1594" s="111"/>
    </row>
    <row r="1595" spans="1:13" x14ac:dyDescent="0.35">
      <c r="A1595" s="109">
        <v>45826</v>
      </c>
      <c r="B1595" s="111" t="s">
        <v>65</v>
      </c>
      <c r="C1595" s="111" t="s">
        <v>3</v>
      </c>
      <c r="E1595" s="111" t="s">
        <v>1941</v>
      </c>
      <c r="F1595" s="153">
        <v>-1493.08</v>
      </c>
      <c r="H1595" s="133" t="s">
        <v>66</v>
      </c>
      <c r="I1595" s="133" t="s">
        <v>119</v>
      </c>
      <c r="K1595" s="135">
        <v>45861</v>
      </c>
      <c r="M1595" s="111"/>
    </row>
    <row r="1596" spans="1:13" x14ac:dyDescent="0.35">
      <c r="A1596" s="109">
        <v>45828</v>
      </c>
      <c r="B1596" s="111" t="s">
        <v>65</v>
      </c>
      <c r="C1596" s="111" t="s">
        <v>3</v>
      </c>
      <c r="E1596" s="111" t="s">
        <v>1942</v>
      </c>
      <c r="F1596" s="153">
        <v>-125.93</v>
      </c>
      <c r="H1596" s="133" t="s">
        <v>66</v>
      </c>
      <c r="I1596" s="133" t="s">
        <v>119</v>
      </c>
      <c r="K1596" s="135">
        <v>45861</v>
      </c>
      <c r="M1596" s="111"/>
    </row>
    <row r="1597" spans="1:13" x14ac:dyDescent="0.35">
      <c r="A1597" s="109">
        <v>45831</v>
      </c>
      <c r="B1597" s="111" t="s">
        <v>65</v>
      </c>
      <c r="C1597" s="111" t="s">
        <v>3</v>
      </c>
      <c r="E1597" s="111" t="s">
        <v>1943</v>
      </c>
      <c r="F1597" s="153">
        <v>-1285.4000000000001</v>
      </c>
      <c r="G1597" s="135">
        <v>45832</v>
      </c>
      <c r="H1597" s="133" t="s">
        <v>66</v>
      </c>
      <c r="I1597" s="133" t="s">
        <v>119</v>
      </c>
      <c r="K1597" s="135">
        <v>45861</v>
      </c>
      <c r="M1597" s="111"/>
    </row>
    <row r="1598" spans="1:13" x14ac:dyDescent="0.35">
      <c r="A1598" s="109">
        <v>45539</v>
      </c>
      <c r="B1598" s="111" t="s">
        <v>65</v>
      </c>
      <c r="C1598" s="111" t="s">
        <v>3</v>
      </c>
      <c r="E1598" s="111" t="s">
        <v>1867</v>
      </c>
      <c r="F1598" s="149">
        <v>-2238.9450000000002</v>
      </c>
      <c r="G1598" s="135"/>
      <c r="H1598" s="133" t="s">
        <v>66</v>
      </c>
      <c r="I1598" s="133" t="s">
        <v>232</v>
      </c>
      <c r="K1598" s="135">
        <v>45852</v>
      </c>
      <c r="L1598" s="153">
        <f>F1598</f>
        <v>-2238.9450000000002</v>
      </c>
      <c r="M1598" s="111" t="s">
        <v>1944</v>
      </c>
    </row>
    <row r="1599" spans="1:13" x14ac:dyDescent="0.35">
      <c r="A1599" s="109">
        <v>45839</v>
      </c>
      <c r="B1599" s="111" t="s">
        <v>65</v>
      </c>
      <c r="C1599" s="111" t="s">
        <v>3</v>
      </c>
      <c r="E1599" s="111" t="s">
        <v>1945</v>
      </c>
      <c r="F1599" s="153">
        <v>-1347.7</v>
      </c>
      <c r="H1599" s="133" t="s">
        <v>66</v>
      </c>
      <c r="I1599" s="133" t="s">
        <v>119</v>
      </c>
      <c r="K1599" s="135">
        <v>45852</v>
      </c>
      <c r="M1599" s="111"/>
    </row>
    <row r="1600" spans="1:13" x14ac:dyDescent="0.35">
      <c r="A1600" s="109">
        <v>374553</v>
      </c>
      <c r="B1600" s="111" t="s">
        <v>65</v>
      </c>
      <c r="C1600" s="111" t="s">
        <v>3</v>
      </c>
      <c r="E1600" s="111" t="s">
        <v>1946</v>
      </c>
      <c r="F1600" s="153">
        <v>-145.36000000000001</v>
      </c>
      <c r="H1600" s="133" t="s">
        <v>66</v>
      </c>
      <c r="I1600" s="133" t="s">
        <v>119</v>
      </c>
      <c r="K1600" s="135">
        <v>45852</v>
      </c>
      <c r="M1600" s="111"/>
    </row>
    <row r="1601" spans="1:13" x14ac:dyDescent="0.35">
      <c r="A1601" s="109">
        <v>45834</v>
      </c>
      <c r="B1601" s="111" t="s">
        <v>65</v>
      </c>
      <c r="C1601" s="111" t="s">
        <v>3</v>
      </c>
      <c r="E1601" s="111" t="s">
        <v>1947</v>
      </c>
      <c r="F1601" s="153">
        <v>-112.36</v>
      </c>
      <c r="G1601" s="135">
        <v>45835</v>
      </c>
      <c r="H1601" s="133" t="s">
        <v>66</v>
      </c>
      <c r="I1601" s="133" t="s">
        <v>119</v>
      </c>
      <c r="K1601" s="135">
        <v>45852</v>
      </c>
      <c r="M1601" s="111"/>
    </row>
    <row r="1602" spans="1:13" x14ac:dyDescent="0.35">
      <c r="A1602" s="109">
        <v>45839</v>
      </c>
      <c r="B1602" s="111" t="s">
        <v>65</v>
      </c>
      <c r="C1602" s="111" t="s">
        <v>3</v>
      </c>
      <c r="E1602" s="111" t="s">
        <v>1948</v>
      </c>
      <c r="F1602" s="153">
        <v>-142.53</v>
      </c>
      <c r="H1602" s="133" t="s">
        <v>66</v>
      </c>
      <c r="I1602" s="133" t="s">
        <v>168</v>
      </c>
      <c r="K1602" s="135">
        <v>45866</v>
      </c>
    </row>
    <row r="1603" spans="1:13" x14ac:dyDescent="0.35">
      <c r="A1603" s="109">
        <v>45842</v>
      </c>
      <c r="B1603" s="111" t="s">
        <v>65</v>
      </c>
      <c r="C1603" s="111" t="s">
        <v>3</v>
      </c>
      <c r="E1603" s="111" t="s">
        <v>1949</v>
      </c>
      <c r="F1603" s="153">
        <v>-157.66</v>
      </c>
      <c r="H1603" s="133" t="s">
        <v>66</v>
      </c>
      <c r="I1603" s="133" t="s">
        <v>119</v>
      </c>
      <c r="K1603" s="135">
        <v>45866</v>
      </c>
    </row>
    <row r="1604" spans="1:13" x14ac:dyDescent="0.35">
      <c r="A1604" s="109">
        <v>45847</v>
      </c>
      <c r="B1604" s="111" t="s">
        <v>65</v>
      </c>
      <c r="C1604" s="111" t="s">
        <v>3</v>
      </c>
      <c r="E1604" s="111" t="s">
        <v>1950</v>
      </c>
      <c r="F1604" s="153">
        <v>-1723.01</v>
      </c>
      <c r="H1604" s="133" t="s">
        <v>66</v>
      </c>
      <c r="I1604" s="133" t="s">
        <v>119</v>
      </c>
      <c r="K1604" s="135">
        <v>45866</v>
      </c>
    </row>
    <row r="1605" spans="1:13" x14ac:dyDescent="0.35">
      <c r="A1605" s="109">
        <v>45852</v>
      </c>
      <c r="B1605" s="111" t="s">
        <v>65</v>
      </c>
      <c r="C1605" s="111" t="s">
        <v>3</v>
      </c>
      <c r="E1605" s="111" t="s">
        <v>1951</v>
      </c>
      <c r="F1605" s="153">
        <v>-1054.1199999999999</v>
      </c>
      <c r="H1605" s="134" t="s">
        <v>66</v>
      </c>
      <c r="I1605" s="133" t="s">
        <v>119</v>
      </c>
      <c r="K1605" s="135">
        <v>45882</v>
      </c>
    </row>
    <row r="1606" spans="1:13" x14ac:dyDescent="0.35">
      <c r="A1606" s="109">
        <v>45854</v>
      </c>
      <c r="B1606" s="111" t="s">
        <v>65</v>
      </c>
      <c r="C1606" s="111" t="s">
        <v>3</v>
      </c>
      <c r="E1606" s="111" t="s">
        <v>1952</v>
      </c>
      <c r="F1606" s="153">
        <v>-30.21</v>
      </c>
      <c r="H1606" s="134" t="s">
        <v>66</v>
      </c>
      <c r="I1606" s="133" t="s">
        <v>119</v>
      </c>
      <c r="K1606" s="135">
        <v>45882</v>
      </c>
    </row>
    <row r="1607" spans="1:13" x14ac:dyDescent="0.35">
      <c r="A1607" s="109">
        <v>45863</v>
      </c>
      <c r="B1607" s="111" t="s">
        <v>65</v>
      </c>
      <c r="C1607" s="111" t="s">
        <v>3</v>
      </c>
      <c r="E1607" s="111" t="s">
        <v>1953</v>
      </c>
      <c r="F1607" s="153">
        <v>-971.28</v>
      </c>
      <c r="G1607" s="135">
        <v>45893</v>
      </c>
      <c r="H1607" s="133" t="s">
        <v>66</v>
      </c>
      <c r="I1607" s="133" t="s">
        <v>119</v>
      </c>
      <c r="K1607" s="135">
        <v>45882</v>
      </c>
    </row>
    <row r="1608" spans="1:13" x14ac:dyDescent="0.35">
      <c r="A1608" s="109">
        <v>45869</v>
      </c>
      <c r="B1608" s="111" t="s">
        <v>65</v>
      </c>
      <c r="C1608" s="121" t="s">
        <v>3</v>
      </c>
      <c r="E1608" s="121" t="s">
        <v>1954</v>
      </c>
      <c r="F1608" s="153">
        <v>-237.22</v>
      </c>
      <c r="G1608" s="135">
        <v>45899</v>
      </c>
      <c r="H1608" s="133" t="s">
        <v>66</v>
      </c>
      <c r="I1608" s="133" t="s">
        <v>119</v>
      </c>
      <c r="K1608" s="135">
        <v>45892</v>
      </c>
    </row>
    <row r="1609" spans="1:13" x14ac:dyDescent="0.35">
      <c r="A1609" s="109">
        <v>45866</v>
      </c>
      <c r="B1609" s="111" t="s">
        <v>65</v>
      </c>
      <c r="C1609" s="121" t="s">
        <v>3</v>
      </c>
      <c r="E1609" s="121" t="s">
        <v>1955</v>
      </c>
      <c r="F1609" s="153">
        <v>-1239.78</v>
      </c>
      <c r="G1609" s="135">
        <v>45896</v>
      </c>
      <c r="H1609" s="133" t="s">
        <v>66</v>
      </c>
      <c r="I1609" s="133" t="s">
        <v>119</v>
      </c>
      <c r="K1609" s="135">
        <v>45892</v>
      </c>
    </row>
    <row r="1610" spans="1:13" x14ac:dyDescent="0.35">
      <c r="A1610" s="109">
        <v>45866</v>
      </c>
      <c r="B1610" s="111" t="s">
        <v>65</v>
      </c>
      <c r="C1610" s="156" t="s">
        <v>78</v>
      </c>
      <c r="E1610" s="121" t="s">
        <v>1956</v>
      </c>
      <c r="F1610" s="185">
        <v>-10019.85</v>
      </c>
      <c r="G1610" s="135">
        <v>45898</v>
      </c>
      <c r="H1610" s="133" t="s">
        <v>447</v>
      </c>
      <c r="I1610" s="133" t="s">
        <v>119</v>
      </c>
      <c r="K1610" s="135">
        <v>45957</v>
      </c>
    </row>
    <row r="1611" spans="1:13" x14ac:dyDescent="0.35">
      <c r="A1611" s="109">
        <v>45866</v>
      </c>
      <c r="B1611" s="111" t="s">
        <v>65</v>
      </c>
      <c r="C1611" s="156" t="s">
        <v>78</v>
      </c>
      <c r="E1611" s="121" t="s">
        <v>1956</v>
      </c>
      <c r="F1611" s="185">
        <v>-10019.86</v>
      </c>
      <c r="G1611" s="135">
        <v>45898</v>
      </c>
      <c r="H1611" s="133" t="s">
        <v>447</v>
      </c>
      <c r="I1611" s="133" t="s">
        <v>119</v>
      </c>
      <c r="K1611" s="135">
        <v>45985</v>
      </c>
    </row>
    <row r="1612" spans="1:13" x14ac:dyDescent="0.35">
      <c r="A1612" s="109">
        <v>45873</v>
      </c>
      <c r="B1612" s="111" t="s">
        <v>65</v>
      </c>
      <c r="C1612" s="121" t="s">
        <v>3</v>
      </c>
      <c r="E1612" s="121" t="s">
        <v>1957</v>
      </c>
      <c r="F1612" s="153">
        <v>-961.38</v>
      </c>
      <c r="G1612" s="135">
        <v>45903</v>
      </c>
      <c r="H1612" s="133" t="s">
        <v>66</v>
      </c>
      <c r="I1612" s="133" t="s">
        <v>119</v>
      </c>
      <c r="K1612" s="135">
        <v>45892</v>
      </c>
    </row>
    <row r="1613" spans="1:13" x14ac:dyDescent="0.35">
      <c r="A1613" s="109">
        <v>45877</v>
      </c>
      <c r="B1613" s="111" t="s">
        <v>65</v>
      </c>
      <c r="C1613" s="121" t="s">
        <v>3</v>
      </c>
      <c r="E1613" s="121" t="s">
        <v>1958</v>
      </c>
      <c r="F1613" s="153">
        <v>-52.15</v>
      </c>
      <c r="G1613" s="135">
        <v>45907</v>
      </c>
      <c r="H1613" s="133" t="s">
        <v>66</v>
      </c>
      <c r="I1613" s="133" t="s">
        <v>119</v>
      </c>
      <c r="K1613" s="135">
        <v>45892</v>
      </c>
    </row>
    <row r="1614" spans="1:13" x14ac:dyDescent="0.35">
      <c r="A1614" s="109">
        <v>45882</v>
      </c>
      <c r="B1614" s="111" t="s">
        <v>65</v>
      </c>
      <c r="C1614" s="121" t="s">
        <v>3</v>
      </c>
      <c r="E1614" s="121" t="s">
        <v>1959</v>
      </c>
      <c r="F1614" s="153">
        <v>-2003.35</v>
      </c>
      <c r="H1614" s="133" t="s">
        <v>66</v>
      </c>
      <c r="I1614" s="133" t="s">
        <v>119</v>
      </c>
      <c r="K1614" s="135">
        <v>45912</v>
      </c>
    </row>
    <row r="1615" spans="1:13" x14ac:dyDescent="0.35">
      <c r="A1615" s="109">
        <v>45805</v>
      </c>
      <c r="B1615" s="111" t="s">
        <v>57</v>
      </c>
      <c r="C1615" s="222" t="s">
        <v>1960</v>
      </c>
      <c r="D1615" s="221" t="s">
        <v>55</v>
      </c>
      <c r="E1615" s="222" t="s">
        <v>1961</v>
      </c>
      <c r="F1615" s="194">
        <v>23.75</v>
      </c>
      <c r="G1615" s="209">
        <f>A1615+30</f>
        <v>45835</v>
      </c>
      <c r="H1615" s="134" t="s">
        <v>66</v>
      </c>
      <c r="I1615" s="133" t="s">
        <v>135</v>
      </c>
      <c r="K1615" s="135">
        <v>46003</v>
      </c>
      <c r="L1615" s="153">
        <f>F1615</f>
        <v>23.75</v>
      </c>
    </row>
    <row r="1616" spans="1:13" x14ac:dyDescent="0.35">
      <c r="A1616" s="109">
        <v>46031</v>
      </c>
      <c r="B1616" s="111" t="s">
        <v>57</v>
      </c>
      <c r="C1616" s="111" t="s">
        <v>1962</v>
      </c>
      <c r="E1616" s="111" t="s">
        <v>1963</v>
      </c>
      <c r="F1616" s="153">
        <v>3789.75</v>
      </c>
      <c r="G1616" s="135">
        <v>46039</v>
      </c>
      <c r="H1616" s="133" t="s">
        <v>59</v>
      </c>
      <c r="I1616" s="133" t="s">
        <v>135</v>
      </c>
      <c r="M1616" s="196" t="s">
        <v>1964</v>
      </c>
    </row>
    <row r="1617" spans="1:13" x14ac:dyDescent="0.35">
      <c r="A1617" s="109">
        <v>45965</v>
      </c>
      <c r="B1617" s="111" t="s">
        <v>57</v>
      </c>
      <c r="C1617" s="121" t="s">
        <v>25</v>
      </c>
      <c r="D1617" s="111" t="s">
        <v>715</v>
      </c>
      <c r="E1617" s="218" t="s">
        <v>1965</v>
      </c>
      <c r="F1617" s="153">
        <v>101.72</v>
      </c>
      <c r="G1617" s="135">
        <f>A1617+30</f>
        <v>45995</v>
      </c>
      <c r="H1617" s="133" t="s">
        <v>66</v>
      </c>
      <c r="I1617" s="133" t="s">
        <v>135</v>
      </c>
      <c r="K1617" s="135">
        <v>46069</v>
      </c>
    </row>
    <row r="1618" spans="1:13" x14ac:dyDescent="0.35">
      <c r="A1618" s="109">
        <v>45918</v>
      </c>
      <c r="B1618" s="121" t="s">
        <v>57</v>
      </c>
      <c r="C1618" s="121" t="s">
        <v>25</v>
      </c>
      <c r="D1618" s="121" t="s">
        <v>715</v>
      </c>
      <c r="F1618" s="153">
        <v>-67.37</v>
      </c>
      <c r="G1618" s="135">
        <f>A1618+30</f>
        <v>45948</v>
      </c>
      <c r="H1618" s="133" t="s">
        <v>66</v>
      </c>
      <c r="I1618" s="133" t="s">
        <v>135</v>
      </c>
      <c r="K1618" s="135">
        <v>46069</v>
      </c>
      <c r="M1618" s="186" t="s">
        <v>1966</v>
      </c>
    </row>
    <row r="1619" spans="1:13" x14ac:dyDescent="0.35">
      <c r="A1619" s="109">
        <v>46009</v>
      </c>
      <c r="B1619" s="121" t="s">
        <v>57</v>
      </c>
      <c r="C1619" s="121" t="s">
        <v>1967</v>
      </c>
      <c r="D1619" s="121" t="s">
        <v>1967</v>
      </c>
      <c r="E1619" s="121" t="s">
        <v>1968</v>
      </c>
      <c r="F1619" s="153">
        <v>58.8</v>
      </c>
      <c r="H1619" s="133" t="s">
        <v>66</v>
      </c>
      <c r="I1619" s="133" t="s">
        <v>135</v>
      </c>
      <c r="K1619" s="160">
        <v>46009</v>
      </c>
    </row>
    <row r="1620" spans="1:13" x14ac:dyDescent="0.35">
      <c r="A1620" s="109">
        <v>46009</v>
      </c>
      <c r="B1620" s="121" t="s">
        <v>57</v>
      </c>
      <c r="C1620" s="121" t="s">
        <v>1969</v>
      </c>
      <c r="D1620" s="121" t="s">
        <v>1969</v>
      </c>
      <c r="E1620" s="121" t="s">
        <v>1970</v>
      </c>
      <c r="F1620" s="153">
        <v>123.83</v>
      </c>
      <c r="H1620" s="133" t="s">
        <v>66</v>
      </c>
      <c r="I1620" s="133" t="s">
        <v>135</v>
      </c>
      <c r="K1620" s="160">
        <v>46009</v>
      </c>
    </row>
    <row r="1621" spans="1:13" x14ac:dyDescent="0.35">
      <c r="A1621" s="109">
        <v>45980</v>
      </c>
      <c r="B1621" s="111" t="s">
        <v>57</v>
      </c>
      <c r="C1621" s="111" t="s">
        <v>25</v>
      </c>
      <c r="D1621" s="111" t="s">
        <v>715</v>
      </c>
      <c r="E1621" s="111" t="s">
        <v>1971</v>
      </c>
      <c r="F1621" s="153">
        <v>107</v>
      </c>
      <c r="G1621" s="135">
        <f>A1621+30</f>
        <v>46010</v>
      </c>
      <c r="H1621" s="133" t="s">
        <v>66</v>
      </c>
      <c r="I1621" s="133" t="s">
        <v>135</v>
      </c>
      <c r="K1621" s="135">
        <v>46069</v>
      </c>
    </row>
    <row r="1622" spans="1:13" x14ac:dyDescent="0.35">
      <c r="A1622" s="109">
        <v>45889</v>
      </c>
      <c r="B1622" s="111" t="s">
        <v>65</v>
      </c>
      <c r="C1622" s="111" t="s">
        <v>3</v>
      </c>
      <c r="E1622" s="111" t="s">
        <v>1972</v>
      </c>
      <c r="F1622" s="153">
        <v>-900.43</v>
      </c>
      <c r="G1622" s="135">
        <v>45919</v>
      </c>
      <c r="H1622" s="133" t="s">
        <v>66</v>
      </c>
      <c r="I1622" s="133" t="s">
        <v>119</v>
      </c>
      <c r="K1622" s="135">
        <v>45918</v>
      </c>
    </row>
    <row r="1623" spans="1:13" x14ac:dyDescent="0.35">
      <c r="A1623" s="109">
        <v>45888</v>
      </c>
      <c r="B1623" s="111" t="s">
        <v>65</v>
      </c>
      <c r="C1623" s="111" t="s">
        <v>3</v>
      </c>
      <c r="E1623" s="111" t="s">
        <v>1973</v>
      </c>
      <c r="F1623" s="153">
        <v>-142.53</v>
      </c>
      <c r="G1623" s="135">
        <v>45918</v>
      </c>
      <c r="H1623" s="133" t="s">
        <v>66</v>
      </c>
      <c r="I1623" s="133" t="s">
        <v>170</v>
      </c>
      <c r="K1623" s="135">
        <v>45918</v>
      </c>
    </row>
    <row r="1624" spans="1:13" x14ac:dyDescent="0.35">
      <c r="A1624" s="109">
        <v>45888</v>
      </c>
      <c r="B1624" s="111" t="s">
        <v>65</v>
      </c>
      <c r="C1624" s="111" t="s">
        <v>3</v>
      </c>
      <c r="E1624" s="111" t="s">
        <v>1974</v>
      </c>
      <c r="F1624" s="153">
        <v>-674.1</v>
      </c>
      <c r="G1624" s="135">
        <v>45918</v>
      </c>
      <c r="H1624" s="133" t="s">
        <v>66</v>
      </c>
      <c r="I1624" s="133" t="s">
        <v>119</v>
      </c>
      <c r="K1624" s="135">
        <v>45918</v>
      </c>
    </row>
    <row r="1625" spans="1:13" x14ac:dyDescent="0.35">
      <c r="A1625" s="109">
        <v>45888</v>
      </c>
      <c r="B1625" s="111" t="s">
        <v>65</v>
      </c>
      <c r="C1625" s="111" t="s">
        <v>3</v>
      </c>
      <c r="E1625" s="111" t="s">
        <v>1975</v>
      </c>
      <c r="F1625" s="153">
        <v>-178.45</v>
      </c>
      <c r="G1625" s="135">
        <v>45918</v>
      </c>
      <c r="H1625" s="133" t="s">
        <v>66</v>
      </c>
      <c r="I1625" s="133" t="s">
        <v>119</v>
      </c>
      <c r="K1625" s="135">
        <v>45918</v>
      </c>
    </row>
    <row r="1626" spans="1:13" x14ac:dyDescent="0.35">
      <c r="A1626" s="109">
        <v>45895</v>
      </c>
      <c r="B1626" s="111" t="s">
        <v>65</v>
      </c>
      <c r="C1626" s="111" t="s">
        <v>3</v>
      </c>
      <c r="E1626" s="111" t="s">
        <v>1976</v>
      </c>
      <c r="F1626" s="153">
        <v>-1094.75</v>
      </c>
      <c r="G1626" s="135">
        <v>45925</v>
      </c>
      <c r="H1626" s="134" t="s">
        <v>66</v>
      </c>
      <c r="I1626" s="133" t="s">
        <v>119</v>
      </c>
      <c r="K1626" s="135">
        <v>45922</v>
      </c>
    </row>
    <row r="1627" spans="1:13" x14ac:dyDescent="0.35">
      <c r="A1627" s="109">
        <v>45903</v>
      </c>
      <c r="B1627" s="111" t="s">
        <v>65</v>
      </c>
      <c r="C1627" s="111" t="s">
        <v>3</v>
      </c>
      <c r="E1627" s="121" t="s">
        <v>1977</v>
      </c>
      <c r="F1627" s="153">
        <v>-862.48</v>
      </c>
      <c r="G1627" s="135">
        <f t="shared" ref="G1627:G1640" si="72">A1627+30</f>
        <v>45933</v>
      </c>
      <c r="H1627" s="200" t="s">
        <v>66</v>
      </c>
      <c r="I1627" s="133" t="s">
        <v>119</v>
      </c>
      <c r="K1627" s="135">
        <v>45936</v>
      </c>
      <c r="M1627" s="196">
        <v>86</v>
      </c>
    </row>
    <row r="1628" spans="1:13" x14ac:dyDescent="0.35">
      <c r="A1628" s="109">
        <v>45903</v>
      </c>
      <c r="B1628" s="111" t="s">
        <v>65</v>
      </c>
      <c r="C1628" s="111" t="s">
        <v>3</v>
      </c>
      <c r="E1628" s="121" t="s">
        <v>1978</v>
      </c>
      <c r="F1628" s="153">
        <v>-142.53</v>
      </c>
      <c r="G1628" s="135">
        <f t="shared" si="72"/>
        <v>45933</v>
      </c>
      <c r="H1628" s="200" t="s">
        <v>66</v>
      </c>
      <c r="I1628" s="133" t="s">
        <v>119</v>
      </c>
      <c r="K1628" s="135">
        <v>45936</v>
      </c>
      <c r="M1628" s="186" t="s">
        <v>1979</v>
      </c>
    </row>
    <row r="1629" spans="1:13" x14ac:dyDescent="0.35">
      <c r="A1629" s="109">
        <v>45904</v>
      </c>
      <c r="B1629" s="111" t="s">
        <v>65</v>
      </c>
      <c r="C1629" s="111" t="s">
        <v>3</v>
      </c>
      <c r="E1629" s="121" t="s">
        <v>1980</v>
      </c>
      <c r="F1629" s="153">
        <v>-178.45</v>
      </c>
      <c r="G1629" s="135">
        <f t="shared" si="72"/>
        <v>45934</v>
      </c>
      <c r="H1629" s="200" t="s">
        <v>66</v>
      </c>
      <c r="I1629" s="133" t="s">
        <v>119</v>
      </c>
      <c r="K1629" s="135">
        <v>45936</v>
      </c>
    </row>
    <row r="1630" spans="1:13" x14ac:dyDescent="0.35">
      <c r="A1630" s="109">
        <v>45905</v>
      </c>
      <c r="B1630" s="111" t="s">
        <v>65</v>
      </c>
      <c r="C1630" s="111" t="s">
        <v>3</v>
      </c>
      <c r="E1630" s="121" t="s">
        <v>1981</v>
      </c>
      <c r="F1630" s="153">
        <v>-94.91</v>
      </c>
      <c r="G1630" s="135">
        <f t="shared" si="72"/>
        <v>45935</v>
      </c>
      <c r="H1630" s="200" t="s">
        <v>66</v>
      </c>
      <c r="I1630" s="133" t="s">
        <v>119</v>
      </c>
      <c r="K1630" s="135">
        <v>45936</v>
      </c>
    </row>
    <row r="1631" spans="1:13" x14ac:dyDescent="0.35">
      <c r="A1631" s="109">
        <v>45909</v>
      </c>
      <c r="B1631" s="111" t="s">
        <v>65</v>
      </c>
      <c r="C1631" s="111" t="s">
        <v>3</v>
      </c>
      <c r="E1631" s="121" t="s">
        <v>1982</v>
      </c>
      <c r="F1631" s="153">
        <v>-533.49</v>
      </c>
      <c r="G1631" s="135">
        <f t="shared" si="72"/>
        <v>45939</v>
      </c>
      <c r="H1631" s="200" t="s">
        <v>66</v>
      </c>
      <c r="I1631" s="133" t="s">
        <v>119</v>
      </c>
      <c r="K1631" s="135">
        <v>45936</v>
      </c>
    </row>
    <row r="1632" spans="1:13" x14ac:dyDescent="0.35">
      <c r="A1632" s="109">
        <v>45873</v>
      </c>
      <c r="B1632" s="121" t="s">
        <v>65</v>
      </c>
      <c r="C1632" s="121" t="s">
        <v>3</v>
      </c>
      <c r="E1632" s="121" t="s">
        <v>1983</v>
      </c>
      <c r="F1632" s="153">
        <v>-1694.58</v>
      </c>
      <c r="G1632" s="135">
        <f t="shared" si="72"/>
        <v>45903</v>
      </c>
      <c r="H1632" s="133" t="s">
        <v>66</v>
      </c>
      <c r="I1632" s="134" t="s">
        <v>145</v>
      </c>
      <c r="K1632" s="135">
        <v>45950</v>
      </c>
    </row>
    <row r="1633" spans="1:13" x14ac:dyDescent="0.35">
      <c r="A1633" s="109">
        <v>45916</v>
      </c>
      <c r="B1633" s="111" t="s">
        <v>65</v>
      </c>
      <c r="C1633" s="111" t="s">
        <v>3</v>
      </c>
      <c r="E1633" s="111" t="s">
        <v>1984</v>
      </c>
      <c r="F1633" s="153">
        <v>-759.72</v>
      </c>
      <c r="G1633" s="135">
        <f t="shared" si="72"/>
        <v>45946</v>
      </c>
      <c r="H1633" s="134" t="s">
        <v>66</v>
      </c>
      <c r="I1633" s="133" t="s">
        <v>119</v>
      </c>
      <c r="K1633" s="135">
        <v>45950</v>
      </c>
    </row>
    <row r="1634" spans="1:13" x14ac:dyDescent="0.35">
      <c r="A1634" s="109">
        <v>45923</v>
      </c>
      <c r="B1634" s="111" t="s">
        <v>65</v>
      </c>
      <c r="C1634" s="111" t="s">
        <v>3</v>
      </c>
      <c r="E1634" s="111" t="s">
        <v>1985</v>
      </c>
      <c r="F1634" s="153">
        <v>-521.88</v>
      </c>
      <c r="G1634" s="135">
        <f t="shared" si="72"/>
        <v>45953</v>
      </c>
      <c r="H1634" s="134" t="s">
        <v>66</v>
      </c>
      <c r="I1634" s="134" t="s">
        <v>145</v>
      </c>
      <c r="K1634" s="135">
        <v>45953</v>
      </c>
    </row>
    <row r="1635" spans="1:13" x14ac:dyDescent="0.35">
      <c r="A1635" s="109">
        <v>45931</v>
      </c>
      <c r="B1635" s="121" t="s">
        <v>65</v>
      </c>
      <c r="C1635" s="121" t="s">
        <v>3</v>
      </c>
      <c r="E1635" s="121" t="s">
        <v>1986</v>
      </c>
      <c r="F1635" s="153">
        <v>-1009.58</v>
      </c>
      <c r="G1635" s="135">
        <f t="shared" si="72"/>
        <v>45961</v>
      </c>
      <c r="H1635" s="134" t="s">
        <v>66</v>
      </c>
      <c r="I1635" s="134" t="s">
        <v>145</v>
      </c>
      <c r="K1635" s="135">
        <v>45961</v>
      </c>
    </row>
    <row r="1636" spans="1:13" x14ac:dyDescent="0.35">
      <c r="A1636" s="109">
        <v>45937</v>
      </c>
      <c r="B1636" s="121" t="s">
        <v>65</v>
      </c>
      <c r="C1636" s="121" t="s">
        <v>3</v>
      </c>
      <c r="E1636" s="121" t="s">
        <v>1987</v>
      </c>
      <c r="F1636" s="153">
        <v>-578.24</v>
      </c>
      <c r="G1636" s="135">
        <f t="shared" si="72"/>
        <v>45967</v>
      </c>
      <c r="H1636" s="133" t="s">
        <v>66</v>
      </c>
      <c r="I1636" s="134" t="s">
        <v>145</v>
      </c>
      <c r="K1636" s="135">
        <v>45967</v>
      </c>
    </row>
    <row r="1637" spans="1:13" x14ac:dyDescent="0.35">
      <c r="A1637" s="109">
        <v>45937</v>
      </c>
      <c r="B1637" s="121" t="s">
        <v>65</v>
      </c>
      <c r="C1637" s="121" t="s">
        <v>3</v>
      </c>
      <c r="E1637" s="121" t="s">
        <v>1988</v>
      </c>
      <c r="F1637" s="153">
        <v>-275.48</v>
      </c>
      <c r="G1637" s="135">
        <f t="shared" si="72"/>
        <v>45967</v>
      </c>
      <c r="H1637" s="133" t="s">
        <v>66</v>
      </c>
      <c r="I1637" s="134" t="s">
        <v>145</v>
      </c>
      <c r="K1637" s="135">
        <v>45967</v>
      </c>
    </row>
    <row r="1638" spans="1:13" x14ac:dyDescent="0.35">
      <c r="A1638" s="109">
        <v>45930</v>
      </c>
      <c r="B1638" s="121" t="s">
        <v>65</v>
      </c>
      <c r="C1638" s="199" t="s">
        <v>78</v>
      </c>
      <c r="E1638" s="121" t="s">
        <v>1989</v>
      </c>
      <c r="F1638" s="153">
        <v>-2015.02</v>
      </c>
      <c r="G1638" s="135">
        <f t="shared" si="72"/>
        <v>45960</v>
      </c>
      <c r="H1638" s="134" t="s">
        <v>1354</v>
      </c>
      <c r="I1638" s="134" t="s">
        <v>633</v>
      </c>
      <c r="K1638" s="135">
        <v>46139</v>
      </c>
      <c r="M1638" s="186" t="s">
        <v>1990</v>
      </c>
    </row>
    <row r="1639" spans="1:13" x14ac:dyDescent="0.35">
      <c r="A1639" s="109">
        <v>45940</v>
      </c>
      <c r="B1639" s="111" t="s">
        <v>65</v>
      </c>
      <c r="C1639" s="111" t="s">
        <v>3</v>
      </c>
      <c r="E1639" s="121" t="s">
        <v>1991</v>
      </c>
      <c r="F1639" s="153">
        <v>-91.64</v>
      </c>
      <c r="G1639" s="135">
        <f t="shared" si="72"/>
        <v>45970</v>
      </c>
      <c r="H1639" s="133" t="s">
        <v>66</v>
      </c>
      <c r="I1639" s="133" t="s">
        <v>145</v>
      </c>
      <c r="K1639" s="135">
        <v>45967</v>
      </c>
    </row>
    <row r="1640" spans="1:13" x14ac:dyDescent="0.35">
      <c r="A1640" s="109">
        <v>45944</v>
      </c>
      <c r="B1640" s="121" t="s">
        <v>65</v>
      </c>
      <c r="C1640" s="121" t="s">
        <v>3</v>
      </c>
      <c r="E1640" s="121" t="s">
        <v>1992</v>
      </c>
      <c r="F1640" s="153">
        <v>-754.11</v>
      </c>
      <c r="G1640" s="135">
        <f t="shared" si="72"/>
        <v>45974</v>
      </c>
      <c r="H1640" s="134" t="s">
        <v>66</v>
      </c>
      <c r="I1640" s="134" t="s">
        <v>145</v>
      </c>
      <c r="K1640" s="135">
        <v>45974</v>
      </c>
      <c r="M1640" s="196" t="s">
        <v>1993</v>
      </c>
    </row>
    <row r="1641" spans="1:13" x14ac:dyDescent="0.35">
      <c r="A1641" s="109">
        <v>45951</v>
      </c>
      <c r="B1641" s="111" t="s">
        <v>65</v>
      </c>
      <c r="C1641" s="111" t="s">
        <v>3</v>
      </c>
      <c r="E1641" s="218" t="s">
        <v>1994</v>
      </c>
      <c r="F1641" s="153">
        <v>-233.42</v>
      </c>
      <c r="G1641" s="135">
        <v>45981</v>
      </c>
      <c r="H1641" s="134" t="s">
        <v>66</v>
      </c>
      <c r="I1641" s="133" t="s">
        <v>145</v>
      </c>
      <c r="K1641" s="135">
        <v>45980</v>
      </c>
    </row>
    <row r="1642" spans="1:13" x14ac:dyDescent="0.35">
      <c r="A1642" s="109">
        <v>45952</v>
      </c>
      <c r="B1642" s="111" t="s">
        <v>65</v>
      </c>
      <c r="C1642" s="111" t="s">
        <v>3</v>
      </c>
      <c r="E1642" s="111" t="s">
        <v>1995</v>
      </c>
      <c r="F1642" s="153">
        <v>-1789.83</v>
      </c>
      <c r="G1642" s="135">
        <f>A1642+30</f>
        <v>45982</v>
      </c>
      <c r="H1642" s="133" t="s">
        <v>66</v>
      </c>
      <c r="I1642" s="133" t="s">
        <v>145</v>
      </c>
      <c r="K1642" s="135">
        <v>45982</v>
      </c>
    </row>
    <row r="1643" spans="1:13" x14ac:dyDescent="0.35">
      <c r="A1643" s="109">
        <v>45959</v>
      </c>
      <c r="B1643" s="111" t="s">
        <v>65</v>
      </c>
      <c r="C1643" s="111" t="s">
        <v>3</v>
      </c>
      <c r="E1643" s="111" t="s">
        <v>1996</v>
      </c>
      <c r="F1643" s="225">
        <v>-94.98</v>
      </c>
      <c r="G1643" s="226">
        <v>45989</v>
      </c>
      <c r="H1643" s="133" t="s">
        <v>66</v>
      </c>
      <c r="I1643" s="133" t="s">
        <v>145</v>
      </c>
      <c r="K1643" s="226">
        <v>45988</v>
      </c>
    </row>
    <row r="1644" spans="1:13" x14ac:dyDescent="0.35">
      <c r="A1644" s="109">
        <v>46014</v>
      </c>
      <c r="B1644" s="121" t="s">
        <v>57</v>
      </c>
      <c r="C1644" s="140" t="s">
        <v>20</v>
      </c>
      <c r="D1644" s="121" t="s">
        <v>1200</v>
      </c>
      <c r="E1644" s="121" t="s">
        <v>1997</v>
      </c>
      <c r="F1644" s="153">
        <v>65.31</v>
      </c>
      <c r="H1644" s="133" t="s">
        <v>66</v>
      </c>
      <c r="I1644" s="133" t="s">
        <v>135</v>
      </c>
      <c r="K1644" s="160">
        <v>46021</v>
      </c>
    </row>
    <row r="1645" spans="1:13" x14ac:dyDescent="0.35">
      <c r="A1645" s="109">
        <v>45995</v>
      </c>
      <c r="B1645" s="111" t="s">
        <v>57</v>
      </c>
      <c r="C1645" s="111" t="s">
        <v>25</v>
      </c>
      <c r="D1645" s="111" t="s">
        <v>715</v>
      </c>
      <c r="E1645" s="121" t="s">
        <v>1998</v>
      </c>
      <c r="F1645" s="153">
        <v>153.80000000000001</v>
      </c>
      <c r="G1645" s="135">
        <f>A1645+30</f>
        <v>46025</v>
      </c>
      <c r="H1645" s="133" t="s">
        <v>66</v>
      </c>
      <c r="I1645" s="133" t="s">
        <v>135</v>
      </c>
      <c r="K1645" s="135">
        <v>46069</v>
      </c>
    </row>
    <row r="1646" spans="1:13" x14ac:dyDescent="0.35">
      <c r="A1646" s="109">
        <v>45973</v>
      </c>
      <c r="B1646" s="111" t="s">
        <v>57</v>
      </c>
      <c r="C1646" s="111" t="s">
        <v>1999</v>
      </c>
      <c r="E1646" s="111" t="s">
        <v>2000</v>
      </c>
      <c r="F1646" s="153">
        <v>27.57</v>
      </c>
      <c r="G1646" s="135">
        <v>46003</v>
      </c>
      <c r="H1646" s="133" t="s">
        <v>66</v>
      </c>
      <c r="I1646" s="133" t="s">
        <v>135</v>
      </c>
      <c r="K1646" s="135">
        <v>45974</v>
      </c>
    </row>
    <row r="1647" spans="1:13" x14ac:dyDescent="0.35">
      <c r="A1647" s="109">
        <v>45958</v>
      </c>
      <c r="B1647" s="111" t="s">
        <v>65</v>
      </c>
      <c r="C1647" s="111" t="s">
        <v>3</v>
      </c>
      <c r="E1647" s="111" t="s">
        <v>2001</v>
      </c>
      <c r="F1647" s="225">
        <v>-205.2</v>
      </c>
      <c r="G1647" s="226">
        <v>45988</v>
      </c>
      <c r="H1647" s="133" t="s">
        <v>66</v>
      </c>
      <c r="I1647" s="133" t="s">
        <v>145</v>
      </c>
      <c r="K1647" s="226">
        <v>45988</v>
      </c>
    </row>
    <row r="1648" spans="1:13" x14ac:dyDescent="0.35">
      <c r="A1648" s="109">
        <v>45958</v>
      </c>
      <c r="B1648" s="111" t="s">
        <v>65</v>
      </c>
      <c r="C1648" s="111" t="s">
        <v>3</v>
      </c>
      <c r="E1648" s="111" t="s">
        <v>2002</v>
      </c>
      <c r="F1648" s="225">
        <v>-492</v>
      </c>
      <c r="G1648" s="226">
        <v>45988</v>
      </c>
      <c r="H1648" s="133" t="s">
        <v>66</v>
      </c>
      <c r="I1648" s="133" t="s">
        <v>170</v>
      </c>
      <c r="K1648" s="226">
        <v>45988</v>
      </c>
    </row>
    <row r="1649" spans="1:13" x14ac:dyDescent="0.35">
      <c r="A1649" s="109">
        <v>45958</v>
      </c>
      <c r="B1649" s="111" t="s">
        <v>65</v>
      </c>
      <c r="C1649" s="111" t="s">
        <v>3</v>
      </c>
      <c r="E1649" s="111" t="s">
        <v>2003</v>
      </c>
      <c r="F1649" s="225">
        <v>-295.2</v>
      </c>
      <c r="G1649" s="226">
        <v>45988</v>
      </c>
      <c r="H1649" s="133" t="s">
        <v>66</v>
      </c>
      <c r="I1649" s="133" t="s">
        <v>145</v>
      </c>
      <c r="K1649" s="226">
        <v>45988</v>
      </c>
    </row>
    <row r="1650" spans="1:13" x14ac:dyDescent="0.35">
      <c r="A1650" s="109">
        <v>45965</v>
      </c>
      <c r="B1650" s="111" t="s">
        <v>65</v>
      </c>
      <c r="C1650" s="111" t="s">
        <v>3</v>
      </c>
      <c r="E1650" s="111" t="s">
        <v>2004</v>
      </c>
      <c r="F1650" s="225">
        <v>-159.88999999999999</v>
      </c>
      <c r="G1650" s="226">
        <v>45988</v>
      </c>
      <c r="H1650" s="133" t="s">
        <v>66</v>
      </c>
      <c r="I1650" s="133" t="s">
        <v>145</v>
      </c>
      <c r="K1650" s="226">
        <v>45988</v>
      </c>
    </row>
    <row r="1651" spans="1:13" x14ac:dyDescent="0.35">
      <c r="A1651" s="109">
        <v>45973</v>
      </c>
      <c r="B1651" s="121" t="s">
        <v>65</v>
      </c>
      <c r="C1651" s="111" t="s">
        <v>3</v>
      </c>
      <c r="E1651" s="111" t="s">
        <v>2005</v>
      </c>
      <c r="F1651" s="153">
        <v>-233.92</v>
      </c>
      <c r="G1651" s="135">
        <v>46003</v>
      </c>
      <c r="H1651" s="133" t="s">
        <v>66</v>
      </c>
      <c r="I1651" s="133" t="s">
        <v>145</v>
      </c>
      <c r="K1651" s="160">
        <v>46003</v>
      </c>
    </row>
    <row r="1652" spans="1:13" x14ac:dyDescent="0.35">
      <c r="A1652" s="109">
        <v>45979</v>
      </c>
      <c r="B1652" s="111" t="s">
        <v>65</v>
      </c>
      <c r="C1652" s="111" t="s">
        <v>3</v>
      </c>
      <c r="E1652" s="111" t="s">
        <v>2006</v>
      </c>
      <c r="F1652" s="153">
        <v>-234.36</v>
      </c>
      <c r="G1652" s="135">
        <v>46009</v>
      </c>
      <c r="H1652" s="133" t="s">
        <v>66</v>
      </c>
      <c r="I1652" s="133" t="s">
        <v>2007</v>
      </c>
      <c r="K1652" s="160">
        <v>46003</v>
      </c>
    </row>
    <row r="1653" spans="1:13" x14ac:dyDescent="0.35">
      <c r="A1653" s="109">
        <v>45985</v>
      </c>
      <c r="B1653" s="111" t="s">
        <v>65</v>
      </c>
      <c r="C1653" s="111" t="s">
        <v>3</v>
      </c>
      <c r="E1653" s="218" t="s">
        <v>2008</v>
      </c>
      <c r="F1653" s="153">
        <v>-218.46</v>
      </c>
      <c r="G1653" s="135">
        <v>46015</v>
      </c>
      <c r="H1653" s="134" t="s">
        <v>66</v>
      </c>
      <c r="I1653" s="133" t="s">
        <v>145</v>
      </c>
      <c r="K1653" s="160">
        <v>46015</v>
      </c>
      <c r="M1653" s="204"/>
    </row>
    <row r="1654" spans="1:13" s="220" customFormat="1" x14ac:dyDescent="0.35">
      <c r="A1654" s="109">
        <v>46002</v>
      </c>
      <c r="B1654" s="111" t="s">
        <v>65</v>
      </c>
      <c r="C1654" s="111" t="s">
        <v>3</v>
      </c>
      <c r="D1654" s="111"/>
      <c r="E1654" s="111" t="s">
        <v>2009</v>
      </c>
      <c r="F1654" s="153">
        <v>-317.52</v>
      </c>
      <c r="G1654" s="135">
        <v>46032</v>
      </c>
      <c r="H1654" s="133" t="s">
        <v>66</v>
      </c>
      <c r="I1654" s="133" t="s">
        <v>2010</v>
      </c>
      <c r="J1654" s="111"/>
      <c r="K1654" s="160">
        <v>46038</v>
      </c>
      <c r="L1654" s="111"/>
      <c r="M1654" s="196"/>
    </row>
    <row r="1655" spans="1:13" x14ac:dyDescent="0.35">
      <c r="A1655" s="109">
        <v>45657</v>
      </c>
      <c r="B1655" s="121" t="s">
        <v>57</v>
      </c>
      <c r="C1655" s="111" t="s">
        <v>2011</v>
      </c>
      <c r="D1655" s="111" t="s">
        <v>2012</v>
      </c>
      <c r="E1655" s="76" t="s">
        <v>2013</v>
      </c>
      <c r="F1655" s="151">
        <v>77.81</v>
      </c>
      <c r="G1655" s="135">
        <f>A1655+30</f>
        <v>45687</v>
      </c>
      <c r="H1655" s="133" t="s">
        <v>66</v>
      </c>
      <c r="I1655" s="133" t="s">
        <v>135</v>
      </c>
      <c r="K1655" s="135">
        <v>45952</v>
      </c>
      <c r="L1655" s="153">
        <f t="shared" ref="L1655:L1660" si="73">F1655</f>
        <v>77.81</v>
      </c>
      <c r="M1655" s="196">
        <v>507534620</v>
      </c>
    </row>
    <row r="1656" spans="1:13" x14ac:dyDescent="0.35">
      <c r="A1656" s="176">
        <v>45700</v>
      </c>
      <c r="B1656" s="140" t="s">
        <v>57</v>
      </c>
      <c r="C1656" s="140" t="s">
        <v>42</v>
      </c>
      <c r="D1656" s="140" t="s">
        <v>2014</v>
      </c>
      <c r="E1656" s="76" t="s">
        <v>2015</v>
      </c>
      <c r="F1656" s="174">
        <v>624</v>
      </c>
      <c r="G1656" s="177">
        <v>45727</v>
      </c>
      <c r="H1656" s="133" t="s">
        <v>66</v>
      </c>
      <c r="I1656" s="133" t="s">
        <v>135</v>
      </c>
      <c r="K1656" s="135">
        <v>45723</v>
      </c>
      <c r="L1656" s="153">
        <f t="shared" si="73"/>
        <v>624</v>
      </c>
      <c r="M1656" s="111">
        <v>509388388</v>
      </c>
    </row>
    <row r="1657" spans="1:13" x14ac:dyDescent="0.35">
      <c r="A1657" s="109">
        <v>45512</v>
      </c>
      <c r="B1657" s="121" t="s">
        <v>57</v>
      </c>
      <c r="C1657" s="111" t="s">
        <v>2016</v>
      </c>
      <c r="D1657" s="111" t="s">
        <v>2017</v>
      </c>
      <c r="E1657" s="111" t="s">
        <v>2018</v>
      </c>
      <c r="F1657" s="149">
        <v>425.5</v>
      </c>
      <c r="G1657" s="135">
        <f>A1657+30</f>
        <v>45542</v>
      </c>
      <c r="H1657" s="133" t="s">
        <v>66</v>
      </c>
      <c r="I1657" s="133" t="s">
        <v>232</v>
      </c>
      <c r="K1657" s="135"/>
      <c r="L1657" s="153">
        <f t="shared" si="73"/>
        <v>425.5</v>
      </c>
      <c r="M1657" s="111">
        <v>509388388</v>
      </c>
    </row>
    <row r="1658" spans="1:13" x14ac:dyDescent="0.35">
      <c r="A1658" s="109">
        <v>45628</v>
      </c>
      <c r="B1658" s="121" t="s">
        <v>57</v>
      </c>
      <c r="C1658" s="111" t="s">
        <v>3</v>
      </c>
      <c r="E1658" s="111" t="s">
        <v>2019</v>
      </c>
      <c r="F1658" s="149">
        <v>135.15</v>
      </c>
      <c r="G1658" s="135">
        <f>IF(OR(C1658="Matosinhos",C1658="Bolhão"),A1658,A1658+30)</f>
        <v>45658</v>
      </c>
      <c r="H1658" s="133" t="s">
        <v>66</v>
      </c>
      <c r="K1658" s="135">
        <v>45670</v>
      </c>
      <c r="L1658" s="153">
        <f t="shared" si="73"/>
        <v>135.15</v>
      </c>
      <c r="M1658" s="111" t="s">
        <v>1903</v>
      </c>
    </row>
    <row r="1659" spans="1:13" x14ac:dyDescent="0.35">
      <c r="A1659" s="109">
        <v>45723</v>
      </c>
      <c r="B1659" s="111" t="s">
        <v>57</v>
      </c>
      <c r="C1659" s="111" t="s">
        <v>3</v>
      </c>
      <c r="E1659" s="111" t="s">
        <v>446</v>
      </c>
      <c r="F1659" s="153">
        <v>81.93</v>
      </c>
      <c r="G1659" s="135"/>
      <c r="H1659" s="133" t="s">
        <v>66</v>
      </c>
      <c r="I1659" s="133" t="s">
        <v>119</v>
      </c>
      <c r="K1659" s="135">
        <v>45758</v>
      </c>
      <c r="L1659" s="153">
        <f t="shared" si="73"/>
        <v>81.93</v>
      </c>
      <c r="M1659" s="111"/>
    </row>
    <row r="1660" spans="1:13" x14ac:dyDescent="0.35">
      <c r="A1660" s="109">
        <v>45646</v>
      </c>
      <c r="B1660" s="121" t="s">
        <v>57</v>
      </c>
      <c r="C1660" s="111" t="s">
        <v>29</v>
      </c>
      <c r="D1660" s="111" t="s">
        <v>2020</v>
      </c>
      <c r="E1660" s="111" t="s">
        <v>2021</v>
      </c>
      <c r="F1660" s="149">
        <v>141.22999999999999</v>
      </c>
      <c r="G1660" s="135">
        <f>IF(OR(C1660="Matosinhos",C1660="Bolhão"),A1660,A1660+30)</f>
        <v>45676</v>
      </c>
      <c r="H1660" s="133" t="s">
        <v>66</v>
      </c>
      <c r="I1660" s="133" t="s">
        <v>135</v>
      </c>
      <c r="K1660" s="135">
        <v>45769</v>
      </c>
      <c r="L1660" s="153">
        <f t="shared" si="73"/>
        <v>141.22999999999999</v>
      </c>
      <c r="M1660" s="111">
        <v>517537435</v>
      </c>
    </row>
    <row r="1661" spans="1:13" x14ac:dyDescent="0.35">
      <c r="A1661" s="176">
        <v>46008</v>
      </c>
      <c r="B1661" s="140" t="s">
        <v>65</v>
      </c>
      <c r="C1661" s="140" t="s">
        <v>3</v>
      </c>
      <c r="D1661" s="140"/>
      <c r="E1661" s="252" t="s">
        <v>2022</v>
      </c>
      <c r="F1661" s="174">
        <v>-260.72000000000003</v>
      </c>
      <c r="G1661" s="177">
        <v>46038</v>
      </c>
      <c r="H1661" s="142" t="s">
        <v>66</v>
      </c>
      <c r="I1661" s="142" t="s">
        <v>145</v>
      </c>
      <c r="K1661" s="160">
        <v>46038</v>
      </c>
    </row>
    <row r="1662" spans="1:13" x14ac:dyDescent="0.35">
      <c r="A1662" s="109">
        <v>46053</v>
      </c>
      <c r="B1662" s="111" t="s">
        <v>65</v>
      </c>
      <c r="C1662" s="121" t="s">
        <v>78</v>
      </c>
      <c r="E1662" s="121" t="s">
        <v>763</v>
      </c>
      <c r="F1662" s="153">
        <v>-7020</v>
      </c>
      <c r="G1662" s="135">
        <f>A1662+30</f>
        <v>46083</v>
      </c>
      <c r="H1662" s="133" t="s">
        <v>59</v>
      </c>
      <c r="I1662" s="134" t="s">
        <v>145</v>
      </c>
    </row>
    <row r="1663" spans="1:13" x14ac:dyDescent="0.35">
      <c r="A1663" s="109">
        <v>46053</v>
      </c>
      <c r="B1663" s="111" t="s">
        <v>65</v>
      </c>
      <c r="C1663" s="121" t="s">
        <v>78</v>
      </c>
      <c r="E1663" s="121" t="s">
        <v>2023</v>
      </c>
      <c r="F1663" s="153">
        <v>-508.13</v>
      </c>
      <c r="G1663" s="135">
        <f>A1663+30</f>
        <v>46083</v>
      </c>
      <c r="H1663" s="133" t="s">
        <v>59</v>
      </c>
      <c r="I1663" s="134" t="s">
        <v>145</v>
      </c>
    </row>
    <row r="1664" spans="1:13" x14ac:dyDescent="0.35">
      <c r="A1664" s="109">
        <v>46092</v>
      </c>
      <c r="B1664" s="111" t="s">
        <v>65</v>
      </c>
      <c r="C1664" s="111" t="s">
        <v>41</v>
      </c>
      <c r="F1664" s="153">
        <v>-51</v>
      </c>
      <c r="G1664" s="135">
        <v>46101</v>
      </c>
      <c r="H1664" s="133" t="s">
        <v>66</v>
      </c>
      <c r="K1664" s="135">
        <v>46101</v>
      </c>
      <c r="M1664" s="260" t="s">
        <v>2024</v>
      </c>
    </row>
    <row r="1665" spans="1:13" x14ac:dyDescent="0.35">
      <c r="A1665" s="109">
        <v>46092</v>
      </c>
      <c r="B1665" s="111" t="s">
        <v>65</v>
      </c>
      <c r="C1665" s="111" t="s">
        <v>46</v>
      </c>
      <c r="F1665" s="153">
        <v>-615.53</v>
      </c>
      <c r="G1665" s="135">
        <v>46101</v>
      </c>
      <c r="H1665" s="133" t="s">
        <v>66</v>
      </c>
      <c r="K1665" s="135">
        <v>46101</v>
      </c>
      <c r="M1665" s="196" t="s">
        <v>2025</v>
      </c>
    </row>
    <row r="1666" spans="1:13" x14ac:dyDescent="0.35">
      <c r="A1666" s="109">
        <v>46043</v>
      </c>
      <c r="B1666" s="111" t="s">
        <v>65</v>
      </c>
      <c r="C1666" s="111" t="s">
        <v>104</v>
      </c>
      <c r="E1666" s="218" t="s">
        <v>2026</v>
      </c>
      <c r="F1666" s="153">
        <v>-36.11</v>
      </c>
      <c r="G1666" s="135">
        <v>46071</v>
      </c>
      <c r="H1666" s="133" t="s">
        <v>66</v>
      </c>
      <c r="I1666" s="133" t="s">
        <v>1048</v>
      </c>
      <c r="K1666" s="160">
        <v>46072</v>
      </c>
    </row>
    <row r="1667" spans="1:13" x14ac:dyDescent="0.35">
      <c r="A1667" s="109">
        <v>46048</v>
      </c>
      <c r="B1667" s="111" t="s">
        <v>65</v>
      </c>
      <c r="C1667" s="111" t="s">
        <v>52</v>
      </c>
      <c r="E1667" s="111" t="s">
        <v>2027</v>
      </c>
      <c r="F1667" s="153">
        <v>-38.82</v>
      </c>
      <c r="G1667" s="209">
        <v>46078</v>
      </c>
      <c r="H1667" s="133" t="s">
        <v>66</v>
      </c>
      <c r="I1667" s="133" t="s">
        <v>119</v>
      </c>
      <c r="K1667" s="160">
        <v>46090</v>
      </c>
    </row>
    <row r="1668" spans="1:13" x14ac:dyDescent="0.35">
      <c r="A1668" s="109">
        <v>46048</v>
      </c>
      <c r="B1668" s="111" t="s">
        <v>65</v>
      </c>
      <c r="C1668" s="111" t="s">
        <v>52</v>
      </c>
      <c r="E1668" s="111" t="s">
        <v>2028</v>
      </c>
      <c r="F1668" s="153">
        <v>-31.62</v>
      </c>
      <c r="G1668" s="209">
        <v>46078</v>
      </c>
      <c r="H1668" s="133" t="s">
        <v>66</v>
      </c>
      <c r="I1668" s="133" t="s">
        <v>170</v>
      </c>
      <c r="K1668" s="160">
        <v>46090</v>
      </c>
    </row>
    <row r="1669" spans="1:13" x14ac:dyDescent="0.35">
      <c r="A1669" s="109">
        <v>46062</v>
      </c>
      <c r="B1669" s="111" t="s">
        <v>65</v>
      </c>
      <c r="C1669" s="111" t="s">
        <v>52</v>
      </c>
      <c r="E1669" s="111" t="s">
        <v>2029</v>
      </c>
      <c r="F1669" s="153">
        <v>-40.5</v>
      </c>
      <c r="G1669" s="135">
        <v>46092</v>
      </c>
      <c r="H1669" s="133" t="s">
        <v>66</v>
      </c>
      <c r="I1669" s="133" t="s">
        <v>119</v>
      </c>
      <c r="K1669" s="160">
        <v>46093</v>
      </c>
    </row>
    <row r="1670" spans="1:13" x14ac:dyDescent="0.35">
      <c r="A1670" s="109">
        <v>45530</v>
      </c>
      <c r="B1670" s="111" t="s">
        <v>65</v>
      </c>
      <c r="C1670" s="111" t="s">
        <v>49</v>
      </c>
      <c r="E1670" s="111" t="s">
        <v>2030</v>
      </c>
      <c r="F1670" s="131">
        <v>-1168.5</v>
      </c>
      <c r="G1670" s="135"/>
      <c r="H1670" s="133" t="s">
        <v>66</v>
      </c>
      <c r="I1670" s="133" t="s">
        <v>715</v>
      </c>
      <c r="K1670" s="135"/>
      <c r="L1670" s="153">
        <f t="shared" ref="L1670:L1676" si="74">F1670</f>
        <v>-1168.5</v>
      </c>
      <c r="M1670" s="111" t="s">
        <v>2031</v>
      </c>
    </row>
    <row r="1671" spans="1:13" x14ac:dyDescent="0.35">
      <c r="A1671" s="109">
        <v>45551</v>
      </c>
      <c r="B1671" s="111" t="s">
        <v>65</v>
      </c>
      <c r="C1671" s="111" t="s">
        <v>49</v>
      </c>
      <c r="E1671" s="76" t="s">
        <v>2032</v>
      </c>
      <c r="F1671" s="131">
        <v>-1168.5</v>
      </c>
      <c r="G1671" s="135"/>
      <c r="H1671" s="133" t="s">
        <v>66</v>
      </c>
      <c r="I1671" s="133" t="s">
        <v>715</v>
      </c>
      <c r="K1671" s="135"/>
      <c r="L1671" s="153">
        <f t="shared" si="74"/>
        <v>-1168.5</v>
      </c>
      <c r="M1671" s="111" t="s">
        <v>2033</v>
      </c>
    </row>
    <row r="1672" spans="1:13" x14ac:dyDescent="0.35">
      <c r="A1672" s="109">
        <v>45559</v>
      </c>
      <c r="B1672" s="111" t="s">
        <v>65</v>
      </c>
      <c r="C1672" s="111" t="s">
        <v>49</v>
      </c>
      <c r="E1672" s="111" t="s">
        <v>2034</v>
      </c>
      <c r="F1672" s="131">
        <v>-1344.91</v>
      </c>
      <c r="G1672" s="135"/>
      <c r="H1672" s="133" t="s">
        <v>66</v>
      </c>
      <c r="I1672" s="133" t="s">
        <v>715</v>
      </c>
      <c r="K1672" s="135"/>
      <c r="L1672" s="153">
        <f t="shared" si="74"/>
        <v>-1344.91</v>
      </c>
      <c r="M1672" s="111" t="s">
        <v>2035</v>
      </c>
    </row>
    <row r="1673" spans="1:13" x14ac:dyDescent="0.35">
      <c r="A1673" s="109">
        <v>45573</v>
      </c>
      <c r="B1673" s="111" t="s">
        <v>65</v>
      </c>
      <c r="C1673" s="111" t="s">
        <v>49</v>
      </c>
      <c r="E1673" s="111" t="s">
        <v>2036</v>
      </c>
      <c r="F1673" s="131">
        <v>-1168.5</v>
      </c>
      <c r="G1673" s="135"/>
      <c r="H1673" s="133" t="s">
        <v>66</v>
      </c>
      <c r="I1673" s="133" t="s">
        <v>715</v>
      </c>
      <c r="K1673" s="135">
        <v>45607</v>
      </c>
      <c r="L1673" s="153">
        <f t="shared" si="74"/>
        <v>-1168.5</v>
      </c>
      <c r="M1673" s="111" t="s">
        <v>2037</v>
      </c>
    </row>
    <row r="1674" spans="1:13" x14ac:dyDescent="0.35">
      <c r="A1674" s="109">
        <v>45583</v>
      </c>
      <c r="B1674" s="111" t="s">
        <v>65</v>
      </c>
      <c r="C1674" s="111" t="s">
        <v>49</v>
      </c>
      <c r="E1674" s="111" t="s">
        <v>2038</v>
      </c>
      <c r="F1674" s="131">
        <v>-1137.68</v>
      </c>
      <c r="G1674" s="135"/>
      <c r="H1674" s="133" t="s">
        <v>66</v>
      </c>
      <c r="I1674" s="133" t="s">
        <v>715</v>
      </c>
      <c r="K1674" s="135">
        <v>45607</v>
      </c>
      <c r="L1674" s="153">
        <f t="shared" si="74"/>
        <v>-1137.68</v>
      </c>
      <c r="M1674" s="111" t="s">
        <v>2039</v>
      </c>
    </row>
    <row r="1675" spans="1:13" x14ac:dyDescent="0.35">
      <c r="A1675" s="109">
        <v>45305</v>
      </c>
      <c r="B1675" s="111" t="s">
        <v>65</v>
      </c>
      <c r="C1675" s="111" t="s">
        <v>49</v>
      </c>
      <c r="F1675" s="151">
        <v>-213.41</v>
      </c>
      <c r="G1675" s="135">
        <v>45688</v>
      </c>
      <c r="H1675" s="133" t="s">
        <v>66</v>
      </c>
      <c r="I1675" s="133" t="s">
        <v>1665</v>
      </c>
      <c r="K1675" s="135">
        <v>45821</v>
      </c>
      <c r="L1675" s="153">
        <f t="shared" si="74"/>
        <v>-213.41</v>
      </c>
      <c r="M1675" s="111" t="s">
        <v>2040</v>
      </c>
    </row>
    <row r="1676" spans="1:13" x14ac:dyDescent="0.35">
      <c r="A1676" s="109">
        <v>45808</v>
      </c>
      <c r="B1676" s="111" t="s">
        <v>65</v>
      </c>
      <c r="C1676" s="111" t="s">
        <v>49</v>
      </c>
      <c r="E1676" s="111" t="s">
        <v>2041</v>
      </c>
      <c r="F1676" s="153">
        <v>-1168.5</v>
      </c>
      <c r="H1676" s="133" t="s">
        <v>66</v>
      </c>
      <c r="I1676" s="133" t="s">
        <v>906</v>
      </c>
      <c r="K1676" s="135">
        <v>45821</v>
      </c>
      <c r="L1676" s="111">
        <f t="shared" si="74"/>
        <v>-1168.5</v>
      </c>
      <c r="M1676" s="111" t="s">
        <v>2042</v>
      </c>
    </row>
    <row r="1677" spans="1:13" x14ac:dyDescent="0.35">
      <c r="A1677" s="109">
        <v>45825</v>
      </c>
      <c r="B1677" s="111" t="s">
        <v>65</v>
      </c>
      <c r="C1677" s="121" t="s">
        <v>49</v>
      </c>
      <c r="E1677" s="121" t="s">
        <v>2043</v>
      </c>
      <c r="F1677" s="153">
        <v>-1168.5</v>
      </c>
      <c r="G1677" s="135">
        <v>45824</v>
      </c>
      <c r="H1677" s="133" t="s">
        <v>66</v>
      </c>
      <c r="I1677" s="133" t="s">
        <v>906</v>
      </c>
      <c r="K1677" s="135">
        <v>45833</v>
      </c>
      <c r="M1677" s="121" t="s">
        <v>2044</v>
      </c>
    </row>
    <row r="1678" spans="1:13" x14ac:dyDescent="0.35">
      <c r="A1678" s="109">
        <v>45826</v>
      </c>
      <c r="B1678" s="111" t="s">
        <v>65</v>
      </c>
      <c r="C1678" s="121" t="s">
        <v>49</v>
      </c>
      <c r="E1678" s="121" t="s">
        <v>2045</v>
      </c>
      <c r="F1678" s="153">
        <v>-1221.9100000000001</v>
      </c>
      <c r="H1678" s="133" t="s">
        <v>66</v>
      </c>
      <c r="I1678" s="133" t="s">
        <v>906</v>
      </c>
      <c r="K1678" s="135">
        <v>45833</v>
      </c>
      <c r="M1678" s="121" t="s">
        <v>2046</v>
      </c>
    </row>
    <row r="1679" spans="1:13" x14ac:dyDescent="0.35">
      <c r="A1679" s="109">
        <v>45845</v>
      </c>
      <c r="B1679" s="111" t="s">
        <v>65</v>
      </c>
      <c r="C1679" s="111" t="s">
        <v>49</v>
      </c>
      <c r="E1679" s="111" t="s">
        <v>2047</v>
      </c>
      <c r="F1679" s="153">
        <v>-1168.5</v>
      </c>
      <c r="G1679" s="135">
        <v>45846</v>
      </c>
      <c r="H1679" s="134" t="s">
        <v>66</v>
      </c>
      <c r="I1679" s="133" t="s">
        <v>906</v>
      </c>
      <c r="K1679" s="135"/>
      <c r="L1679" s="109">
        <v>45861</v>
      </c>
      <c r="M1679" s="196" t="s">
        <v>2048</v>
      </c>
    </row>
    <row r="1680" spans="1:13" x14ac:dyDescent="0.35">
      <c r="A1680" s="109">
        <v>45610</v>
      </c>
      <c r="B1680" s="121" t="s">
        <v>57</v>
      </c>
      <c r="C1680" s="111" t="s">
        <v>29</v>
      </c>
      <c r="D1680" s="111" t="s">
        <v>2020</v>
      </c>
      <c r="E1680" s="111" t="s">
        <v>2049</v>
      </c>
      <c r="F1680" s="149">
        <v>49.73</v>
      </c>
      <c r="G1680" s="135">
        <f>A1680+30</f>
        <v>45640</v>
      </c>
      <c r="H1680" s="133" t="s">
        <v>66</v>
      </c>
      <c r="I1680" s="133" t="s">
        <v>135</v>
      </c>
      <c r="K1680" s="135"/>
      <c r="L1680" s="153">
        <f>F1680</f>
        <v>49.73</v>
      </c>
      <c r="M1680" s="111">
        <v>517537435</v>
      </c>
    </row>
    <row r="1681" spans="1:13" x14ac:dyDescent="0.35">
      <c r="A1681" s="109">
        <v>45623</v>
      </c>
      <c r="B1681" s="121" t="s">
        <v>57</v>
      </c>
      <c r="C1681" s="111" t="s">
        <v>29</v>
      </c>
      <c r="D1681" s="111" t="s">
        <v>2020</v>
      </c>
      <c r="E1681" s="140" t="s">
        <v>2050</v>
      </c>
      <c r="F1681" s="149">
        <v>74.7</v>
      </c>
      <c r="G1681" s="135">
        <f>A1681+30</f>
        <v>45653</v>
      </c>
      <c r="H1681" s="133" t="s">
        <v>66</v>
      </c>
      <c r="I1681" s="133" t="s">
        <v>135</v>
      </c>
      <c r="K1681" s="135"/>
      <c r="L1681" s="153">
        <f>F1681</f>
        <v>74.7</v>
      </c>
      <c r="M1681" s="111">
        <v>517537435</v>
      </c>
    </row>
    <row r="1682" spans="1:13" x14ac:dyDescent="0.35">
      <c r="A1682" s="109">
        <v>45511</v>
      </c>
      <c r="B1682" s="121" t="s">
        <v>57</v>
      </c>
      <c r="C1682" s="111" t="s">
        <v>29</v>
      </c>
      <c r="D1682" s="111" t="s">
        <v>2020</v>
      </c>
      <c r="E1682" s="111" t="s">
        <v>2051</v>
      </c>
      <c r="F1682" s="149">
        <v>121.73</v>
      </c>
      <c r="G1682" s="135">
        <f>A1682+30</f>
        <v>45541</v>
      </c>
      <c r="H1682" s="133" t="s">
        <v>66</v>
      </c>
      <c r="I1682" s="133" t="s">
        <v>135</v>
      </c>
      <c r="K1682" s="135"/>
      <c r="L1682" s="153">
        <f>F1682</f>
        <v>121.73</v>
      </c>
      <c r="M1682" s="111">
        <v>517537435</v>
      </c>
    </row>
    <row r="1683" spans="1:13" x14ac:dyDescent="0.35">
      <c r="A1683" s="109">
        <v>45533</v>
      </c>
      <c r="B1683" s="121" t="s">
        <v>57</v>
      </c>
      <c r="C1683" s="111" t="s">
        <v>29</v>
      </c>
      <c r="D1683" s="111" t="s">
        <v>2020</v>
      </c>
      <c r="E1683" s="111" t="s">
        <v>2052</v>
      </c>
      <c r="F1683" s="149">
        <v>160.36000000000001</v>
      </c>
      <c r="G1683" s="135">
        <f>A1683+30</f>
        <v>45563</v>
      </c>
      <c r="H1683" s="133" t="s">
        <v>66</v>
      </c>
      <c r="I1683" s="133" t="s">
        <v>135</v>
      </c>
      <c r="K1683" s="135"/>
      <c r="L1683" s="153">
        <f>F1683</f>
        <v>160.36000000000001</v>
      </c>
      <c r="M1683" s="111">
        <v>517537435</v>
      </c>
    </row>
    <row r="1684" spans="1:13" x14ac:dyDescent="0.35">
      <c r="A1684" s="109">
        <v>45546</v>
      </c>
      <c r="B1684" s="121" t="s">
        <v>57</v>
      </c>
      <c r="C1684" s="111" t="s">
        <v>29</v>
      </c>
      <c r="D1684" s="111" t="s">
        <v>2020</v>
      </c>
      <c r="E1684" s="111" t="s">
        <v>2053</v>
      </c>
      <c r="F1684" s="149">
        <v>25.3</v>
      </c>
      <c r="G1684" s="135">
        <f>A1684+30</f>
        <v>45576</v>
      </c>
      <c r="H1684" s="133" t="s">
        <v>66</v>
      </c>
      <c r="I1684" s="133" t="s">
        <v>135</v>
      </c>
      <c r="K1684" s="135"/>
      <c r="L1684" s="153">
        <f>F1684</f>
        <v>25.3</v>
      </c>
      <c r="M1684" s="111">
        <v>517537435</v>
      </c>
    </row>
    <row r="1685" spans="1:13" x14ac:dyDescent="0.35">
      <c r="A1685" s="109">
        <v>45855</v>
      </c>
      <c r="B1685" s="111" t="s">
        <v>65</v>
      </c>
      <c r="C1685" s="111" t="s">
        <v>49</v>
      </c>
      <c r="E1685" s="121" t="s">
        <v>2054</v>
      </c>
      <c r="F1685" s="153">
        <v>-1800.56</v>
      </c>
      <c r="G1685" s="135">
        <v>45886</v>
      </c>
      <c r="H1685" s="134" t="s">
        <v>66</v>
      </c>
      <c r="I1685" s="133" t="s">
        <v>906</v>
      </c>
      <c r="K1685" s="135">
        <v>45884</v>
      </c>
      <c r="M1685" s="196" t="s">
        <v>2055</v>
      </c>
    </row>
    <row r="1686" spans="1:13" x14ac:dyDescent="0.35">
      <c r="A1686" s="109">
        <v>45877</v>
      </c>
      <c r="B1686" s="111" t="s">
        <v>65</v>
      </c>
      <c r="C1686" s="111" t="s">
        <v>49</v>
      </c>
      <c r="E1686" s="111" t="s">
        <v>2056</v>
      </c>
      <c r="F1686" s="153">
        <v>-1168.05</v>
      </c>
      <c r="H1686" s="133" t="s">
        <v>66</v>
      </c>
      <c r="I1686" s="133" t="s">
        <v>906</v>
      </c>
      <c r="K1686" s="135">
        <v>45882</v>
      </c>
      <c r="M1686" s="196" t="s">
        <v>2057</v>
      </c>
    </row>
    <row r="1687" spans="1:13" x14ac:dyDescent="0.35">
      <c r="A1687" s="109">
        <v>45897</v>
      </c>
      <c r="B1687" s="111" t="s">
        <v>65</v>
      </c>
      <c r="C1687" s="111" t="s">
        <v>49</v>
      </c>
      <c r="E1687" s="111" t="s">
        <v>2058</v>
      </c>
      <c r="F1687" s="153">
        <v>-1536.9</v>
      </c>
      <c r="G1687" s="135">
        <v>45927</v>
      </c>
      <c r="H1687" s="133" t="s">
        <v>66</v>
      </c>
      <c r="I1687" s="133" t="s">
        <v>906</v>
      </c>
      <c r="K1687" s="135">
        <v>45927</v>
      </c>
      <c r="M1687" s="196" t="s">
        <v>2059</v>
      </c>
    </row>
    <row r="1688" spans="1:13" x14ac:dyDescent="0.35">
      <c r="A1688" s="109">
        <v>45908</v>
      </c>
      <c r="B1688" s="121" t="s">
        <v>65</v>
      </c>
      <c r="C1688" s="121" t="s">
        <v>2060</v>
      </c>
      <c r="E1688" s="121" t="s">
        <v>2061</v>
      </c>
      <c r="F1688" s="153">
        <v>-1168.5</v>
      </c>
      <c r="G1688" s="135">
        <f>A1689+30</f>
        <v>45953</v>
      </c>
      <c r="H1688" s="134" t="s">
        <v>66</v>
      </c>
      <c r="I1688" s="134" t="s">
        <v>906</v>
      </c>
      <c r="K1688" s="135">
        <v>45922</v>
      </c>
      <c r="M1688" s="186" t="s">
        <v>2062</v>
      </c>
    </row>
    <row r="1689" spans="1:13" x14ac:dyDescent="0.35">
      <c r="A1689" s="109">
        <v>45923</v>
      </c>
      <c r="B1689" s="121" t="s">
        <v>65</v>
      </c>
      <c r="C1689" s="111" t="s">
        <v>49</v>
      </c>
      <c r="E1689" s="111" t="s">
        <v>2063</v>
      </c>
      <c r="F1689" s="153">
        <v>-1714.08</v>
      </c>
      <c r="G1689" s="135">
        <f>A1689+30</f>
        <v>45953</v>
      </c>
      <c r="H1689" s="134" t="s">
        <v>66</v>
      </c>
      <c r="I1689" s="133" t="s">
        <v>1665</v>
      </c>
      <c r="K1689" s="135">
        <v>45971</v>
      </c>
      <c r="M1689" s="196" t="s">
        <v>2064</v>
      </c>
    </row>
    <row r="1690" spans="1:13" x14ac:dyDescent="0.35">
      <c r="A1690" s="109">
        <v>45945</v>
      </c>
      <c r="B1690" s="121" t="s">
        <v>65</v>
      </c>
      <c r="C1690" s="111" t="s">
        <v>49</v>
      </c>
      <c r="E1690" s="111" t="s">
        <v>2065</v>
      </c>
      <c r="F1690" s="153">
        <v>-1005.88</v>
      </c>
      <c r="G1690" s="135">
        <f>A1690+30</f>
        <v>45975</v>
      </c>
      <c r="H1690" s="134" t="s">
        <v>66</v>
      </c>
      <c r="I1690" s="133" t="s">
        <v>1665</v>
      </c>
      <c r="K1690" s="135">
        <v>45971</v>
      </c>
      <c r="M1690" s="196" t="s">
        <v>2066</v>
      </c>
    </row>
    <row r="1691" spans="1:13" x14ac:dyDescent="0.35">
      <c r="A1691" s="109">
        <v>45945</v>
      </c>
      <c r="B1691" s="121" t="s">
        <v>65</v>
      </c>
      <c r="C1691" s="111" t="s">
        <v>49</v>
      </c>
      <c r="E1691" s="111" t="s">
        <v>2067</v>
      </c>
      <c r="F1691" s="153">
        <v>853.9</v>
      </c>
      <c r="G1691" s="135">
        <f>A1691+30</f>
        <v>45975</v>
      </c>
      <c r="H1691" s="134" t="s">
        <v>66</v>
      </c>
      <c r="I1691" s="133" t="s">
        <v>1665</v>
      </c>
      <c r="K1691" s="135">
        <v>45971</v>
      </c>
      <c r="M1691" s="196" t="s">
        <v>2068</v>
      </c>
    </row>
    <row r="1692" spans="1:13" x14ac:dyDescent="0.35">
      <c r="A1692" s="109">
        <v>45839</v>
      </c>
      <c r="B1692" s="111" t="s">
        <v>65</v>
      </c>
      <c r="C1692" s="111" t="s">
        <v>105</v>
      </c>
      <c r="E1692" s="111" t="s">
        <v>2069</v>
      </c>
      <c r="F1692" s="153">
        <v>-239.24</v>
      </c>
      <c r="H1692" s="133" t="s">
        <v>66</v>
      </c>
      <c r="I1692" s="133" t="s">
        <v>119</v>
      </c>
      <c r="K1692" s="135">
        <v>45842</v>
      </c>
      <c r="M1692" s="111"/>
    </row>
    <row r="1693" spans="1:13" x14ac:dyDescent="0.35">
      <c r="E1693" s="111" t="s">
        <v>1543</v>
      </c>
      <c r="F1693" s="153"/>
      <c r="H1693" s="133" t="s">
        <v>59</v>
      </c>
      <c r="K1693" s="135"/>
    </row>
    <row r="1694" spans="1:13" x14ac:dyDescent="0.35">
      <c r="A1694" s="109">
        <v>45847</v>
      </c>
      <c r="B1694" s="111" t="s">
        <v>65</v>
      </c>
      <c r="C1694" s="111" t="s">
        <v>105</v>
      </c>
      <c r="E1694" s="111" t="s">
        <v>2070</v>
      </c>
      <c r="F1694" s="153">
        <v>-676.5</v>
      </c>
      <c r="H1694" s="134" t="s">
        <v>66</v>
      </c>
      <c r="I1694" s="133" t="s">
        <v>119</v>
      </c>
      <c r="K1694" s="135">
        <v>45873</v>
      </c>
    </row>
    <row r="1695" spans="1:13" x14ac:dyDescent="0.35">
      <c r="A1695" s="109">
        <v>45870</v>
      </c>
      <c r="B1695" s="111" t="s">
        <v>65</v>
      </c>
      <c r="C1695" s="111" t="s">
        <v>105</v>
      </c>
      <c r="E1695" s="121" t="s">
        <v>2071</v>
      </c>
      <c r="F1695" s="153">
        <v>-268.14999999999998</v>
      </c>
      <c r="H1695" s="134" t="s">
        <v>66</v>
      </c>
      <c r="I1695" s="133" t="s">
        <v>119</v>
      </c>
      <c r="K1695" s="135">
        <v>45873</v>
      </c>
      <c r="M1695" s="186" t="s">
        <v>2072</v>
      </c>
    </row>
    <row r="1696" spans="1:13" x14ac:dyDescent="0.35">
      <c r="A1696" s="109">
        <v>45689</v>
      </c>
      <c r="B1696" s="121" t="s">
        <v>65</v>
      </c>
      <c r="C1696" s="111" t="s">
        <v>105</v>
      </c>
      <c r="E1696" s="121" t="s">
        <v>2073</v>
      </c>
      <c r="F1696" s="149">
        <v>-181.43</v>
      </c>
      <c r="G1696" s="135"/>
      <c r="H1696" s="133" t="s">
        <v>66</v>
      </c>
      <c r="I1696" s="133" t="s">
        <v>119</v>
      </c>
      <c r="K1696" s="135">
        <v>45700</v>
      </c>
      <c r="L1696" s="153">
        <f>F1696</f>
        <v>-181.43</v>
      </c>
      <c r="M1696" s="111"/>
    </row>
    <row r="1697" spans="1:13" x14ac:dyDescent="0.35">
      <c r="A1697" s="109">
        <v>45748</v>
      </c>
      <c r="B1697" s="121" t="s">
        <v>65</v>
      </c>
      <c r="C1697" s="111" t="s">
        <v>105</v>
      </c>
      <c r="E1697" s="111" t="s">
        <v>2074</v>
      </c>
      <c r="F1697" s="153">
        <v>-181.43</v>
      </c>
      <c r="G1697" s="135"/>
      <c r="H1697" s="133" t="s">
        <v>66</v>
      </c>
      <c r="I1697" s="133" t="s">
        <v>119</v>
      </c>
      <c r="K1697" s="135">
        <v>45755</v>
      </c>
      <c r="L1697" s="153"/>
      <c r="M1697" s="111" t="s">
        <v>2075</v>
      </c>
    </row>
    <row r="1698" spans="1:13" x14ac:dyDescent="0.35">
      <c r="A1698" s="109">
        <v>45757</v>
      </c>
      <c r="B1698" s="111" t="s">
        <v>65</v>
      </c>
      <c r="C1698" s="111" t="s">
        <v>105</v>
      </c>
      <c r="E1698" s="111" t="s">
        <v>2076</v>
      </c>
      <c r="F1698" s="153">
        <v>-98.4</v>
      </c>
      <c r="G1698" s="135"/>
      <c r="H1698" s="134" t="s">
        <v>66</v>
      </c>
      <c r="I1698" s="133" t="s">
        <v>232</v>
      </c>
      <c r="K1698" s="135">
        <v>45783</v>
      </c>
      <c r="L1698" s="153"/>
      <c r="M1698" s="111" t="s">
        <v>2077</v>
      </c>
    </row>
    <row r="1699" spans="1:13" x14ac:dyDescent="0.35">
      <c r="A1699" s="109">
        <v>45779</v>
      </c>
      <c r="B1699" s="121" t="s">
        <v>65</v>
      </c>
      <c r="C1699" s="111" t="s">
        <v>105</v>
      </c>
      <c r="E1699" s="186" t="s">
        <v>2078</v>
      </c>
      <c r="F1699" s="153">
        <v>-239.24</v>
      </c>
      <c r="G1699" s="135"/>
      <c r="H1699" s="134" t="s">
        <v>66</v>
      </c>
      <c r="I1699" s="133" t="s">
        <v>119</v>
      </c>
      <c r="K1699" s="135">
        <v>45783</v>
      </c>
      <c r="L1699" s="153"/>
      <c r="M1699" s="121" t="s">
        <v>2079</v>
      </c>
    </row>
    <row r="1700" spans="1:13" x14ac:dyDescent="0.35">
      <c r="A1700" s="109">
        <v>45717</v>
      </c>
      <c r="B1700" s="121" t="s">
        <v>65</v>
      </c>
      <c r="C1700" s="111" t="s">
        <v>105</v>
      </c>
      <c r="E1700" s="186" t="s">
        <v>2080</v>
      </c>
      <c r="F1700" s="153">
        <v>-181.43</v>
      </c>
      <c r="G1700" s="135"/>
      <c r="H1700" s="133" t="s">
        <v>66</v>
      </c>
      <c r="I1700" s="133" t="s">
        <v>119</v>
      </c>
      <c r="K1700" s="135">
        <v>45789</v>
      </c>
      <c r="M1700" s="111" t="s">
        <v>2081</v>
      </c>
    </row>
    <row r="1701" spans="1:13" x14ac:dyDescent="0.35">
      <c r="A1701" s="109">
        <v>45811</v>
      </c>
      <c r="B1701" s="111" t="s">
        <v>65</v>
      </c>
      <c r="C1701" s="111" t="s">
        <v>105</v>
      </c>
      <c r="E1701" s="140" t="s">
        <v>2082</v>
      </c>
      <c r="F1701" s="153">
        <v>-239.24</v>
      </c>
      <c r="H1701" s="133" t="s">
        <v>66</v>
      </c>
      <c r="I1701" s="133" t="s">
        <v>119</v>
      </c>
      <c r="K1701" s="135">
        <v>45817</v>
      </c>
      <c r="L1701" s="153">
        <f>F1701</f>
        <v>-239.24</v>
      </c>
      <c r="M1701" s="111"/>
    </row>
    <row r="1702" spans="1:13" x14ac:dyDescent="0.35">
      <c r="A1702" s="109">
        <v>45560</v>
      </c>
      <c r="B1702" s="121" t="s">
        <v>57</v>
      </c>
      <c r="C1702" s="111" t="s">
        <v>29</v>
      </c>
      <c r="D1702" s="111" t="s">
        <v>2020</v>
      </c>
      <c r="E1702" s="111" t="s">
        <v>2083</v>
      </c>
      <c r="F1702" s="149">
        <v>110.78</v>
      </c>
      <c r="G1702" s="135">
        <f>A1702+30</f>
        <v>45590</v>
      </c>
      <c r="H1702" s="133" t="s">
        <v>66</v>
      </c>
      <c r="I1702" s="133" t="s">
        <v>135</v>
      </c>
      <c r="K1702" s="135"/>
      <c r="L1702" s="153">
        <f>F1702</f>
        <v>110.78</v>
      </c>
      <c r="M1702" s="111">
        <v>517537435</v>
      </c>
    </row>
    <row r="1703" spans="1:13" x14ac:dyDescent="0.35">
      <c r="A1703" s="109">
        <v>45901</v>
      </c>
      <c r="B1703" s="111" t="s">
        <v>65</v>
      </c>
      <c r="C1703" s="111" t="s">
        <v>105</v>
      </c>
      <c r="E1703" s="111" t="s">
        <v>2084</v>
      </c>
      <c r="F1703" s="153">
        <v>-268.14999999999998</v>
      </c>
      <c r="H1703" s="133" t="s">
        <v>66</v>
      </c>
      <c r="I1703" s="133" t="s">
        <v>119</v>
      </c>
      <c r="K1703" s="135">
        <v>45903</v>
      </c>
    </row>
    <row r="1704" spans="1:13" x14ac:dyDescent="0.35">
      <c r="A1704" s="109">
        <v>45933</v>
      </c>
      <c r="B1704" s="121" t="s">
        <v>65</v>
      </c>
      <c r="C1704" s="121" t="s">
        <v>105</v>
      </c>
      <c r="E1704" s="121" t="s">
        <v>2085</v>
      </c>
      <c r="F1704" s="153">
        <v>-268.14999999999998</v>
      </c>
      <c r="H1704" s="134" t="s">
        <v>66</v>
      </c>
      <c r="I1704" s="134" t="s">
        <v>633</v>
      </c>
      <c r="K1704" s="135">
        <v>45943</v>
      </c>
    </row>
    <row r="1705" spans="1:13" s="221" customFormat="1" x14ac:dyDescent="0.35">
      <c r="A1705" s="109">
        <v>45964</v>
      </c>
      <c r="B1705" s="121" t="s">
        <v>65</v>
      </c>
      <c r="C1705" s="111" t="s">
        <v>105</v>
      </c>
      <c r="D1705" s="111"/>
      <c r="E1705" s="111" t="s">
        <v>1937</v>
      </c>
      <c r="F1705" s="153">
        <v>-239.24</v>
      </c>
      <c r="G1705" s="133"/>
      <c r="H1705" s="133" t="s">
        <v>66</v>
      </c>
      <c r="I1705" s="133" t="s">
        <v>829</v>
      </c>
      <c r="J1705" s="111"/>
      <c r="K1705" s="135">
        <v>45967</v>
      </c>
      <c r="L1705" s="111"/>
      <c r="M1705" s="196"/>
    </row>
    <row r="1706" spans="1:13" x14ac:dyDescent="0.35">
      <c r="A1706" s="109">
        <v>45994</v>
      </c>
      <c r="B1706" s="111" t="s">
        <v>65</v>
      </c>
      <c r="C1706" s="121" t="s">
        <v>105</v>
      </c>
      <c r="E1706" s="216" t="s">
        <v>2086</v>
      </c>
      <c r="F1706" s="153">
        <v>-239.24</v>
      </c>
      <c r="H1706" s="133" t="s">
        <v>66</v>
      </c>
      <c r="I1706" s="134" t="s">
        <v>829</v>
      </c>
      <c r="K1706" s="160">
        <v>46000</v>
      </c>
    </row>
    <row r="1707" spans="1:13" x14ac:dyDescent="0.35">
      <c r="A1707" s="109">
        <v>46036</v>
      </c>
      <c r="B1707" s="111" t="s">
        <v>65</v>
      </c>
      <c r="C1707" s="111" t="s">
        <v>2087</v>
      </c>
      <c r="E1707" s="76" t="s">
        <v>2088</v>
      </c>
      <c r="F1707" s="153">
        <v>-239.24</v>
      </c>
      <c r="H1707" s="134" t="s">
        <v>66</v>
      </c>
      <c r="I1707" s="133" t="s">
        <v>769</v>
      </c>
      <c r="K1707" s="160">
        <v>46062</v>
      </c>
      <c r="M1707" s="186" t="s">
        <v>2089</v>
      </c>
    </row>
    <row r="1708" spans="1:13" x14ac:dyDescent="0.35">
      <c r="A1708" s="176">
        <v>45986</v>
      </c>
      <c r="B1708" s="140" t="s">
        <v>65</v>
      </c>
      <c r="C1708" s="140" t="s">
        <v>2087</v>
      </c>
      <c r="D1708" s="140"/>
      <c r="E1708" s="76" t="s">
        <v>2090</v>
      </c>
      <c r="F1708" s="174">
        <v>-350.52</v>
      </c>
      <c r="G1708" s="142"/>
      <c r="H1708" s="175" t="s">
        <v>66</v>
      </c>
      <c r="I1708" s="142" t="s">
        <v>769</v>
      </c>
      <c r="K1708" s="160">
        <v>46062</v>
      </c>
      <c r="M1708" s="186" t="s">
        <v>2091</v>
      </c>
    </row>
    <row r="1709" spans="1:13" x14ac:dyDescent="0.35">
      <c r="A1709" s="109">
        <v>46054</v>
      </c>
      <c r="B1709" s="111" t="s">
        <v>65</v>
      </c>
      <c r="C1709" s="111" t="s">
        <v>96</v>
      </c>
      <c r="E1709" s="111" t="s">
        <v>2092</v>
      </c>
      <c r="F1709" s="153">
        <v>-51.94</v>
      </c>
      <c r="H1709" s="134" t="s">
        <v>66</v>
      </c>
      <c r="I1709" s="133" t="s">
        <v>170</v>
      </c>
      <c r="K1709" s="160">
        <v>46077</v>
      </c>
      <c r="M1709" s="196" t="s">
        <v>2093</v>
      </c>
    </row>
    <row r="1710" spans="1:13" x14ac:dyDescent="0.35">
      <c r="A1710" s="109">
        <v>45582</v>
      </c>
      <c r="B1710" s="121" t="s">
        <v>57</v>
      </c>
      <c r="C1710" s="111" t="s">
        <v>29</v>
      </c>
      <c r="D1710" s="111" t="s">
        <v>2020</v>
      </c>
      <c r="E1710" s="111" t="s">
        <v>2094</v>
      </c>
      <c r="F1710" s="149">
        <v>106.84</v>
      </c>
      <c r="G1710" s="135">
        <f>A1710+30</f>
        <v>45612</v>
      </c>
      <c r="H1710" s="133" t="s">
        <v>66</v>
      </c>
      <c r="I1710" s="133" t="s">
        <v>135</v>
      </c>
      <c r="K1710" s="135"/>
      <c r="L1710" s="153">
        <f>F1710</f>
        <v>106.84</v>
      </c>
      <c r="M1710" s="111">
        <v>517537435</v>
      </c>
    </row>
    <row r="1711" spans="1:13" x14ac:dyDescent="0.35">
      <c r="A1711" s="176">
        <v>45596</v>
      </c>
      <c r="B1711" s="143" t="s">
        <v>57</v>
      </c>
      <c r="C1711" s="140" t="s">
        <v>29</v>
      </c>
      <c r="D1711" s="140" t="s">
        <v>2020</v>
      </c>
      <c r="E1711" s="140" t="s">
        <v>2095</v>
      </c>
      <c r="F1711" s="164">
        <v>51.01</v>
      </c>
      <c r="G1711" s="177">
        <f>A1711+30</f>
        <v>45626</v>
      </c>
      <c r="H1711" s="142" t="s">
        <v>66</v>
      </c>
      <c r="I1711" s="142" t="s">
        <v>135</v>
      </c>
      <c r="K1711" s="135"/>
      <c r="L1711" s="153">
        <f>F1711</f>
        <v>51.01</v>
      </c>
      <c r="M1711" s="111">
        <v>517537435</v>
      </c>
    </row>
    <row r="1712" spans="1:13" x14ac:dyDescent="0.35">
      <c r="A1712" s="109">
        <v>46054</v>
      </c>
      <c r="B1712" s="111" t="s">
        <v>65</v>
      </c>
      <c r="C1712" s="111" t="s">
        <v>96</v>
      </c>
      <c r="E1712" s="111" t="s">
        <v>2096</v>
      </c>
      <c r="F1712" s="153">
        <v>-4021.02</v>
      </c>
      <c r="H1712" s="134" t="s">
        <v>66</v>
      </c>
      <c r="I1712" s="133" t="s">
        <v>170</v>
      </c>
      <c r="K1712" s="160">
        <v>46077</v>
      </c>
      <c r="M1712" s="204" t="s">
        <v>2097</v>
      </c>
    </row>
    <row r="1713" spans="1:13" x14ac:dyDescent="0.35">
      <c r="A1713" s="109">
        <v>45589</v>
      </c>
      <c r="B1713" s="111" t="s">
        <v>65</v>
      </c>
      <c r="C1713" s="111" t="s">
        <v>2098</v>
      </c>
      <c r="E1713" s="111" t="s">
        <v>2099</v>
      </c>
      <c r="F1713" s="131">
        <v>-100</v>
      </c>
      <c r="G1713" s="135"/>
      <c r="H1713" s="133" t="s">
        <v>66</v>
      </c>
      <c r="I1713" s="133" t="s">
        <v>119</v>
      </c>
      <c r="K1713" s="135">
        <v>45423</v>
      </c>
      <c r="L1713" s="153">
        <f t="shared" ref="L1713:L1722" si="75">F1713</f>
        <v>-100</v>
      </c>
      <c r="M1713" s="76" t="s">
        <v>2100</v>
      </c>
    </row>
    <row r="1714" spans="1:13" x14ac:dyDescent="0.35">
      <c r="A1714" s="109">
        <v>45506</v>
      </c>
      <c r="B1714" s="111" t="s">
        <v>65</v>
      </c>
      <c r="C1714" s="111" t="s">
        <v>2101</v>
      </c>
      <c r="E1714" s="111" t="s">
        <v>2102</v>
      </c>
      <c r="F1714" s="131">
        <v>-250</v>
      </c>
      <c r="G1714" s="135"/>
      <c r="H1714" s="133" t="s">
        <v>66</v>
      </c>
      <c r="I1714" s="133" t="s">
        <v>617</v>
      </c>
      <c r="K1714" s="135"/>
      <c r="L1714" s="153">
        <f t="shared" si="75"/>
        <v>-250</v>
      </c>
      <c r="M1714" s="76" t="s">
        <v>2103</v>
      </c>
    </row>
    <row r="1715" spans="1:13" x14ac:dyDescent="0.35">
      <c r="A1715" s="109">
        <v>45744</v>
      </c>
      <c r="B1715" s="111" t="s">
        <v>65</v>
      </c>
      <c r="C1715" s="121" t="s">
        <v>106</v>
      </c>
      <c r="D1715" s="121"/>
      <c r="E1715" s="121"/>
      <c r="F1715" s="153">
        <v>-120</v>
      </c>
      <c r="G1715" s="135"/>
      <c r="H1715" s="133" t="s">
        <v>66</v>
      </c>
      <c r="I1715" s="133" t="s">
        <v>119</v>
      </c>
      <c r="K1715" s="135">
        <v>45754</v>
      </c>
      <c r="L1715" s="153">
        <f t="shared" si="75"/>
        <v>-120</v>
      </c>
      <c r="M1715" s="111"/>
    </row>
    <row r="1716" spans="1:13" x14ac:dyDescent="0.35">
      <c r="A1716" s="109">
        <v>45559</v>
      </c>
      <c r="B1716" s="111" t="s">
        <v>65</v>
      </c>
      <c r="C1716" s="111" t="s">
        <v>106</v>
      </c>
      <c r="E1716" s="76" t="s">
        <v>2104</v>
      </c>
      <c r="F1716" s="131">
        <v>-250</v>
      </c>
      <c r="G1716" s="135"/>
      <c r="H1716" s="133" t="s">
        <v>66</v>
      </c>
      <c r="I1716" s="133" t="s">
        <v>119</v>
      </c>
      <c r="K1716" s="135"/>
      <c r="L1716" s="153">
        <f t="shared" si="75"/>
        <v>-250</v>
      </c>
      <c r="M1716" s="111" t="s">
        <v>2105</v>
      </c>
    </row>
    <row r="1717" spans="1:13" x14ac:dyDescent="0.35">
      <c r="A1717" s="109">
        <v>45705</v>
      </c>
      <c r="B1717" s="121" t="s">
        <v>57</v>
      </c>
      <c r="C1717" s="111" t="s">
        <v>29</v>
      </c>
      <c r="D1717" s="111" t="s">
        <v>2020</v>
      </c>
      <c r="E1717" s="121" t="s">
        <v>2106</v>
      </c>
      <c r="F1717" s="153">
        <v>104.73</v>
      </c>
      <c r="G1717" s="135">
        <v>45733</v>
      </c>
      <c r="H1717" s="133" t="s">
        <v>66</v>
      </c>
      <c r="I1717" s="134" t="s">
        <v>135</v>
      </c>
      <c r="K1717" s="135">
        <v>45769</v>
      </c>
      <c r="L1717" s="153">
        <f t="shared" si="75"/>
        <v>104.73</v>
      </c>
      <c r="M1717" s="111">
        <v>517537435</v>
      </c>
    </row>
    <row r="1718" spans="1:13" x14ac:dyDescent="0.35">
      <c r="A1718" s="109">
        <v>45724</v>
      </c>
      <c r="B1718" s="121" t="s">
        <v>57</v>
      </c>
      <c r="C1718" s="111" t="s">
        <v>29</v>
      </c>
      <c r="D1718" s="111" t="s">
        <v>2020</v>
      </c>
      <c r="E1718" s="111" t="s">
        <v>2107</v>
      </c>
      <c r="F1718" s="153">
        <v>103.27</v>
      </c>
      <c r="G1718" s="135">
        <v>45755</v>
      </c>
      <c r="H1718" s="134" t="s">
        <v>66</v>
      </c>
      <c r="I1718" s="133" t="s">
        <v>135</v>
      </c>
      <c r="K1718" s="135">
        <v>45869</v>
      </c>
      <c r="L1718" s="153">
        <f t="shared" si="75"/>
        <v>103.27</v>
      </c>
      <c r="M1718" s="196">
        <v>517537435</v>
      </c>
    </row>
    <row r="1719" spans="1:13" x14ac:dyDescent="0.35">
      <c r="A1719" s="109">
        <v>45750</v>
      </c>
      <c r="B1719" s="121" t="s">
        <v>57</v>
      </c>
      <c r="C1719" s="111" t="s">
        <v>29</v>
      </c>
      <c r="D1719" s="111" t="s">
        <v>2020</v>
      </c>
      <c r="E1719" s="111" t="s">
        <v>2108</v>
      </c>
      <c r="F1719" s="153">
        <v>54.62</v>
      </c>
      <c r="G1719" s="135">
        <v>45779</v>
      </c>
      <c r="H1719" s="134" t="s">
        <v>66</v>
      </c>
      <c r="I1719" s="133" t="s">
        <v>135</v>
      </c>
      <c r="K1719" s="135">
        <v>45869</v>
      </c>
      <c r="L1719" s="153">
        <f t="shared" si="75"/>
        <v>54.62</v>
      </c>
      <c r="M1719" s="196">
        <v>517537435</v>
      </c>
    </row>
    <row r="1720" spans="1:13" x14ac:dyDescent="0.35">
      <c r="A1720" s="109">
        <v>45305</v>
      </c>
      <c r="B1720" s="111" t="s">
        <v>65</v>
      </c>
      <c r="C1720" s="111" t="s">
        <v>2109</v>
      </c>
      <c r="E1720" s="111" t="s">
        <v>2110</v>
      </c>
      <c r="F1720" s="151">
        <v>-200</v>
      </c>
      <c r="G1720" s="135">
        <v>45688</v>
      </c>
      <c r="H1720" s="133" t="s">
        <v>66</v>
      </c>
      <c r="I1720" s="133" t="s">
        <v>119</v>
      </c>
      <c r="K1720" s="135">
        <v>45679</v>
      </c>
      <c r="L1720" s="153">
        <f t="shared" si="75"/>
        <v>-200</v>
      </c>
      <c r="M1720" s="111"/>
    </row>
    <row r="1721" spans="1:13" x14ac:dyDescent="0.35">
      <c r="A1721" s="109">
        <v>45469</v>
      </c>
      <c r="B1721" s="111" t="s">
        <v>65</v>
      </c>
      <c r="C1721" s="111" t="s">
        <v>2111</v>
      </c>
      <c r="E1721" s="111" t="s">
        <v>2112</v>
      </c>
      <c r="F1721" s="131">
        <v>-602.70000000000005</v>
      </c>
      <c r="G1721" s="135"/>
      <c r="H1721" s="133" t="s">
        <v>66</v>
      </c>
      <c r="I1721" s="133" t="s">
        <v>617</v>
      </c>
      <c r="K1721" s="135"/>
      <c r="L1721" s="153">
        <f t="shared" si="75"/>
        <v>-602.70000000000005</v>
      </c>
      <c r="M1721" s="111" t="s">
        <v>2113</v>
      </c>
    </row>
    <row r="1722" spans="1:13" x14ac:dyDescent="0.35">
      <c r="A1722" s="109">
        <v>45195</v>
      </c>
      <c r="B1722" s="111" t="s">
        <v>65</v>
      </c>
      <c r="C1722" s="111" t="s">
        <v>2114</v>
      </c>
      <c r="E1722" s="111" t="s">
        <v>406</v>
      </c>
      <c r="F1722" s="131">
        <v>-602.70000000000005</v>
      </c>
      <c r="G1722" s="135"/>
      <c r="H1722" s="133" t="s">
        <v>66</v>
      </c>
      <c r="I1722" s="133" t="s">
        <v>119</v>
      </c>
      <c r="K1722" s="135"/>
      <c r="L1722" s="153">
        <f t="shared" si="75"/>
        <v>-602.70000000000005</v>
      </c>
      <c r="M1722" s="76" t="s">
        <v>2115</v>
      </c>
    </row>
    <row r="1723" spans="1:13" x14ac:dyDescent="0.35">
      <c r="A1723" s="109">
        <v>45975</v>
      </c>
      <c r="B1723" s="121" t="s">
        <v>65</v>
      </c>
      <c r="C1723" s="111" t="s">
        <v>107</v>
      </c>
      <c r="F1723" s="153">
        <v>-15600</v>
      </c>
      <c r="H1723" s="133" t="s">
        <v>66</v>
      </c>
      <c r="K1723" s="135">
        <v>45974</v>
      </c>
      <c r="M1723" s="196" t="s">
        <v>2116</v>
      </c>
    </row>
    <row r="1724" spans="1:13" x14ac:dyDescent="0.35">
      <c r="A1724" s="109">
        <v>45721</v>
      </c>
      <c r="B1724" s="111" t="s">
        <v>65</v>
      </c>
      <c r="C1724" s="111" t="s">
        <v>21</v>
      </c>
      <c r="E1724" s="111" t="s">
        <v>2117</v>
      </c>
      <c r="F1724" s="153">
        <v>-63.6</v>
      </c>
      <c r="G1724" s="135"/>
      <c r="H1724" s="133" t="s">
        <v>66</v>
      </c>
      <c r="I1724" s="133" t="s">
        <v>119</v>
      </c>
      <c r="K1724" s="135">
        <v>45754</v>
      </c>
      <c r="L1724" s="153">
        <f t="shared" ref="L1724:L1741" si="76">F1724</f>
        <v>-63.6</v>
      </c>
      <c r="M1724" s="111"/>
    </row>
    <row r="1725" spans="1:13" x14ac:dyDescent="0.35">
      <c r="A1725" s="109">
        <v>45734</v>
      </c>
      <c r="B1725" s="121" t="s">
        <v>65</v>
      </c>
      <c r="C1725" s="111" t="s">
        <v>21</v>
      </c>
      <c r="E1725" s="121" t="s">
        <v>2118</v>
      </c>
      <c r="F1725" s="153">
        <v>-63.6</v>
      </c>
      <c r="G1725" s="135"/>
      <c r="H1725" s="133" t="s">
        <v>66</v>
      </c>
      <c r="I1725" s="133" t="s">
        <v>119</v>
      </c>
      <c r="K1725" s="135">
        <v>45754</v>
      </c>
      <c r="L1725" s="153">
        <f t="shared" si="76"/>
        <v>-63.6</v>
      </c>
      <c r="M1725" s="111"/>
    </row>
    <row r="1726" spans="1:13" x14ac:dyDescent="0.35">
      <c r="A1726" s="109">
        <v>45741</v>
      </c>
      <c r="B1726" s="121" t="s">
        <v>65</v>
      </c>
      <c r="C1726" s="111" t="s">
        <v>21</v>
      </c>
      <c r="E1726" s="121" t="s">
        <v>2119</v>
      </c>
      <c r="F1726" s="153">
        <v>-52.18</v>
      </c>
      <c r="G1726" s="135"/>
      <c r="H1726" s="133" t="s">
        <v>66</v>
      </c>
      <c r="I1726" s="133" t="s">
        <v>119</v>
      </c>
      <c r="K1726" s="135">
        <v>45754</v>
      </c>
      <c r="L1726" s="153">
        <f t="shared" si="76"/>
        <v>-52.18</v>
      </c>
      <c r="M1726" s="111"/>
    </row>
    <row r="1727" spans="1:13" x14ac:dyDescent="0.35">
      <c r="A1727" s="109">
        <v>45483</v>
      </c>
      <c r="B1727" s="111" t="s">
        <v>65</v>
      </c>
      <c r="C1727" s="111" t="s">
        <v>21</v>
      </c>
      <c r="E1727" s="111" t="s">
        <v>2120</v>
      </c>
      <c r="F1727" s="149">
        <v>-96.25</v>
      </c>
      <c r="G1727" s="135"/>
      <c r="H1727" s="133" t="s">
        <v>66</v>
      </c>
      <c r="K1727" s="135">
        <v>45299</v>
      </c>
      <c r="L1727" s="153">
        <f t="shared" si="76"/>
        <v>-96.25</v>
      </c>
      <c r="M1727" s="111" t="s">
        <v>2121</v>
      </c>
    </row>
    <row r="1728" spans="1:13" x14ac:dyDescent="0.35">
      <c r="A1728" s="109">
        <v>45489</v>
      </c>
      <c r="B1728" s="111" t="s">
        <v>65</v>
      </c>
      <c r="C1728" s="111" t="s">
        <v>21</v>
      </c>
      <c r="E1728" s="111" t="s">
        <v>2122</v>
      </c>
      <c r="F1728" s="149">
        <v>-125.88</v>
      </c>
      <c r="G1728" s="135"/>
      <c r="H1728" s="133" t="s">
        <v>66</v>
      </c>
      <c r="K1728" s="135">
        <v>45299</v>
      </c>
      <c r="L1728" s="153">
        <f t="shared" si="76"/>
        <v>-125.88</v>
      </c>
      <c r="M1728" s="111" t="s">
        <v>325</v>
      </c>
    </row>
    <row r="1729" spans="1:13" x14ac:dyDescent="0.35">
      <c r="A1729" s="109">
        <v>45770</v>
      </c>
      <c r="B1729" s="111" t="s">
        <v>57</v>
      </c>
      <c r="C1729" s="111" t="s">
        <v>29</v>
      </c>
      <c r="D1729" s="111" t="s">
        <v>2020</v>
      </c>
      <c r="E1729" s="111" t="s">
        <v>2123</v>
      </c>
      <c r="F1729" s="153">
        <v>115.55</v>
      </c>
      <c r="G1729" s="135">
        <v>45799</v>
      </c>
      <c r="H1729" s="134" t="s">
        <v>66</v>
      </c>
      <c r="I1729" s="133" t="s">
        <v>135</v>
      </c>
      <c r="K1729" s="135">
        <v>45869</v>
      </c>
      <c r="L1729" s="153">
        <f t="shared" si="76"/>
        <v>115.55</v>
      </c>
      <c r="M1729" s="196">
        <v>517537435</v>
      </c>
    </row>
    <row r="1730" spans="1:13" x14ac:dyDescent="0.35">
      <c r="A1730" s="109">
        <v>45776</v>
      </c>
      <c r="B1730" s="111" t="s">
        <v>57</v>
      </c>
      <c r="C1730" s="111" t="s">
        <v>29</v>
      </c>
      <c r="D1730" s="111" t="s">
        <v>2020</v>
      </c>
      <c r="E1730" s="121" t="s">
        <v>2124</v>
      </c>
      <c r="F1730" s="153">
        <v>15.28</v>
      </c>
      <c r="G1730" s="135">
        <v>45795</v>
      </c>
      <c r="H1730" s="134" t="s">
        <v>66</v>
      </c>
      <c r="I1730" s="133" t="s">
        <v>135</v>
      </c>
      <c r="K1730" s="135">
        <v>45869</v>
      </c>
      <c r="L1730" s="153">
        <f t="shared" si="76"/>
        <v>15.28</v>
      </c>
      <c r="M1730" s="196">
        <v>517537435</v>
      </c>
    </row>
    <row r="1731" spans="1:13" x14ac:dyDescent="0.35">
      <c r="A1731" s="109">
        <v>45492</v>
      </c>
      <c r="B1731" s="111" t="s">
        <v>65</v>
      </c>
      <c r="C1731" s="111" t="s">
        <v>21</v>
      </c>
      <c r="E1731" s="111" t="s">
        <v>2125</v>
      </c>
      <c r="F1731" s="149">
        <v>-39.75</v>
      </c>
      <c r="G1731" s="135"/>
      <c r="H1731" s="133" t="s">
        <v>66</v>
      </c>
      <c r="K1731" s="135">
        <v>45299</v>
      </c>
      <c r="L1731" s="153">
        <f t="shared" si="76"/>
        <v>-39.75</v>
      </c>
      <c r="M1731" s="111" t="s">
        <v>325</v>
      </c>
    </row>
    <row r="1732" spans="1:13" x14ac:dyDescent="0.35">
      <c r="A1732" s="109">
        <v>45786</v>
      </c>
      <c r="B1732" s="111" t="s">
        <v>57</v>
      </c>
      <c r="C1732" s="111" t="s">
        <v>29</v>
      </c>
      <c r="D1732" s="111" t="s">
        <v>2020</v>
      </c>
      <c r="E1732" s="121" t="s">
        <v>2126</v>
      </c>
      <c r="F1732" s="153">
        <v>58.07</v>
      </c>
      <c r="G1732" s="135">
        <v>45816</v>
      </c>
      <c r="H1732" s="134" t="s">
        <v>66</v>
      </c>
      <c r="I1732" s="133" t="s">
        <v>135</v>
      </c>
      <c r="K1732" s="135">
        <v>45869</v>
      </c>
      <c r="L1732" s="153">
        <f t="shared" si="76"/>
        <v>58.07</v>
      </c>
      <c r="M1732" s="196">
        <v>517537435</v>
      </c>
    </row>
    <row r="1733" spans="1:13" x14ac:dyDescent="0.35">
      <c r="A1733" s="109">
        <v>45477</v>
      </c>
      <c r="B1733" s="121" t="s">
        <v>57</v>
      </c>
      <c r="C1733" s="111" t="s">
        <v>29</v>
      </c>
      <c r="D1733" s="111" t="s">
        <v>2020</v>
      </c>
      <c r="E1733" s="111" t="s">
        <v>2127</v>
      </c>
      <c r="F1733" s="149">
        <v>82.08</v>
      </c>
      <c r="G1733" s="135">
        <f>A1733+30</f>
        <v>45507</v>
      </c>
      <c r="H1733" s="133" t="s">
        <v>66</v>
      </c>
      <c r="I1733" s="133" t="s">
        <v>135</v>
      </c>
      <c r="K1733" s="135"/>
      <c r="L1733" s="153">
        <f t="shared" si="76"/>
        <v>82.08</v>
      </c>
      <c r="M1733" s="111">
        <v>517537435</v>
      </c>
    </row>
    <row r="1734" spans="1:13" x14ac:dyDescent="0.35">
      <c r="A1734" s="109">
        <v>45491</v>
      </c>
      <c r="B1734" s="121" t="s">
        <v>57</v>
      </c>
      <c r="C1734" s="111" t="s">
        <v>29</v>
      </c>
      <c r="D1734" s="111" t="s">
        <v>2020</v>
      </c>
      <c r="E1734" s="111" t="s">
        <v>2128</v>
      </c>
      <c r="F1734" s="149">
        <v>27.88</v>
      </c>
      <c r="G1734" s="135">
        <f>A1734+30</f>
        <v>45521</v>
      </c>
      <c r="H1734" s="133" t="s">
        <v>66</v>
      </c>
      <c r="I1734" s="133" t="s">
        <v>135</v>
      </c>
      <c r="K1734" s="135"/>
      <c r="L1734" s="153">
        <f t="shared" si="76"/>
        <v>27.88</v>
      </c>
      <c r="M1734" s="111">
        <v>517537435</v>
      </c>
    </row>
    <row r="1735" spans="1:13" x14ac:dyDescent="0.35">
      <c r="A1735" s="109">
        <v>45653</v>
      </c>
      <c r="B1735" s="121" t="s">
        <v>57</v>
      </c>
      <c r="C1735" s="111" t="s">
        <v>29</v>
      </c>
      <c r="D1735" s="111" t="s">
        <v>2020</v>
      </c>
      <c r="E1735" s="111" t="s">
        <v>2129</v>
      </c>
      <c r="F1735" s="149">
        <v>24.15</v>
      </c>
      <c r="G1735" s="135">
        <f>IF(OR(C1735="Matosinhos",C1735="Bolhão"),A1735,A1735+30)</f>
        <v>45683</v>
      </c>
      <c r="H1735" s="133" t="s">
        <v>66</v>
      </c>
      <c r="I1735" s="133" t="s">
        <v>135</v>
      </c>
      <c r="K1735" s="135">
        <v>45769</v>
      </c>
      <c r="L1735" s="153">
        <f t="shared" si="76"/>
        <v>24.15</v>
      </c>
      <c r="M1735" s="111">
        <v>517537435</v>
      </c>
    </row>
    <row r="1736" spans="1:13" x14ac:dyDescent="0.35">
      <c r="A1736" s="109">
        <v>45496</v>
      </c>
      <c r="B1736" s="111" t="s">
        <v>65</v>
      </c>
      <c r="C1736" s="111" t="s">
        <v>21</v>
      </c>
      <c r="E1736" s="111" t="s">
        <v>2130</v>
      </c>
      <c r="F1736" s="149">
        <v>-179.45000000000002</v>
      </c>
      <c r="G1736" s="135"/>
      <c r="H1736" s="133" t="s">
        <v>66</v>
      </c>
      <c r="K1736" s="135">
        <v>45299</v>
      </c>
      <c r="L1736" s="153">
        <f t="shared" si="76"/>
        <v>-179.45000000000002</v>
      </c>
      <c r="M1736" s="111" t="s">
        <v>2131</v>
      </c>
    </row>
    <row r="1737" spans="1:13" x14ac:dyDescent="0.35">
      <c r="A1737" s="109">
        <v>45499</v>
      </c>
      <c r="B1737" s="111" t="s">
        <v>65</v>
      </c>
      <c r="C1737" s="111" t="s">
        <v>21</v>
      </c>
      <c r="E1737" s="111" t="s">
        <v>2132</v>
      </c>
      <c r="F1737" s="149">
        <v>-236.37</v>
      </c>
      <c r="G1737" s="135"/>
      <c r="H1737" s="133" t="s">
        <v>66</v>
      </c>
      <c r="K1737" s="135">
        <v>45299</v>
      </c>
      <c r="L1737" s="153">
        <f t="shared" si="76"/>
        <v>-236.37</v>
      </c>
      <c r="M1737" s="111" t="s">
        <v>325</v>
      </c>
    </row>
    <row r="1738" spans="1:13" x14ac:dyDescent="0.35">
      <c r="A1738" s="109">
        <v>45503</v>
      </c>
      <c r="B1738" s="111" t="s">
        <v>65</v>
      </c>
      <c r="C1738" s="111" t="s">
        <v>21</v>
      </c>
      <c r="E1738" s="111" t="s">
        <v>2133</v>
      </c>
      <c r="F1738" s="149">
        <v>-194.35</v>
      </c>
      <c r="G1738" s="135"/>
      <c r="H1738" s="133" t="s">
        <v>66</v>
      </c>
      <c r="K1738" s="135">
        <v>45299</v>
      </c>
      <c r="L1738" s="153">
        <f t="shared" si="76"/>
        <v>-194.35</v>
      </c>
      <c r="M1738" s="111" t="s">
        <v>325</v>
      </c>
    </row>
    <row r="1739" spans="1:13" x14ac:dyDescent="0.35">
      <c r="A1739" s="109">
        <v>45510</v>
      </c>
      <c r="B1739" s="111" t="s">
        <v>65</v>
      </c>
      <c r="C1739" s="111" t="s">
        <v>21</v>
      </c>
      <c r="E1739" s="111" t="s">
        <v>2134</v>
      </c>
      <c r="F1739" s="149">
        <v>-68.3</v>
      </c>
      <c r="G1739" s="135"/>
      <c r="H1739" s="133" t="s">
        <v>66</v>
      </c>
      <c r="I1739" s="133" t="s">
        <v>119</v>
      </c>
      <c r="K1739" s="135"/>
      <c r="L1739" s="153">
        <f t="shared" si="76"/>
        <v>-68.3</v>
      </c>
      <c r="M1739" s="111" t="s">
        <v>2135</v>
      </c>
    </row>
    <row r="1740" spans="1:13" x14ac:dyDescent="0.35">
      <c r="A1740" s="109">
        <v>45511</v>
      </c>
      <c r="B1740" s="111" t="s">
        <v>65</v>
      </c>
      <c r="C1740" s="111" t="s">
        <v>21</v>
      </c>
      <c r="E1740" s="111" t="s">
        <v>2136</v>
      </c>
      <c r="F1740" s="149">
        <v>-73.150000000000006</v>
      </c>
      <c r="G1740" s="135"/>
      <c r="H1740" s="133" t="s">
        <v>66</v>
      </c>
      <c r="I1740" s="133" t="s">
        <v>119</v>
      </c>
      <c r="K1740" s="135"/>
      <c r="L1740" s="153">
        <f t="shared" si="76"/>
        <v>-73.150000000000006</v>
      </c>
      <c r="M1740" s="111" t="s">
        <v>379</v>
      </c>
    </row>
    <row r="1741" spans="1:13" x14ac:dyDescent="0.35">
      <c r="A1741" s="109">
        <v>45513</v>
      </c>
      <c r="B1741" s="111" t="s">
        <v>65</v>
      </c>
      <c r="C1741" s="111" t="s">
        <v>21</v>
      </c>
      <c r="E1741" s="111" t="s">
        <v>2137</v>
      </c>
      <c r="F1741" s="149">
        <v>-63.6</v>
      </c>
      <c r="G1741" s="135"/>
      <c r="H1741" s="133" t="s">
        <v>66</v>
      </c>
      <c r="I1741" s="133" t="s">
        <v>119</v>
      </c>
      <c r="K1741" s="135"/>
      <c r="L1741" s="153">
        <f t="shared" si="76"/>
        <v>-63.6</v>
      </c>
      <c r="M1741" s="111" t="s">
        <v>325</v>
      </c>
    </row>
    <row r="1742" spans="1:13" x14ac:dyDescent="0.35">
      <c r="A1742" s="109">
        <v>46010</v>
      </c>
      <c r="B1742" s="121" t="s">
        <v>57</v>
      </c>
      <c r="C1742" s="111" t="s">
        <v>25</v>
      </c>
      <c r="D1742" s="111" t="s">
        <v>715</v>
      </c>
      <c r="E1742" s="121" t="s">
        <v>2138</v>
      </c>
      <c r="F1742" s="153">
        <v>102.16</v>
      </c>
      <c r="H1742" s="133" t="s">
        <v>66</v>
      </c>
      <c r="I1742" s="133" t="s">
        <v>135</v>
      </c>
      <c r="K1742" s="135">
        <v>46069</v>
      </c>
    </row>
    <row r="1743" spans="1:13" x14ac:dyDescent="0.35">
      <c r="A1743" s="109">
        <v>46002</v>
      </c>
      <c r="B1743" s="121" t="s">
        <v>57</v>
      </c>
      <c r="C1743" s="140" t="s">
        <v>20</v>
      </c>
      <c r="D1743" s="121" t="s">
        <v>1200</v>
      </c>
      <c r="E1743" s="121" t="s">
        <v>2139</v>
      </c>
      <c r="F1743" s="153">
        <v>16.61</v>
      </c>
      <c r="G1743" s="135">
        <f>A1743+30</f>
        <v>46032</v>
      </c>
      <c r="H1743" s="133" t="s">
        <v>66</v>
      </c>
      <c r="I1743" s="133" t="s">
        <v>135</v>
      </c>
      <c r="K1743" s="160">
        <v>45666</v>
      </c>
    </row>
    <row r="1744" spans="1:13" x14ac:dyDescent="0.35">
      <c r="A1744" s="109">
        <v>46026</v>
      </c>
      <c r="B1744" s="111" t="s">
        <v>57</v>
      </c>
      <c r="C1744" s="140" t="s">
        <v>20</v>
      </c>
      <c r="D1744" s="111" t="s">
        <v>1200</v>
      </c>
      <c r="E1744" s="111" t="s">
        <v>2140</v>
      </c>
      <c r="F1744" s="153">
        <v>27.04</v>
      </c>
      <c r="G1744" s="135">
        <v>46057</v>
      </c>
      <c r="H1744" s="134" t="s">
        <v>66</v>
      </c>
      <c r="I1744" s="133" t="s">
        <v>135</v>
      </c>
      <c r="K1744" s="160">
        <v>45663</v>
      </c>
    </row>
    <row r="1745" spans="1:13" x14ac:dyDescent="0.35">
      <c r="A1745" s="109">
        <v>45517</v>
      </c>
      <c r="B1745" s="111" t="s">
        <v>65</v>
      </c>
      <c r="C1745" s="111" t="s">
        <v>21</v>
      </c>
      <c r="E1745" s="76" t="s">
        <v>2141</v>
      </c>
      <c r="F1745" s="149">
        <v>-186.8</v>
      </c>
      <c r="G1745" s="135"/>
      <c r="H1745" s="133" t="s">
        <v>66</v>
      </c>
      <c r="I1745" s="133" t="s">
        <v>119</v>
      </c>
      <c r="K1745" s="135"/>
      <c r="L1745" s="153">
        <f>F1745</f>
        <v>-186.8</v>
      </c>
      <c r="M1745" s="111" t="s">
        <v>325</v>
      </c>
    </row>
    <row r="1746" spans="1:13" x14ac:dyDescent="0.35">
      <c r="A1746" s="109">
        <v>45520</v>
      </c>
      <c r="B1746" s="111" t="s">
        <v>65</v>
      </c>
      <c r="C1746" s="111" t="s">
        <v>21</v>
      </c>
      <c r="E1746" s="76" t="s">
        <v>2142</v>
      </c>
      <c r="F1746" s="149">
        <v>-79.5</v>
      </c>
      <c r="G1746" s="135"/>
      <c r="H1746" s="133" t="s">
        <v>66</v>
      </c>
      <c r="I1746" s="133" t="s">
        <v>119</v>
      </c>
      <c r="K1746" s="135"/>
      <c r="L1746" s="153">
        <f>F1746</f>
        <v>-79.5</v>
      </c>
      <c r="M1746" s="111" t="s">
        <v>304</v>
      </c>
    </row>
    <row r="1747" spans="1:13" x14ac:dyDescent="0.35">
      <c r="A1747" s="109">
        <v>46021</v>
      </c>
      <c r="B1747" s="111" t="s">
        <v>57</v>
      </c>
      <c r="C1747" s="111" t="s">
        <v>25</v>
      </c>
      <c r="D1747" s="111" t="s">
        <v>715</v>
      </c>
      <c r="E1747" s="111" t="s">
        <v>2143</v>
      </c>
      <c r="F1747" s="153">
        <v>111.76</v>
      </c>
      <c r="G1747" s="135">
        <v>46051</v>
      </c>
      <c r="H1747" s="133" t="s">
        <v>66</v>
      </c>
      <c r="I1747" s="133" t="s">
        <v>135</v>
      </c>
      <c r="K1747" s="135">
        <v>46069</v>
      </c>
    </row>
    <row r="1748" spans="1:13" x14ac:dyDescent="0.35">
      <c r="A1748" s="109"/>
      <c r="E1748" s="234"/>
      <c r="F1748" s="153"/>
      <c r="G1748" s="135"/>
    </row>
    <row r="1749" spans="1:13" x14ac:dyDescent="0.35">
      <c r="A1749" s="109">
        <v>45524</v>
      </c>
      <c r="B1749" s="111" t="s">
        <v>65</v>
      </c>
      <c r="C1749" s="111" t="s">
        <v>21</v>
      </c>
      <c r="E1749" s="76" t="s">
        <v>2144</v>
      </c>
      <c r="F1749" s="149">
        <v>-172.28</v>
      </c>
      <c r="G1749" s="135"/>
      <c r="H1749" s="133" t="s">
        <v>66</v>
      </c>
      <c r="I1749" s="133" t="s">
        <v>119</v>
      </c>
      <c r="K1749" s="135"/>
      <c r="L1749" s="153">
        <f>F1749</f>
        <v>-172.28</v>
      </c>
      <c r="M1749" s="111" t="s">
        <v>2145</v>
      </c>
    </row>
    <row r="1750" spans="1:13" s="224" customFormat="1" x14ac:dyDescent="0.35">
      <c r="A1750" s="109">
        <v>45527</v>
      </c>
      <c r="B1750" s="111" t="s">
        <v>65</v>
      </c>
      <c r="C1750" s="111" t="s">
        <v>21</v>
      </c>
      <c r="D1750" s="111"/>
      <c r="E1750" s="76" t="s">
        <v>2146</v>
      </c>
      <c r="F1750" s="149">
        <v>-127.2</v>
      </c>
      <c r="G1750" s="135"/>
      <c r="H1750" s="133" t="s">
        <v>66</v>
      </c>
      <c r="I1750" s="133" t="s">
        <v>119</v>
      </c>
      <c r="J1750" s="111"/>
      <c r="K1750" s="135"/>
      <c r="L1750" s="153">
        <f>F1750</f>
        <v>-127.2</v>
      </c>
      <c r="M1750" s="111" t="s">
        <v>325</v>
      </c>
    </row>
    <row r="1751" spans="1:13" x14ac:dyDescent="0.35">
      <c r="A1751" s="109">
        <v>45531</v>
      </c>
      <c r="B1751" s="111" t="s">
        <v>65</v>
      </c>
      <c r="C1751" s="111" t="s">
        <v>21</v>
      </c>
      <c r="E1751" s="76" t="s">
        <v>2147</v>
      </c>
      <c r="F1751" s="149">
        <v>-167.48</v>
      </c>
      <c r="G1751" s="135"/>
      <c r="H1751" s="133" t="s">
        <v>66</v>
      </c>
      <c r="I1751" s="133" t="s">
        <v>119</v>
      </c>
      <c r="K1751" s="135"/>
      <c r="L1751" s="153">
        <f>F1751</f>
        <v>-167.48</v>
      </c>
      <c r="M1751" s="111" t="s">
        <v>325</v>
      </c>
    </row>
    <row r="1752" spans="1:13" x14ac:dyDescent="0.35">
      <c r="A1752" s="109">
        <v>46053</v>
      </c>
      <c r="B1752" s="111" t="s">
        <v>57</v>
      </c>
      <c r="C1752" s="111" t="s">
        <v>1962</v>
      </c>
      <c r="E1752" s="111" t="s">
        <v>2148</v>
      </c>
      <c r="F1752" s="153">
        <v>3789.75</v>
      </c>
      <c r="G1752" s="135">
        <v>46061</v>
      </c>
      <c r="H1752" s="133" t="s">
        <v>59</v>
      </c>
      <c r="I1752" s="133" t="s">
        <v>135</v>
      </c>
      <c r="M1752" s="196" t="s">
        <v>2149</v>
      </c>
    </row>
    <row r="1753" spans="1:13" x14ac:dyDescent="0.35">
      <c r="A1753" s="109">
        <v>45538</v>
      </c>
      <c r="B1753" s="111" t="s">
        <v>65</v>
      </c>
      <c r="C1753" s="111" t="s">
        <v>21</v>
      </c>
      <c r="E1753" s="111" t="s">
        <v>2150</v>
      </c>
      <c r="F1753" s="149">
        <v>-159.08000000000001</v>
      </c>
      <c r="G1753" s="135"/>
      <c r="H1753" s="133" t="s">
        <v>66</v>
      </c>
      <c r="I1753" s="133" t="s">
        <v>119</v>
      </c>
      <c r="K1753" s="135"/>
      <c r="L1753" s="153">
        <f>F1753</f>
        <v>-159.08000000000001</v>
      </c>
      <c r="M1753" s="111" t="s">
        <v>325</v>
      </c>
    </row>
    <row r="1754" spans="1:13" x14ac:dyDescent="0.35">
      <c r="A1754" s="109">
        <v>46021</v>
      </c>
      <c r="B1754" s="111" t="s">
        <v>57</v>
      </c>
      <c r="C1754" s="111" t="s">
        <v>982</v>
      </c>
      <c r="E1754" s="111" t="s">
        <v>2151</v>
      </c>
      <c r="F1754" s="153">
        <v>60.46</v>
      </c>
      <c r="G1754" s="135">
        <v>46051</v>
      </c>
      <c r="H1754" s="133" t="s">
        <v>66</v>
      </c>
      <c r="I1754" s="133" t="s">
        <v>135</v>
      </c>
      <c r="K1754" s="160">
        <v>46056</v>
      </c>
    </row>
    <row r="1755" spans="1:13" x14ac:dyDescent="0.35">
      <c r="A1755" s="109">
        <v>45891</v>
      </c>
      <c r="B1755" s="121" t="s">
        <v>57</v>
      </c>
      <c r="C1755" s="121" t="s">
        <v>2152</v>
      </c>
      <c r="E1755" s="121" t="s">
        <v>2153</v>
      </c>
      <c r="F1755" s="153">
        <v>498</v>
      </c>
      <c r="G1755" s="135">
        <f>A1755+30</f>
        <v>45921</v>
      </c>
      <c r="H1755" s="134" t="s">
        <v>66</v>
      </c>
      <c r="I1755" s="133" t="s">
        <v>232</v>
      </c>
      <c r="K1755" s="135">
        <v>45917</v>
      </c>
    </row>
    <row r="1756" spans="1:13" x14ac:dyDescent="0.35">
      <c r="A1756" s="109">
        <v>45818</v>
      </c>
      <c r="B1756" s="111" t="s">
        <v>57</v>
      </c>
      <c r="C1756" s="111" t="s">
        <v>2154</v>
      </c>
      <c r="E1756" s="121" t="s">
        <v>2155</v>
      </c>
      <c r="F1756" s="153">
        <v>290</v>
      </c>
      <c r="H1756" s="133" t="s">
        <v>66</v>
      </c>
      <c r="I1756" s="133" t="s">
        <v>135</v>
      </c>
      <c r="K1756" s="135">
        <v>45819</v>
      </c>
      <c r="L1756" s="153">
        <f>F1756</f>
        <v>290</v>
      </c>
      <c r="M1756" s="111"/>
    </row>
    <row r="1757" spans="1:13" x14ac:dyDescent="0.35">
      <c r="A1757" s="109">
        <v>45842</v>
      </c>
      <c r="B1757" s="111" t="s">
        <v>57</v>
      </c>
      <c r="C1757" s="111" t="s">
        <v>2156</v>
      </c>
      <c r="D1757" s="111" t="s">
        <v>2156</v>
      </c>
      <c r="E1757" s="111" t="s">
        <v>2157</v>
      </c>
      <c r="F1757" s="153">
        <v>390</v>
      </c>
      <c r="H1757" s="134" t="s">
        <v>66</v>
      </c>
      <c r="I1757" s="133" t="s">
        <v>232</v>
      </c>
      <c r="K1757" s="135">
        <v>45867</v>
      </c>
      <c r="M1757" s="196">
        <v>506483053</v>
      </c>
    </row>
    <row r="1758" spans="1:13" x14ac:dyDescent="0.35">
      <c r="A1758" s="109">
        <v>45541</v>
      </c>
      <c r="B1758" s="111" t="s">
        <v>65</v>
      </c>
      <c r="C1758" s="111" t="s">
        <v>21</v>
      </c>
      <c r="E1758" t="s">
        <v>2158</v>
      </c>
      <c r="F1758" s="149">
        <v>-79.5</v>
      </c>
      <c r="G1758" s="135"/>
      <c r="H1758" s="133" t="s">
        <v>66</v>
      </c>
      <c r="I1758" s="133" t="s">
        <v>119</v>
      </c>
      <c r="K1758" s="135"/>
      <c r="L1758" s="153">
        <f t="shared" ref="L1758:L1775" si="77">F1758</f>
        <v>-79.5</v>
      </c>
      <c r="M1758" s="111" t="s">
        <v>325</v>
      </c>
    </row>
    <row r="1759" spans="1:13" x14ac:dyDescent="0.35">
      <c r="A1759" s="109">
        <v>45443</v>
      </c>
      <c r="B1759" s="121" t="s">
        <v>57</v>
      </c>
      <c r="C1759" s="111" t="s">
        <v>2159</v>
      </c>
      <c r="D1759" s="111" t="s">
        <v>2160</v>
      </c>
      <c r="E1759" t="s">
        <v>2161</v>
      </c>
      <c r="F1759" s="149">
        <v>204</v>
      </c>
      <c r="G1759" s="135">
        <f>A1759+30</f>
        <v>45473</v>
      </c>
      <c r="H1759" s="133" t="s">
        <v>66</v>
      </c>
      <c r="K1759" s="135"/>
      <c r="L1759" s="153">
        <f t="shared" si="77"/>
        <v>204</v>
      </c>
      <c r="M1759" s="111">
        <v>505178281</v>
      </c>
    </row>
    <row r="1760" spans="1:13" x14ac:dyDescent="0.35">
      <c r="A1760" s="109">
        <v>45545</v>
      </c>
      <c r="B1760" s="111" t="s">
        <v>65</v>
      </c>
      <c r="C1760" s="111" t="s">
        <v>21</v>
      </c>
      <c r="E1760" s="111" t="s">
        <v>2162</v>
      </c>
      <c r="F1760" s="149">
        <v>-151.05000000000001</v>
      </c>
      <c r="G1760" s="135"/>
      <c r="H1760" s="133" t="s">
        <v>66</v>
      </c>
      <c r="I1760" s="133" t="s">
        <v>119</v>
      </c>
      <c r="K1760" s="135"/>
      <c r="L1760" s="153">
        <f t="shared" si="77"/>
        <v>-151.05000000000001</v>
      </c>
      <c r="M1760" s="111" t="s">
        <v>325</v>
      </c>
    </row>
    <row r="1761" spans="1:13" x14ac:dyDescent="0.35">
      <c r="A1761" s="109">
        <v>45548</v>
      </c>
      <c r="B1761" s="111" t="s">
        <v>65</v>
      </c>
      <c r="C1761" s="111" t="s">
        <v>21</v>
      </c>
      <c r="E1761" s="111" t="s">
        <v>2163</v>
      </c>
      <c r="F1761" s="149">
        <v>-31.799999999999997</v>
      </c>
      <c r="G1761" s="135"/>
      <c r="H1761" s="133" t="s">
        <v>66</v>
      </c>
      <c r="I1761" s="133" t="s">
        <v>119</v>
      </c>
      <c r="K1761" s="135"/>
      <c r="L1761" s="153">
        <f t="shared" si="77"/>
        <v>-31.799999999999997</v>
      </c>
      <c r="M1761" s="111" t="s">
        <v>2164</v>
      </c>
    </row>
    <row r="1762" spans="1:13" x14ac:dyDescent="0.35">
      <c r="A1762" s="109">
        <v>45551</v>
      </c>
      <c r="B1762" s="111" t="s">
        <v>65</v>
      </c>
      <c r="C1762" s="111" t="s">
        <v>21</v>
      </c>
      <c r="E1762" s="111" t="s">
        <v>2165</v>
      </c>
      <c r="F1762" s="149">
        <v>-119.25</v>
      </c>
      <c r="G1762" s="135"/>
      <c r="H1762" s="133" t="s">
        <v>66</v>
      </c>
      <c r="I1762" s="133" t="s">
        <v>119</v>
      </c>
      <c r="K1762" s="135"/>
      <c r="L1762" s="153">
        <f t="shared" si="77"/>
        <v>-119.25</v>
      </c>
      <c r="M1762" s="111" t="s">
        <v>325</v>
      </c>
    </row>
    <row r="1763" spans="1:13" x14ac:dyDescent="0.35">
      <c r="A1763" s="109">
        <v>45559</v>
      </c>
      <c r="B1763" s="111" t="s">
        <v>65</v>
      </c>
      <c r="C1763" s="111" t="s">
        <v>21</v>
      </c>
      <c r="E1763" t="s">
        <v>2166</v>
      </c>
      <c r="F1763" s="149">
        <v>-90.1</v>
      </c>
      <c r="G1763" s="135"/>
      <c r="H1763" s="133" t="s">
        <v>66</v>
      </c>
      <c r="I1763" s="133" t="s">
        <v>119</v>
      </c>
      <c r="K1763" s="135"/>
      <c r="L1763" s="153">
        <f t="shared" si="77"/>
        <v>-90.1</v>
      </c>
      <c r="M1763" s="111" t="s">
        <v>325</v>
      </c>
    </row>
    <row r="1764" spans="1:13" x14ac:dyDescent="0.35">
      <c r="A1764" s="109">
        <v>45562</v>
      </c>
      <c r="B1764" s="111" t="s">
        <v>65</v>
      </c>
      <c r="C1764" s="111" t="s">
        <v>21</v>
      </c>
      <c r="E1764" s="111" t="s">
        <v>2167</v>
      </c>
      <c r="F1764" s="149">
        <v>-43.25</v>
      </c>
      <c r="G1764" s="135"/>
      <c r="H1764" s="133" t="s">
        <v>66</v>
      </c>
      <c r="I1764" s="133" t="s">
        <v>119</v>
      </c>
      <c r="K1764" s="135"/>
      <c r="L1764" s="153">
        <f t="shared" si="77"/>
        <v>-43.25</v>
      </c>
      <c r="M1764" s="111" t="s">
        <v>325</v>
      </c>
    </row>
    <row r="1765" spans="1:13" x14ac:dyDescent="0.35">
      <c r="A1765" s="109">
        <v>45566</v>
      </c>
      <c r="B1765" s="111" t="s">
        <v>65</v>
      </c>
      <c r="C1765" s="111" t="s">
        <v>21</v>
      </c>
      <c r="E1765" s="111" t="s">
        <v>2168</v>
      </c>
      <c r="F1765" s="149">
        <v>-112.41</v>
      </c>
      <c r="G1765" s="135"/>
      <c r="H1765" s="133" t="s">
        <v>66</v>
      </c>
      <c r="I1765" s="133" t="s">
        <v>119</v>
      </c>
      <c r="K1765" s="135">
        <v>45602</v>
      </c>
      <c r="L1765" s="153">
        <f t="shared" si="77"/>
        <v>-112.41</v>
      </c>
      <c r="M1765" s="111" t="s">
        <v>325</v>
      </c>
    </row>
    <row r="1766" spans="1:13" x14ac:dyDescent="0.35">
      <c r="A1766" s="109">
        <v>45573</v>
      </c>
      <c r="B1766" s="111" t="s">
        <v>65</v>
      </c>
      <c r="C1766" s="111" t="s">
        <v>21</v>
      </c>
      <c r="E1766" s="111" t="s">
        <v>2169</v>
      </c>
      <c r="F1766" s="149">
        <v>-124.44</v>
      </c>
      <c r="G1766" s="135"/>
      <c r="H1766" s="133" t="s">
        <v>66</v>
      </c>
      <c r="I1766" s="133" t="s">
        <v>119</v>
      </c>
      <c r="K1766" s="135">
        <v>45602</v>
      </c>
      <c r="L1766" s="153">
        <f t="shared" si="77"/>
        <v>-124.44</v>
      </c>
      <c r="M1766" s="111" t="s">
        <v>325</v>
      </c>
    </row>
    <row r="1767" spans="1:13" x14ac:dyDescent="0.35">
      <c r="A1767" s="109">
        <v>45699</v>
      </c>
      <c r="B1767" s="111" t="s">
        <v>57</v>
      </c>
      <c r="C1767" s="111" t="s">
        <v>44</v>
      </c>
      <c r="D1767" s="111" t="s">
        <v>1510</v>
      </c>
      <c r="E1767" t="s">
        <v>2170</v>
      </c>
      <c r="F1767" s="153">
        <v>54</v>
      </c>
      <c r="G1767" s="135">
        <v>45727</v>
      </c>
      <c r="H1767" s="134" t="s">
        <v>66</v>
      </c>
      <c r="I1767" s="133" t="s">
        <v>135</v>
      </c>
      <c r="J1767" s="135"/>
      <c r="K1767" s="135">
        <v>45747</v>
      </c>
      <c r="L1767" s="153">
        <f t="shared" si="77"/>
        <v>54</v>
      </c>
      <c r="M1767" s="111">
        <v>514083050</v>
      </c>
    </row>
    <row r="1768" spans="1:13" x14ac:dyDescent="0.35">
      <c r="A1768" s="109">
        <v>45403</v>
      </c>
      <c r="B1768" s="121" t="s">
        <v>57</v>
      </c>
      <c r="C1768" s="111" t="s">
        <v>2171</v>
      </c>
      <c r="D1768" s="111" t="s">
        <v>2172</v>
      </c>
      <c r="E1768" t="s">
        <v>2173</v>
      </c>
      <c r="F1768" s="167">
        <v>59.26</v>
      </c>
      <c r="G1768" s="135">
        <f>A1768+30</f>
        <v>45433</v>
      </c>
      <c r="H1768" s="133" t="s">
        <v>66</v>
      </c>
      <c r="K1768" s="135"/>
      <c r="L1768" s="153">
        <f t="shared" si="77"/>
        <v>59.26</v>
      </c>
      <c r="M1768" s="111">
        <v>501710787</v>
      </c>
    </row>
    <row r="1769" spans="1:13" x14ac:dyDescent="0.35">
      <c r="A1769" s="109">
        <v>45580</v>
      </c>
      <c r="B1769" s="111" t="s">
        <v>65</v>
      </c>
      <c r="C1769" s="111" t="s">
        <v>21</v>
      </c>
      <c r="E1769" s="111" t="s">
        <v>2174</v>
      </c>
      <c r="F1769" s="149">
        <v>-124.12</v>
      </c>
      <c r="G1769" s="135"/>
      <c r="H1769" s="133" t="s">
        <v>66</v>
      </c>
      <c r="I1769" s="133" t="s">
        <v>119</v>
      </c>
      <c r="K1769" s="135">
        <v>45602</v>
      </c>
      <c r="L1769" s="153">
        <f t="shared" si="77"/>
        <v>-124.12</v>
      </c>
      <c r="M1769" s="111" t="s">
        <v>325</v>
      </c>
    </row>
    <row r="1770" spans="1:13" x14ac:dyDescent="0.35">
      <c r="A1770" s="109">
        <v>45587</v>
      </c>
      <c r="B1770" s="111" t="s">
        <v>65</v>
      </c>
      <c r="C1770" s="111" t="s">
        <v>21</v>
      </c>
      <c r="E1770" s="111" t="s">
        <v>2175</v>
      </c>
      <c r="F1770" s="149">
        <v>-140.87</v>
      </c>
      <c r="G1770" s="135"/>
      <c r="H1770" s="133" t="s">
        <v>66</v>
      </c>
      <c r="I1770" s="133" t="s">
        <v>119</v>
      </c>
      <c r="K1770" s="135">
        <v>45602</v>
      </c>
      <c r="L1770" s="153">
        <f t="shared" si="77"/>
        <v>-140.87</v>
      </c>
      <c r="M1770" s="111" t="s">
        <v>325</v>
      </c>
    </row>
    <row r="1771" spans="1:13" x14ac:dyDescent="0.35">
      <c r="A1771" s="109">
        <v>45590</v>
      </c>
      <c r="B1771" s="111" t="s">
        <v>65</v>
      </c>
      <c r="C1771" s="111" t="s">
        <v>21</v>
      </c>
      <c r="E1771" s="111" t="s">
        <v>2176</v>
      </c>
      <c r="F1771" s="149">
        <v>-55.65</v>
      </c>
      <c r="G1771" s="135"/>
      <c r="H1771" s="133" t="s">
        <v>66</v>
      </c>
      <c r="I1771" s="133" t="s">
        <v>119</v>
      </c>
      <c r="K1771" s="135">
        <v>45602</v>
      </c>
      <c r="L1771" s="153">
        <f t="shared" si="77"/>
        <v>-55.65</v>
      </c>
      <c r="M1771" s="111" t="s">
        <v>328</v>
      </c>
    </row>
    <row r="1772" spans="1:13" x14ac:dyDescent="0.35">
      <c r="A1772" s="109">
        <v>45594</v>
      </c>
      <c r="B1772" s="111" t="s">
        <v>65</v>
      </c>
      <c r="C1772" s="111" t="s">
        <v>21</v>
      </c>
      <c r="E1772" s="111" t="s">
        <v>2177</v>
      </c>
      <c r="F1772" s="149">
        <v>-111.3</v>
      </c>
      <c r="G1772" s="135"/>
      <c r="H1772" s="133" t="s">
        <v>66</v>
      </c>
      <c r="I1772" s="133" t="s">
        <v>119</v>
      </c>
      <c r="K1772" s="135">
        <v>45602</v>
      </c>
      <c r="L1772" s="153">
        <f t="shared" si="77"/>
        <v>-111.3</v>
      </c>
      <c r="M1772" s="111" t="s">
        <v>294</v>
      </c>
    </row>
    <row r="1773" spans="1:13" x14ac:dyDescent="0.35">
      <c r="A1773" s="109">
        <v>45597</v>
      </c>
      <c r="B1773" s="111" t="s">
        <v>65</v>
      </c>
      <c r="C1773" s="111" t="s">
        <v>21</v>
      </c>
      <c r="E1773" s="111" t="s">
        <v>2178</v>
      </c>
      <c r="F1773" s="149">
        <v>-89.04</v>
      </c>
      <c r="G1773" s="135"/>
      <c r="H1773" s="133" t="s">
        <v>66</v>
      </c>
      <c r="I1773" s="133" t="s">
        <v>119</v>
      </c>
      <c r="K1773" s="135">
        <v>45636</v>
      </c>
      <c r="L1773" s="153">
        <f t="shared" si="77"/>
        <v>-89.04</v>
      </c>
      <c r="M1773" s="111"/>
    </row>
    <row r="1774" spans="1:13" x14ac:dyDescent="0.35">
      <c r="A1774" s="109">
        <v>45604</v>
      </c>
      <c r="B1774" s="111" t="s">
        <v>65</v>
      </c>
      <c r="C1774" s="111" t="s">
        <v>21</v>
      </c>
      <c r="E1774" s="111" t="s">
        <v>2179</v>
      </c>
      <c r="F1774" s="149">
        <v>-144.44</v>
      </c>
      <c r="G1774" s="135"/>
      <c r="H1774" s="133" t="s">
        <v>66</v>
      </c>
      <c r="I1774" s="133" t="s">
        <v>119</v>
      </c>
      <c r="K1774" s="135">
        <v>45636</v>
      </c>
      <c r="L1774" s="153">
        <f t="shared" si="77"/>
        <v>-144.44</v>
      </c>
      <c r="M1774" s="111" t="s">
        <v>2180</v>
      </c>
    </row>
    <row r="1775" spans="1:13" x14ac:dyDescent="0.35">
      <c r="A1775" s="109">
        <v>45608</v>
      </c>
      <c r="B1775" s="111" t="s">
        <v>65</v>
      </c>
      <c r="C1775" s="111" t="s">
        <v>21</v>
      </c>
      <c r="E1775" s="111" t="s">
        <v>2181</v>
      </c>
      <c r="F1775" s="149">
        <v>-109.92</v>
      </c>
      <c r="G1775" s="135"/>
      <c r="H1775" s="133" t="s">
        <v>66</v>
      </c>
      <c r="I1775" s="133" t="s">
        <v>119</v>
      </c>
      <c r="K1775" s="135">
        <v>45636</v>
      </c>
      <c r="L1775" s="153">
        <f t="shared" si="77"/>
        <v>-109.92</v>
      </c>
      <c r="M1775" s="111"/>
    </row>
    <row r="1776" spans="1:13" x14ac:dyDescent="0.35">
      <c r="A1776" s="109">
        <v>45991</v>
      </c>
      <c r="B1776" s="111" t="s">
        <v>65</v>
      </c>
      <c r="C1776" s="111" t="s">
        <v>78</v>
      </c>
      <c r="E1776" s="111" t="s">
        <v>1071</v>
      </c>
      <c r="F1776" s="153">
        <v>-3918.91</v>
      </c>
      <c r="G1776" s="135">
        <f>A1776+30</f>
        <v>46021</v>
      </c>
      <c r="H1776" s="133" t="s">
        <v>447</v>
      </c>
      <c r="I1776" s="133" t="s">
        <v>145</v>
      </c>
      <c r="J1776" s="109">
        <v>46167</v>
      </c>
    </row>
    <row r="1777" spans="1:13" x14ac:dyDescent="0.35">
      <c r="A1777" s="109">
        <v>45991</v>
      </c>
      <c r="B1777" s="111" t="s">
        <v>65</v>
      </c>
      <c r="C1777" s="111" t="s">
        <v>78</v>
      </c>
      <c r="E1777" s="111" t="s">
        <v>2182</v>
      </c>
      <c r="F1777" s="153">
        <v>-978.11</v>
      </c>
      <c r="G1777" s="135">
        <f>A1777+30</f>
        <v>46021</v>
      </c>
      <c r="H1777" s="133" t="s">
        <v>447</v>
      </c>
      <c r="I1777" s="133" t="s">
        <v>145</v>
      </c>
      <c r="J1777" s="109">
        <v>46167</v>
      </c>
    </row>
    <row r="1778" spans="1:13" x14ac:dyDescent="0.35">
      <c r="A1778" s="109">
        <v>46013</v>
      </c>
      <c r="B1778" s="121" t="s">
        <v>65</v>
      </c>
      <c r="C1778" s="121" t="s">
        <v>78</v>
      </c>
      <c r="E1778" s="121" t="s">
        <v>2183</v>
      </c>
      <c r="F1778" s="153">
        <v>-2015.01</v>
      </c>
      <c r="G1778" s="135">
        <f>A1778+30</f>
        <v>46043</v>
      </c>
      <c r="H1778" s="133" t="s">
        <v>447</v>
      </c>
      <c r="I1778" s="133" t="s">
        <v>145</v>
      </c>
      <c r="J1778" s="109">
        <v>46195</v>
      </c>
    </row>
    <row r="1779" spans="1:13" x14ac:dyDescent="0.35">
      <c r="A1779" s="109">
        <v>45615</v>
      </c>
      <c r="B1779" s="111" t="s">
        <v>65</v>
      </c>
      <c r="C1779" s="111" t="s">
        <v>21</v>
      </c>
      <c r="E1779" s="111" t="s">
        <v>2184</v>
      </c>
      <c r="F1779" s="149">
        <v>-40.700000000000003</v>
      </c>
      <c r="G1779" s="135">
        <v>45645</v>
      </c>
      <c r="H1779" s="133" t="s">
        <v>66</v>
      </c>
      <c r="I1779" s="133" t="s">
        <v>119</v>
      </c>
      <c r="K1779" s="135">
        <v>45636</v>
      </c>
      <c r="L1779" s="153">
        <f>F1779</f>
        <v>-40.700000000000003</v>
      </c>
      <c r="M1779" s="111"/>
    </row>
    <row r="1780" spans="1:13" x14ac:dyDescent="0.35">
      <c r="A1780" s="109">
        <v>45618</v>
      </c>
      <c r="B1780" s="111" t="s">
        <v>65</v>
      </c>
      <c r="C1780" s="111" t="s">
        <v>21</v>
      </c>
      <c r="E1780" s="111" t="s">
        <v>2185</v>
      </c>
      <c r="F1780" s="149">
        <v>-23.06</v>
      </c>
      <c r="G1780" s="135">
        <v>45648</v>
      </c>
      <c r="H1780" s="133" t="s">
        <v>66</v>
      </c>
      <c r="I1780" s="133" t="s">
        <v>119</v>
      </c>
      <c r="K1780" s="135">
        <v>45636</v>
      </c>
      <c r="L1780" s="153">
        <f>F1780</f>
        <v>-23.06</v>
      </c>
      <c r="M1780" s="111"/>
    </row>
    <row r="1781" spans="1:13" x14ac:dyDescent="0.35">
      <c r="A1781" s="109">
        <v>45622</v>
      </c>
      <c r="B1781" s="111" t="s">
        <v>65</v>
      </c>
      <c r="C1781" s="111" t="s">
        <v>21</v>
      </c>
      <c r="E1781" s="111" t="s">
        <v>2186</v>
      </c>
      <c r="F1781" s="149">
        <v>-15.9</v>
      </c>
      <c r="G1781" s="135">
        <v>45652</v>
      </c>
      <c r="H1781" s="133" t="s">
        <v>66</v>
      </c>
      <c r="I1781" s="133" t="s">
        <v>119</v>
      </c>
      <c r="K1781" s="135">
        <v>45636</v>
      </c>
      <c r="L1781" s="153">
        <f>F1781</f>
        <v>-15.9</v>
      </c>
      <c r="M1781" s="111"/>
    </row>
    <row r="1782" spans="1:13" x14ac:dyDescent="0.35">
      <c r="A1782" s="109">
        <v>45629</v>
      </c>
      <c r="B1782" s="111" t="s">
        <v>65</v>
      </c>
      <c r="C1782" s="111" t="s">
        <v>21</v>
      </c>
      <c r="E1782" s="111" t="s">
        <v>2187</v>
      </c>
      <c r="F1782" s="149">
        <v>-39.01</v>
      </c>
      <c r="G1782" s="135">
        <f>IF(OR(C1782="Matosinhos",C1782="Bolhão"),A1782,A1782+30)</f>
        <v>45659</v>
      </c>
      <c r="H1782" s="133" t="s">
        <v>66</v>
      </c>
      <c r="I1782" s="133" t="s">
        <v>119</v>
      </c>
      <c r="K1782" s="135">
        <v>45666</v>
      </c>
      <c r="L1782" s="153">
        <f>F1782</f>
        <v>-39.01</v>
      </c>
      <c r="M1782" s="111"/>
    </row>
    <row r="1783" spans="1:13" x14ac:dyDescent="0.35">
      <c r="B1783" s="111" t="s">
        <v>65</v>
      </c>
      <c r="E1783" s="111" t="s">
        <v>1543</v>
      </c>
      <c r="F1783" s="153"/>
    </row>
    <row r="1784" spans="1:13" x14ac:dyDescent="0.35">
      <c r="E1784" s="111" t="s">
        <v>1543</v>
      </c>
      <c r="F1784" s="153"/>
    </row>
    <row r="1785" spans="1:13" x14ac:dyDescent="0.35">
      <c r="A1785" s="109">
        <v>45120</v>
      </c>
      <c r="B1785" s="121" t="s">
        <v>57</v>
      </c>
      <c r="C1785" s="111" t="s">
        <v>2188</v>
      </c>
      <c r="D1785" s="111" t="s">
        <v>2172</v>
      </c>
      <c r="E1785" t="s">
        <v>2189</v>
      </c>
      <c r="F1785" s="167">
        <v>89.5</v>
      </c>
      <c r="G1785" s="135">
        <f>A1785+30</f>
        <v>45150</v>
      </c>
      <c r="H1785" s="133" t="s">
        <v>66</v>
      </c>
      <c r="K1785" s="135"/>
      <c r="L1785" s="153">
        <f>F1785</f>
        <v>89.5</v>
      </c>
      <c r="M1785" s="111">
        <v>501710787</v>
      </c>
    </row>
    <row r="1786" spans="1:13" x14ac:dyDescent="0.35">
      <c r="A1786" s="109">
        <v>45006</v>
      </c>
      <c r="B1786" s="121" t="s">
        <v>57</v>
      </c>
      <c r="C1786" s="111" t="s">
        <v>2188</v>
      </c>
      <c r="D1786" s="111" t="s">
        <v>2172</v>
      </c>
      <c r="E1786" s="111" t="s">
        <v>2190</v>
      </c>
      <c r="F1786" s="167">
        <v>59</v>
      </c>
      <c r="G1786" s="135">
        <f>A1786+30</f>
        <v>45036</v>
      </c>
      <c r="H1786" s="133" t="s">
        <v>66</v>
      </c>
      <c r="K1786" s="135"/>
      <c r="L1786" s="153">
        <f>F1786</f>
        <v>59</v>
      </c>
      <c r="M1786" s="111">
        <v>501710787</v>
      </c>
    </row>
    <row r="1787" spans="1:13" x14ac:dyDescent="0.35">
      <c r="A1787" s="109">
        <v>45972</v>
      </c>
      <c r="B1787" s="111" t="s">
        <v>57</v>
      </c>
      <c r="C1787" s="140" t="s">
        <v>51</v>
      </c>
      <c r="D1787" s="111" t="s">
        <v>2191</v>
      </c>
      <c r="E1787" s="111" t="s">
        <v>2192</v>
      </c>
      <c r="F1787" s="153">
        <v>26.24</v>
      </c>
      <c r="G1787" s="135">
        <f>A1787+30</f>
        <v>46002</v>
      </c>
      <c r="H1787" s="133" t="s">
        <v>66</v>
      </c>
      <c r="I1787" s="133" t="s">
        <v>135</v>
      </c>
      <c r="K1787" s="135">
        <v>46066</v>
      </c>
    </row>
    <row r="1788" spans="1:13" x14ac:dyDescent="0.35">
      <c r="A1788" s="109">
        <v>46009</v>
      </c>
      <c r="B1788" s="121" t="s">
        <v>57</v>
      </c>
      <c r="C1788" s="111" t="s">
        <v>51</v>
      </c>
      <c r="D1788" s="111" t="s">
        <v>2191</v>
      </c>
      <c r="E1788" s="121" t="s">
        <v>2193</v>
      </c>
      <c r="F1788" s="153">
        <v>27.99</v>
      </c>
      <c r="G1788" s="135">
        <f>A1788+30</f>
        <v>46039</v>
      </c>
      <c r="H1788" s="133" t="s">
        <v>66</v>
      </c>
      <c r="I1788" s="133" t="s">
        <v>135</v>
      </c>
      <c r="K1788" s="135">
        <v>46066</v>
      </c>
    </row>
    <row r="1789" spans="1:13" x14ac:dyDescent="0.35">
      <c r="A1789" s="109">
        <v>45646</v>
      </c>
      <c r="B1789" s="111" t="s">
        <v>65</v>
      </c>
      <c r="C1789" s="111" t="s">
        <v>21</v>
      </c>
      <c r="E1789" t="s">
        <v>2194</v>
      </c>
      <c r="F1789" s="149">
        <v>-21.69</v>
      </c>
      <c r="G1789" s="135">
        <f>IF(OR(C1789="Matosinhos",C1789="Bolhão"),A1789,A1789+30)</f>
        <v>45676</v>
      </c>
      <c r="H1789" s="133" t="s">
        <v>66</v>
      </c>
      <c r="I1789" s="133" t="s">
        <v>119</v>
      </c>
      <c r="K1789" s="135">
        <v>45666</v>
      </c>
      <c r="L1789" s="153">
        <f>F1789</f>
        <v>-21.69</v>
      </c>
      <c r="M1789" s="111"/>
    </row>
    <row r="1790" spans="1:13" x14ac:dyDescent="0.35">
      <c r="B1790" s="121" t="s">
        <v>57</v>
      </c>
      <c r="C1790" s="121" t="s">
        <v>2195</v>
      </c>
      <c r="D1790" s="121" t="s">
        <v>2196</v>
      </c>
      <c r="E1790" s="121" t="s">
        <v>2197</v>
      </c>
      <c r="F1790" s="153">
        <v>365</v>
      </c>
      <c r="H1790" s="134" t="s">
        <v>66</v>
      </c>
      <c r="I1790" s="134" t="s">
        <v>232</v>
      </c>
      <c r="K1790" s="160">
        <v>46007</v>
      </c>
    </row>
    <row r="1791" spans="1:13" x14ac:dyDescent="0.35">
      <c r="A1791" s="109">
        <v>45648</v>
      </c>
      <c r="B1791" s="111" t="s">
        <v>65</v>
      </c>
      <c r="C1791" s="111" t="s">
        <v>21</v>
      </c>
      <c r="E1791" s="111" t="s">
        <v>2198</v>
      </c>
      <c r="F1791" s="149">
        <v>-57.24</v>
      </c>
      <c r="G1791" s="135">
        <f>IF(OR(C1791="Matosinhos",C1791="Bolhão"),A1791,A1791+30)</f>
        <v>45678</v>
      </c>
      <c r="H1791" s="133" t="s">
        <v>66</v>
      </c>
      <c r="I1791" s="133" t="s">
        <v>119</v>
      </c>
      <c r="K1791" s="135">
        <v>45666</v>
      </c>
      <c r="L1791" s="153">
        <f>F1791</f>
        <v>-57.24</v>
      </c>
      <c r="M1791" s="111"/>
    </row>
    <row r="1792" spans="1:13" x14ac:dyDescent="0.35">
      <c r="A1792" s="109">
        <v>45649</v>
      </c>
      <c r="B1792" s="111" t="s">
        <v>65</v>
      </c>
      <c r="C1792" s="111" t="s">
        <v>21</v>
      </c>
      <c r="E1792" s="111" t="s">
        <v>2199</v>
      </c>
      <c r="F1792" s="149">
        <v>-16.43</v>
      </c>
      <c r="G1792" s="135">
        <f>IF(OR(C1792="Matosinhos",C1792="Bolhão"),A1792,A1792+30)</f>
        <v>45679</v>
      </c>
      <c r="H1792" s="133" t="s">
        <v>66</v>
      </c>
      <c r="I1792" s="133" t="s">
        <v>119</v>
      </c>
      <c r="K1792" s="135">
        <v>45666</v>
      </c>
      <c r="L1792" s="153">
        <f>F1792</f>
        <v>-16.43</v>
      </c>
      <c r="M1792" s="111"/>
    </row>
    <row r="1793" spans="1:13" x14ac:dyDescent="0.35">
      <c r="A1793" s="109">
        <v>46022</v>
      </c>
      <c r="B1793" s="111" t="s">
        <v>65</v>
      </c>
      <c r="C1793" s="111" t="s">
        <v>78</v>
      </c>
      <c r="E1793" s="111" t="s">
        <v>2200</v>
      </c>
      <c r="F1793" s="153">
        <v>-1869.85</v>
      </c>
      <c r="G1793" s="135">
        <f>A1793+30</f>
        <v>46052</v>
      </c>
      <c r="H1793" s="133" t="s">
        <v>447</v>
      </c>
      <c r="I1793" s="133" t="s">
        <v>145</v>
      </c>
      <c r="J1793" s="109">
        <v>46104</v>
      </c>
    </row>
    <row r="1794" spans="1:13" x14ac:dyDescent="0.35">
      <c r="A1794" s="109">
        <v>46086</v>
      </c>
      <c r="B1794" s="111" t="s">
        <v>57</v>
      </c>
      <c r="C1794" s="111" t="s">
        <v>1962</v>
      </c>
      <c r="E1794" s="111" t="s">
        <v>2201</v>
      </c>
      <c r="F1794" s="153">
        <v>3789.75</v>
      </c>
      <c r="G1794" s="135">
        <v>46094</v>
      </c>
      <c r="H1794" s="133" t="s">
        <v>59</v>
      </c>
      <c r="I1794" s="133" t="s">
        <v>135</v>
      </c>
      <c r="M1794" s="196" t="s">
        <v>2202</v>
      </c>
    </row>
    <row r="1795" spans="1:13" x14ac:dyDescent="0.35">
      <c r="A1795" s="109">
        <v>46063</v>
      </c>
      <c r="B1795" s="111" t="s">
        <v>57</v>
      </c>
      <c r="C1795" s="111" t="s">
        <v>25</v>
      </c>
      <c r="D1795" s="111" t="s">
        <v>715</v>
      </c>
      <c r="E1795" s="111" t="s">
        <v>2203</v>
      </c>
      <c r="F1795" s="153">
        <v>94.28</v>
      </c>
      <c r="G1795" s="135">
        <v>46093</v>
      </c>
      <c r="H1795" s="133" t="s">
        <v>59</v>
      </c>
      <c r="I1795" s="133" t="s">
        <v>135</v>
      </c>
    </row>
    <row r="1796" spans="1:13" x14ac:dyDescent="0.35">
      <c r="A1796" s="109">
        <v>46031</v>
      </c>
      <c r="B1796" s="111" t="s">
        <v>57</v>
      </c>
      <c r="C1796" s="111" t="s">
        <v>25</v>
      </c>
      <c r="D1796" s="111" t="s">
        <v>715</v>
      </c>
      <c r="E1796" s="111" t="s">
        <v>2204</v>
      </c>
      <c r="F1796" s="153">
        <v>194.88</v>
      </c>
      <c r="G1796" s="135">
        <v>46061</v>
      </c>
      <c r="H1796" s="133" t="s">
        <v>59</v>
      </c>
      <c r="I1796" s="133" t="s">
        <v>135</v>
      </c>
    </row>
    <row r="1797" spans="1:13" x14ac:dyDescent="0.35">
      <c r="A1797" s="109">
        <v>46079</v>
      </c>
      <c r="B1797" s="111" t="s">
        <v>57</v>
      </c>
      <c r="C1797" s="111" t="s">
        <v>25</v>
      </c>
      <c r="D1797" s="111" t="s">
        <v>715</v>
      </c>
      <c r="E1797" s="111" t="s">
        <v>2205</v>
      </c>
      <c r="F1797" s="153">
        <v>219.86</v>
      </c>
      <c r="G1797" s="135">
        <v>46081</v>
      </c>
      <c r="H1797" s="133" t="s">
        <v>59</v>
      </c>
      <c r="I1797" s="133" t="s">
        <v>135</v>
      </c>
    </row>
    <row r="1798" spans="1:13" x14ac:dyDescent="0.35">
      <c r="A1798" s="109">
        <v>46086</v>
      </c>
      <c r="B1798" s="111" t="s">
        <v>57</v>
      </c>
      <c r="C1798" s="111" t="s">
        <v>2206</v>
      </c>
      <c r="D1798" s="111" t="s">
        <v>1153</v>
      </c>
      <c r="E1798" s="111" t="s">
        <v>2207</v>
      </c>
      <c r="F1798" s="153">
        <v>8.27</v>
      </c>
      <c r="G1798" s="135">
        <v>46116</v>
      </c>
      <c r="H1798" s="134" t="s">
        <v>66</v>
      </c>
      <c r="I1798" s="133" t="s">
        <v>135</v>
      </c>
      <c r="K1798" s="160">
        <v>46097</v>
      </c>
    </row>
    <row r="1799" spans="1:13" x14ac:dyDescent="0.35">
      <c r="A1799" s="109">
        <v>46035</v>
      </c>
      <c r="B1799" s="121" t="s">
        <v>57</v>
      </c>
      <c r="C1799" s="111" t="s">
        <v>20</v>
      </c>
      <c r="D1799" s="111" t="s">
        <v>2208</v>
      </c>
      <c r="E1799" s="111" t="s">
        <v>2209</v>
      </c>
      <c r="F1799" s="153">
        <v>35.18</v>
      </c>
      <c r="G1799" s="135">
        <v>46058</v>
      </c>
      <c r="H1799" s="133" t="s">
        <v>59</v>
      </c>
      <c r="I1799" s="133" t="s">
        <v>135</v>
      </c>
    </row>
    <row r="1800" spans="1:13" x14ac:dyDescent="0.35">
      <c r="A1800" s="109">
        <v>45713</v>
      </c>
      <c r="B1800" s="121" t="s">
        <v>65</v>
      </c>
      <c r="C1800" s="121" t="s">
        <v>21</v>
      </c>
      <c r="E1800" s="121" t="s">
        <v>2210</v>
      </c>
      <c r="F1800" s="153">
        <v>-76.319999999999993</v>
      </c>
      <c r="G1800" s="135">
        <v>45743</v>
      </c>
      <c r="H1800" s="134" t="s">
        <v>66</v>
      </c>
      <c r="I1800" s="133" t="s">
        <v>119</v>
      </c>
      <c r="K1800" s="135">
        <v>45743</v>
      </c>
      <c r="L1800" s="153">
        <f t="shared" ref="L1800:L1817" si="78">F1800</f>
        <v>-76.319999999999993</v>
      </c>
      <c r="M1800" s="111"/>
    </row>
    <row r="1801" spans="1:13" x14ac:dyDescent="0.35">
      <c r="A1801" s="109">
        <v>45390</v>
      </c>
      <c r="B1801" s="111" t="s">
        <v>65</v>
      </c>
      <c r="C1801" s="111" t="s">
        <v>21</v>
      </c>
      <c r="E1801" s="111" t="s">
        <v>2211</v>
      </c>
      <c r="F1801" s="153">
        <v>-47.7</v>
      </c>
      <c r="G1801" s="135">
        <v>45785</v>
      </c>
      <c r="H1801" s="133" t="s">
        <v>66</v>
      </c>
      <c r="I1801" s="133" t="s">
        <v>119</v>
      </c>
      <c r="K1801" s="135">
        <v>45786</v>
      </c>
      <c r="L1801" s="153">
        <f t="shared" si="78"/>
        <v>-47.7</v>
      </c>
      <c r="M1801" s="111"/>
    </row>
    <row r="1802" spans="1:13" x14ac:dyDescent="0.35">
      <c r="A1802" s="109">
        <v>45748</v>
      </c>
      <c r="B1802" s="111" t="s">
        <v>65</v>
      </c>
      <c r="C1802" s="111" t="s">
        <v>21</v>
      </c>
      <c r="E1802" s="111" t="s">
        <v>2212</v>
      </c>
      <c r="F1802" s="153">
        <v>-31.8</v>
      </c>
      <c r="G1802" s="135">
        <v>45778</v>
      </c>
      <c r="H1802" s="133" t="s">
        <v>66</v>
      </c>
      <c r="I1802" s="133" t="s">
        <v>119</v>
      </c>
      <c r="K1802" s="135">
        <v>45786</v>
      </c>
      <c r="L1802" s="153">
        <f t="shared" si="78"/>
        <v>-31.8</v>
      </c>
      <c r="M1802" s="111"/>
    </row>
    <row r="1803" spans="1:13" x14ac:dyDescent="0.35">
      <c r="A1803" s="109">
        <v>45758</v>
      </c>
      <c r="B1803" s="111" t="s">
        <v>65</v>
      </c>
      <c r="C1803" s="111" t="s">
        <v>21</v>
      </c>
      <c r="E1803" s="111" t="s">
        <v>2213</v>
      </c>
      <c r="F1803" s="153">
        <v>-31.8</v>
      </c>
      <c r="G1803" s="135">
        <v>45788</v>
      </c>
      <c r="H1803" s="133" t="s">
        <v>66</v>
      </c>
      <c r="I1803" s="133" t="s">
        <v>119</v>
      </c>
      <c r="K1803" s="135">
        <v>45786</v>
      </c>
      <c r="L1803" s="153">
        <f t="shared" si="78"/>
        <v>-31.8</v>
      </c>
      <c r="M1803" s="111"/>
    </row>
    <row r="1804" spans="1:13" x14ac:dyDescent="0.35">
      <c r="A1804" s="109">
        <v>45765</v>
      </c>
      <c r="B1804" s="111" t="s">
        <v>65</v>
      </c>
      <c r="C1804" s="111" t="s">
        <v>21</v>
      </c>
      <c r="E1804" s="111" t="s">
        <v>2214</v>
      </c>
      <c r="F1804" s="153">
        <v>-39.75</v>
      </c>
      <c r="G1804" s="135">
        <v>45795</v>
      </c>
      <c r="H1804" s="133" t="s">
        <v>66</v>
      </c>
      <c r="I1804" s="133" t="s">
        <v>119</v>
      </c>
      <c r="K1804" s="135">
        <v>45792</v>
      </c>
      <c r="L1804" s="153">
        <f t="shared" si="78"/>
        <v>-39.75</v>
      </c>
      <c r="M1804" s="111"/>
    </row>
    <row r="1805" spans="1:13" x14ac:dyDescent="0.35">
      <c r="A1805" s="109">
        <v>45762</v>
      </c>
      <c r="B1805" s="111" t="s">
        <v>65</v>
      </c>
      <c r="C1805" s="111" t="s">
        <v>21</v>
      </c>
      <c r="E1805" s="111" t="s">
        <v>2215</v>
      </c>
      <c r="F1805" s="153">
        <v>-47.7</v>
      </c>
      <c r="G1805" s="135">
        <v>45792</v>
      </c>
      <c r="H1805" s="133" t="s">
        <v>66</v>
      </c>
      <c r="I1805" s="133" t="s">
        <v>119</v>
      </c>
      <c r="K1805" s="135">
        <v>45792</v>
      </c>
      <c r="L1805" s="153">
        <f t="shared" si="78"/>
        <v>-47.7</v>
      </c>
      <c r="M1805" s="111"/>
    </row>
    <row r="1806" spans="1:13" x14ac:dyDescent="0.35">
      <c r="A1806" s="109">
        <v>45769</v>
      </c>
      <c r="B1806" s="111" t="s">
        <v>65</v>
      </c>
      <c r="C1806" s="111" t="s">
        <v>21</v>
      </c>
      <c r="E1806" s="2" t="s">
        <v>2216</v>
      </c>
      <c r="F1806" s="153">
        <v>-79.5</v>
      </c>
      <c r="G1806" s="135">
        <v>45799</v>
      </c>
      <c r="H1806" s="133" t="s">
        <v>66</v>
      </c>
      <c r="I1806" s="133" t="s">
        <v>119</v>
      </c>
      <c r="K1806" s="135">
        <v>45792</v>
      </c>
      <c r="L1806" s="153">
        <f t="shared" si="78"/>
        <v>-79.5</v>
      </c>
      <c r="M1806" s="111"/>
    </row>
    <row r="1807" spans="1:13" x14ac:dyDescent="0.35">
      <c r="A1807" s="109">
        <v>45772</v>
      </c>
      <c r="B1807" s="111" t="s">
        <v>65</v>
      </c>
      <c r="C1807" s="111" t="s">
        <v>21</v>
      </c>
      <c r="E1807" s="121" t="s">
        <v>2217</v>
      </c>
      <c r="F1807" s="153">
        <v>-31.8</v>
      </c>
      <c r="G1807" s="135">
        <v>45802</v>
      </c>
      <c r="H1807" s="133" t="s">
        <v>66</v>
      </c>
      <c r="I1807" s="133" t="s">
        <v>119</v>
      </c>
      <c r="K1807" s="135">
        <v>45792</v>
      </c>
      <c r="L1807" s="153">
        <f t="shared" si="78"/>
        <v>-31.8</v>
      </c>
      <c r="M1807" s="111"/>
    </row>
    <row r="1808" spans="1:13" x14ac:dyDescent="0.35">
      <c r="A1808" s="109">
        <v>45783</v>
      </c>
      <c r="B1808" s="111" t="s">
        <v>65</v>
      </c>
      <c r="C1808" s="111" t="s">
        <v>21</v>
      </c>
      <c r="E1808" s="111" t="s">
        <v>1529</v>
      </c>
      <c r="F1808" s="153">
        <v>-63.6</v>
      </c>
      <c r="G1808" s="135">
        <v>45814</v>
      </c>
      <c r="H1808" s="133" t="s">
        <v>66</v>
      </c>
      <c r="I1808" s="133" t="s">
        <v>119</v>
      </c>
      <c r="K1808" s="135">
        <v>45817</v>
      </c>
      <c r="L1808" s="153">
        <f t="shared" si="78"/>
        <v>-63.6</v>
      </c>
      <c r="M1808" s="111"/>
    </row>
    <row r="1809" spans="1:13" x14ac:dyDescent="0.35">
      <c r="A1809" s="109">
        <v>45790</v>
      </c>
      <c r="B1809" s="111" t="s">
        <v>65</v>
      </c>
      <c r="C1809" s="111" t="s">
        <v>21</v>
      </c>
      <c r="E1809" s="111" t="s">
        <v>2218</v>
      </c>
      <c r="F1809" s="153">
        <v>-63.6</v>
      </c>
      <c r="G1809" s="135">
        <v>45820</v>
      </c>
      <c r="H1809" s="133" t="s">
        <v>66</v>
      </c>
      <c r="I1809" s="133" t="s">
        <v>119</v>
      </c>
      <c r="K1809" s="135">
        <v>45817</v>
      </c>
      <c r="L1809" s="153">
        <f t="shared" si="78"/>
        <v>-63.6</v>
      </c>
      <c r="M1809" s="111"/>
    </row>
    <row r="1810" spans="1:13" x14ac:dyDescent="0.35">
      <c r="A1810" s="109">
        <v>45607</v>
      </c>
      <c r="B1810" s="111" t="s">
        <v>65</v>
      </c>
      <c r="C1810" s="111" t="s">
        <v>21</v>
      </c>
      <c r="E1810" s="111" t="s">
        <v>2219</v>
      </c>
      <c r="F1810" s="153">
        <v>16.7</v>
      </c>
      <c r="G1810" s="135">
        <v>45820</v>
      </c>
      <c r="H1810" s="133" t="s">
        <v>66</v>
      </c>
      <c r="I1810" s="133" t="s">
        <v>119</v>
      </c>
      <c r="K1810" s="135">
        <v>45817</v>
      </c>
      <c r="L1810" s="153">
        <f t="shared" si="78"/>
        <v>16.7</v>
      </c>
      <c r="M1810" s="111"/>
    </row>
    <row r="1811" spans="1:13" x14ac:dyDescent="0.35">
      <c r="A1811" s="109">
        <v>45800</v>
      </c>
      <c r="B1811" s="111" t="s">
        <v>65</v>
      </c>
      <c r="C1811" s="111" t="s">
        <v>21</v>
      </c>
      <c r="E1811" s="111" t="s">
        <v>2220</v>
      </c>
      <c r="F1811" s="153">
        <v>-79.5</v>
      </c>
      <c r="G1811" s="135">
        <v>45830</v>
      </c>
      <c r="H1811" s="133" t="s">
        <v>66</v>
      </c>
      <c r="I1811" s="133" t="s">
        <v>119</v>
      </c>
      <c r="K1811" s="135">
        <v>45817</v>
      </c>
      <c r="L1811" s="153">
        <f t="shared" si="78"/>
        <v>-79.5</v>
      </c>
      <c r="M1811" s="111"/>
    </row>
    <row r="1812" spans="1:13" x14ac:dyDescent="0.35">
      <c r="A1812" s="109">
        <v>45797</v>
      </c>
      <c r="B1812" s="111" t="s">
        <v>65</v>
      </c>
      <c r="C1812" s="111" t="s">
        <v>21</v>
      </c>
      <c r="E1812" s="111" t="s">
        <v>2221</v>
      </c>
      <c r="F1812" s="153">
        <v>-79.5</v>
      </c>
      <c r="G1812" s="135">
        <v>45818</v>
      </c>
      <c r="H1812" s="133" t="s">
        <v>66</v>
      </c>
      <c r="I1812" s="133" t="s">
        <v>119</v>
      </c>
      <c r="K1812" s="135">
        <v>45817</v>
      </c>
      <c r="L1812" s="153">
        <f t="shared" si="78"/>
        <v>-79.5</v>
      </c>
      <c r="M1812" s="111"/>
    </row>
    <row r="1813" spans="1:13" x14ac:dyDescent="0.35">
      <c r="A1813" s="109">
        <v>45793</v>
      </c>
      <c r="B1813" s="111" t="s">
        <v>65</v>
      </c>
      <c r="C1813" s="111" t="s">
        <v>21</v>
      </c>
      <c r="E1813" s="111" t="s">
        <v>2222</v>
      </c>
      <c r="F1813" s="153">
        <v>-79.5</v>
      </c>
      <c r="G1813" s="135">
        <v>45824</v>
      </c>
      <c r="H1813" s="133" t="s">
        <v>66</v>
      </c>
      <c r="I1813" s="133" t="s">
        <v>119</v>
      </c>
      <c r="K1813" s="135">
        <v>45817</v>
      </c>
      <c r="L1813" s="153">
        <f t="shared" si="78"/>
        <v>-79.5</v>
      </c>
      <c r="M1813" s="111"/>
    </row>
    <row r="1814" spans="1:13" x14ac:dyDescent="0.35">
      <c r="A1814" s="109">
        <v>45574</v>
      </c>
      <c r="B1814" s="143" t="s">
        <v>57</v>
      </c>
      <c r="C1814" s="239" t="s">
        <v>61</v>
      </c>
      <c r="D1814" s="239" t="s">
        <v>1625</v>
      </c>
      <c r="E1814" s="210" t="s">
        <v>2223</v>
      </c>
      <c r="F1814" s="240">
        <v>121.1</v>
      </c>
      <c r="G1814" s="212">
        <f>A1814+30</f>
        <v>45604</v>
      </c>
      <c r="H1814" s="133" t="s">
        <v>59</v>
      </c>
      <c r="I1814" s="133" t="s">
        <v>135</v>
      </c>
      <c r="K1814" s="135"/>
      <c r="L1814" s="153">
        <f t="shared" si="78"/>
        <v>121.1</v>
      </c>
      <c r="M1814" s="196">
        <v>510177670</v>
      </c>
    </row>
    <row r="1815" spans="1:13" x14ac:dyDescent="0.35">
      <c r="A1815" s="109">
        <v>45583</v>
      </c>
      <c r="B1815" s="143" t="s">
        <v>57</v>
      </c>
      <c r="C1815" s="210" t="s">
        <v>61</v>
      </c>
      <c r="D1815" s="210" t="s">
        <v>1625</v>
      </c>
      <c r="E1815" s="210" t="s">
        <v>2224</v>
      </c>
      <c r="F1815" s="211">
        <v>44.67</v>
      </c>
      <c r="G1815" s="212">
        <f>A1815+30</f>
        <v>45613</v>
      </c>
      <c r="H1815" s="133" t="s">
        <v>59</v>
      </c>
      <c r="I1815" s="133" t="s">
        <v>135</v>
      </c>
      <c r="K1815" s="135"/>
      <c r="L1815" s="153">
        <f t="shared" si="78"/>
        <v>44.67</v>
      </c>
      <c r="M1815" s="196">
        <v>510177670</v>
      </c>
    </row>
    <row r="1816" spans="1:13" x14ac:dyDescent="0.35">
      <c r="A1816" s="109">
        <v>45588</v>
      </c>
      <c r="B1816" s="143" t="s">
        <v>57</v>
      </c>
      <c r="C1816" s="210" t="s">
        <v>61</v>
      </c>
      <c r="D1816" s="210" t="s">
        <v>1625</v>
      </c>
      <c r="E1816" s="210" t="s">
        <v>2225</v>
      </c>
      <c r="F1816" s="211">
        <v>140.07</v>
      </c>
      <c r="G1816" s="212">
        <f>A1816+30</f>
        <v>45618</v>
      </c>
      <c r="H1816" s="133" t="s">
        <v>59</v>
      </c>
      <c r="I1816" s="133" t="s">
        <v>135</v>
      </c>
      <c r="K1816" s="135"/>
      <c r="L1816" s="153">
        <f t="shared" si="78"/>
        <v>140.07</v>
      </c>
      <c r="M1816" s="196">
        <v>510177670</v>
      </c>
    </row>
    <row r="1817" spans="1:13" x14ac:dyDescent="0.35">
      <c r="A1817" s="109">
        <v>45601</v>
      </c>
      <c r="B1817" s="143" t="s">
        <v>57</v>
      </c>
      <c r="C1817" s="210" t="s">
        <v>61</v>
      </c>
      <c r="D1817" s="210" t="s">
        <v>1625</v>
      </c>
      <c r="E1817" s="210" t="s">
        <v>2226</v>
      </c>
      <c r="F1817" s="211">
        <v>116.43</v>
      </c>
      <c r="G1817" s="212">
        <f>A1817+30</f>
        <v>45631</v>
      </c>
      <c r="H1817" s="133" t="s">
        <v>59</v>
      </c>
      <c r="I1817" s="133" t="s">
        <v>135</v>
      </c>
      <c r="K1817" s="135"/>
      <c r="L1817" s="153">
        <f t="shared" si="78"/>
        <v>116.43</v>
      </c>
      <c r="M1817" s="196">
        <v>510177670</v>
      </c>
    </row>
    <row r="1818" spans="1:13" x14ac:dyDescent="0.35">
      <c r="A1818" s="109">
        <v>45807</v>
      </c>
      <c r="B1818" s="111" t="s">
        <v>65</v>
      </c>
      <c r="C1818" s="111" t="s">
        <v>21</v>
      </c>
      <c r="E1818" s="111" t="s">
        <v>2227</v>
      </c>
      <c r="F1818" s="153">
        <v>-79.5</v>
      </c>
      <c r="H1818" s="133" t="s">
        <v>66</v>
      </c>
      <c r="I1818" s="133" t="s">
        <v>119</v>
      </c>
      <c r="K1818" s="135">
        <v>45817</v>
      </c>
      <c r="M1818" s="111"/>
    </row>
    <row r="1819" spans="1:13" x14ac:dyDescent="0.35">
      <c r="A1819" s="109">
        <v>45804</v>
      </c>
      <c r="B1819" s="111" t="s">
        <v>65</v>
      </c>
      <c r="C1819" s="111" t="s">
        <v>21</v>
      </c>
      <c r="E1819" s="111" t="s">
        <v>2228</v>
      </c>
      <c r="F1819" s="153">
        <v>-79.5</v>
      </c>
      <c r="H1819" s="133" t="s">
        <v>66</v>
      </c>
      <c r="I1819" s="133" t="s">
        <v>119</v>
      </c>
      <c r="K1819" s="135">
        <v>45817</v>
      </c>
      <c r="M1819" s="111"/>
    </row>
    <row r="1820" spans="1:13" x14ac:dyDescent="0.35">
      <c r="A1820" s="109">
        <v>45811</v>
      </c>
      <c r="B1820" s="111" t="s">
        <v>65</v>
      </c>
      <c r="C1820" s="111" t="s">
        <v>21</v>
      </c>
      <c r="E1820" s="111" t="s">
        <v>2229</v>
      </c>
      <c r="F1820" s="153">
        <v>-79.5</v>
      </c>
      <c r="G1820" s="135">
        <v>45841</v>
      </c>
      <c r="H1820" s="133" t="s">
        <v>66</v>
      </c>
      <c r="I1820" s="133" t="s">
        <v>119</v>
      </c>
      <c r="K1820" s="135">
        <v>45841</v>
      </c>
      <c r="M1820" s="111"/>
    </row>
    <row r="1821" spans="1:13" x14ac:dyDescent="0.35">
      <c r="A1821" s="109">
        <v>45818</v>
      </c>
      <c r="B1821" s="111" t="s">
        <v>65</v>
      </c>
      <c r="C1821" s="111" t="s">
        <v>21</v>
      </c>
      <c r="E1821" s="111" t="s">
        <v>2230</v>
      </c>
      <c r="F1821" s="153">
        <v>-142.57</v>
      </c>
      <c r="G1821" s="135">
        <v>45848</v>
      </c>
      <c r="H1821" s="133" t="s">
        <v>66</v>
      </c>
      <c r="I1821" s="133" t="s">
        <v>119</v>
      </c>
      <c r="K1821" s="135">
        <v>45841</v>
      </c>
      <c r="M1821" s="111" t="s">
        <v>2231</v>
      </c>
    </row>
    <row r="1822" spans="1:13" x14ac:dyDescent="0.35">
      <c r="A1822" s="109">
        <v>45814</v>
      </c>
      <c r="B1822" s="111" t="s">
        <v>65</v>
      </c>
      <c r="C1822" s="111" t="s">
        <v>21</v>
      </c>
      <c r="E1822" s="111" t="s">
        <v>2232</v>
      </c>
      <c r="F1822" s="153">
        <v>-79.5</v>
      </c>
      <c r="G1822" s="135">
        <v>45844</v>
      </c>
      <c r="H1822" s="133" t="s">
        <v>66</v>
      </c>
      <c r="I1822" s="133" t="s">
        <v>119</v>
      </c>
      <c r="K1822" s="135">
        <v>45841</v>
      </c>
      <c r="M1822" s="111"/>
    </row>
    <row r="1823" spans="1:13" x14ac:dyDescent="0.35">
      <c r="A1823" s="109">
        <v>45821</v>
      </c>
      <c r="B1823" s="111" t="s">
        <v>65</v>
      </c>
      <c r="C1823" s="111" t="s">
        <v>21</v>
      </c>
      <c r="E1823" s="111" t="s">
        <v>2233</v>
      </c>
      <c r="F1823" s="153">
        <v>-95.4</v>
      </c>
      <c r="G1823" s="135">
        <v>45851</v>
      </c>
      <c r="H1823" s="133" t="s">
        <v>66</v>
      </c>
      <c r="I1823" s="133" t="s">
        <v>119</v>
      </c>
      <c r="K1823" s="135">
        <v>45841</v>
      </c>
      <c r="M1823" s="111"/>
    </row>
    <row r="1824" spans="1:13" x14ac:dyDescent="0.35">
      <c r="A1824" s="109">
        <v>45825</v>
      </c>
      <c r="B1824" s="111" t="s">
        <v>65</v>
      </c>
      <c r="C1824" s="111" t="s">
        <v>21</v>
      </c>
      <c r="E1824" s="76" t="s">
        <v>2234</v>
      </c>
      <c r="F1824" s="153">
        <v>-119.25</v>
      </c>
      <c r="G1824" s="135">
        <v>45855</v>
      </c>
      <c r="H1824" s="133" t="s">
        <v>66</v>
      </c>
      <c r="I1824" s="133" t="s">
        <v>119</v>
      </c>
      <c r="K1824" s="135">
        <v>45855</v>
      </c>
      <c r="M1824" s="111"/>
    </row>
    <row r="1825" spans="1:13" x14ac:dyDescent="0.35">
      <c r="A1825" s="109">
        <v>45831</v>
      </c>
      <c r="B1825" s="111" t="s">
        <v>65</v>
      </c>
      <c r="C1825" s="111" t="s">
        <v>21</v>
      </c>
      <c r="E1825" s="111" t="s">
        <v>2235</v>
      </c>
      <c r="F1825" s="153">
        <v>-159</v>
      </c>
      <c r="G1825" s="135">
        <v>45861</v>
      </c>
      <c r="H1825" s="133" t="s">
        <v>66</v>
      </c>
      <c r="I1825" s="133" t="s">
        <v>119</v>
      </c>
      <c r="K1825" s="135">
        <v>45855</v>
      </c>
      <c r="M1825" s="111"/>
    </row>
    <row r="1826" spans="1:13" x14ac:dyDescent="0.35">
      <c r="A1826" s="109">
        <v>45828</v>
      </c>
      <c r="B1826" s="111" t="s">
        <v>65</v>
      </c>
      <c r="C1826" s="111" t="s">
        <v>21</v>
      </c>
      <c r="E1826" s="111" t="s">
        <v>2236</v>
      </c>
      <c r="F1826" s="153">
        <v>-95.4</v>
      </c>
      <c r="G1826" s="135">
        <v>45858</v>
      </c>
      <c r="H1826" s="133" t="s">
        <v>66</v>
      </c>
      <c r="I1826" s="133" t="s">
        <v>119</v>
      </c>
      <c r="K1826" s="135">
        <v>45855</v>
      </c>
      <c r="M1826" s="111"/>
    </row>
    <row r="1827" spans="1:13" x14ac:dyDescent="0.35">
      <c r="A1827" s="109">
        <v>45839</v>
      </c>
      <c r="B1827" s="111" t="s">
        <v>65</v>
      </c>
      <c r="C1827" s="111" t="s">
        <v>21</v>
      </c>
      <c r="E1827" s="111" t="s">
        <v>2237</v>
      </c>
      <c r="F1827" s="153">
        <v>-159</v>
      </c>
      <c r="G1827" s="135">
        <v>45869</v>
      </c>
      <c r="H1827" s="134" t="s">
        <v>66</v>
      </c>
      <c r="I1827" s="133" t="s">
        <v>119</v>
      </c>
      <c r="K1827" s="135">
        <v>45866</v>
      </c>
      <c r="M1827" s="111"/>
    </row>
    <row r="1828" spans="1:13" x14ac:dyDescent="0.35">
      <c r="A1828" s="109">
        <v>45835</v>
      </c>
      <c r="B1828" s="111" t="s">
        <v>65</v>
      </c>
      <c r="C1828" s="111" t="s">
        <v>21</v>
      </c>
      <c r="E1828" s="111" t="s">
        <v>2238</v>
      </c>
      <c r="F1828" s="153">
        <v>-159</v>
      </c>
      <c r="G1828" s="135">
        <v>45865</v>
      </c>
      <c r="H1828" s="134" t="s">
        <v>66</v>
      </c>
      <c r="I1828" s="133" t="s">
        <v>119</v>
      </c>
      <c r="K1828" s="135">
        <v>45866</v>
      </c>
      <c r="M1828" s="111"/>
    </row>
    <row r="1829" spans="1:13" x14ac:dyDescent="0.35">
      <c r="F1829" s="153"/>
      <c r="H1829" s="133" t="s">
        <v>59</v>
      </c>
    </row>
    <row r="1830" spans="1:13" x14ac:dyDescent="0.35">
      <c r="A1830" s="109">
        <v>45609</v>
      </c>
      <c r="B1830" s="143" t="s">
        <v>57</v>
      </c>
      <c r="C1830" s="210" t="s">
        <v>61</v>
      </c>
      <c r="D1830" s="210" t="s">
        <v>1625</v>
      </c>
      <c r="E1830" s="210" t="s">
        <v>2239</v>
      </c>
      <c r="F1830" s="211">
        <v>98.45</v>
      </c>
      <c r="G1830" s="212">
        <f>A1830+30</f>
        <v>45639</v>
      </c>
      <c r="H1830" s="133" t="s">
        <v>59</v>
      </c>
      <c r="I1830" s="133" t="s">
        <v>135</v>
      </c>
      <c r="K1830" s="135"/>
      <c r="L1830" s="153">
        <f>F1830</f>
        <v>98.45</v>
      </c>
      <c r="M1830" s="196">
        <v>510177670</v>
      </c>
    </row>
    <row r="1831" spans="1:13" x14ac:dyDescent="0.35">
      <c r="A1831" s="109">
        <v>45615</v>
      </c>
      <c r="B1831" s="143" t="s">
        <v>57</v>
      </c>
      <c r="C1831" s="210" t="s">
        <v>61</v>
      </c>
      <c r="D1831" s="210" t="s">
        <v>1625</v>
      </c>
      <c r="E1831" s="261" t="s">
        <v>2240</v>
      </c>
      <c r="F1831" s="211">
        <v>73.010000000000005</v>
      </c>
      <c r="G1831" s="212">
        <f>A1831+30</f>
        <v>45645</v>
      </c>
      <c r="H1831" s="133" t="s">
        <v>59</v>
      </c>
      <c r="I1831" s="133" t="s">
        <v>135</v>
      </c>
      <c r="K1831" s="135"/>
      <c r="L1831" s="153">
        <f>F1831</f>
        <v>73.010000000000005</v>
      </c>
      <c r="M1831" s="196">
        <v>510177670</v>
      </c>
    </row>
    <row r="1832" spans="1:13" x14ac:dyDescent="0.35">
      <c r="A1832" s="109">
        <v>45630</v>
      </c>
      <c r="B1832" s="143" t="s">
        <v>57</v>
      </c>
      <c r="C1832" s="210" t="s">
        <v>61</v>
      </c>
      <c r="D1832" s="210" t="s">
        <v>1625</v>
      </c>
      <c r="E1832" s="210" t="s">
        <v>2241</v>
      </c>
      <c r="F1832" s="211">
        <v>69.650000000000006</v>
      </c>
      <c r="G1832" s="212">
        <f>A1832+30</f>
        <v>45660</v>
      </c>
      <c r="H1832" s="133" t="s">
        <v>59</v>
      </c>
      <c r="I1832" s="133" t="s">
        <v>135</v>
      </c>
      <c r="K1832" s="135"/>
      <c r="L1832" s="153">
        <f>F1832</f>
        <v>69.650000000000006</v>
      </c>
      <c r="M1832" s="196">
        <v>510177670</v>
      </c>
    </row>
    <row r="1833" spans="1:13" x14ac:dyDescent="0.35">
      <c r="A1833" s="109">
        <v>45843</v>
      </c>
      <c r="B1833" s="111" t="s">
        <v>65</v>
      </c>
      <c r="C1833" s="111" t="s">
        <v>21</v>
      </c>
      <c r="E1833" s="111" t="s">
        <v>2242</v>
      </c>
      <c r="F1833" s="153">
        <v>15.9</v>
      </c>
      <c r="G1833" s="135"/>
      <c r="H1833" s="133" t="s">
        <v>66</v>
      </c>
      <c r="I1833" s="133" t="s">
        <v>119</v>
      </c>
      <c r="K1833" s="135">
        <v>45873</v>
      </c>
    </row>
    <row r="1834" spans="1:13" x14ac:dyDescent="0.35">
      <c r="A1834" s="109">
        <v>45846</v>
      </c>
      <c r="B1834" s="111" t="s">
        <v>65</v>
      </c>
      <c r="C1834" s="111" t="s">
        <v>21</v>
      </c>
      <c r="E1834" s="111" t="s">
        <v>2243</v>
      </c>
      <c r="F1834" s="153">
        <v>-243.27</v>
      </c>
      <c r="G1834" s="135">
        <v>45876</v>
      </c>
      <c r="H1834" s="133" t="s">
        <v>66</v>
      </c>
      <c r="I1834" s="133" t="s">
        <v>119</v>
      </c>
      <c r="K1834" s="135">
        <v>45873</v>
      </c>
    </row>
    <row r="1835" spans="1:13" x14ac:dyDescent="0.35">
      <c r="A1835" s="109">
        <v>45849</v>
      </c>
      <c r="B1835" s="111" t="s">
        <v>65</v>
      </c>
      <c r="C1835" s="111" t="s">
        <v>21</v>
      </c>
      <c r="E1835" s="111" t="s">
        <v>2244</v>
      </c>
      <c r="F1835" s="153">
        <v>-206.71</v>
      </c>
      <c r="G1835" s="135">
        <v>45879</v>
      </c>
      <c r="H1835" s="133" t="s">
        <v>66</v>
      </c>
      <c r="I1835" s="133" t="s">
        <v>119</v>
      </c>
      <c r="K1835" s="135">
        <v>45873</v>
      </c>
    </row>
    <row r="1836" spans="1:13" x14ac:dyDescent="0.35">
      <c r="A1836" s="109">
        <v>45842</v>
      </c>
      <c r="B1836" s="111" t="s">
        <v>65</v>
      </c>
      <c r="C1836" s="111" t="s">
        <v>21</v>
      </c>
      <c r="E1836" s="111" t="s">
        <v>2245</v>
      </c>
      <c r="F1836" s="153">
        <v>-234.21</v>
      </c>
      <c r="G1836" s="135">
        <v>45872</v>
      </c>
      <c r="H1836" s="133" t="s">
        <v>66</v>
      </c>
      <c r="I1836" s="133" t="s">
        <v>119</v>
      </c>
      <c r="K1836" s="135">
        <v>45873</v>
      </c>
    </row>
    <row r="1837" spans="1:13" x14ac:dyDescent="0.35">
      <c r="A1837" s="109">
        <v>45863</v>
      </c>
      <c r="B1837" s="111" t="s">
        <v>65</v>
      </c>
      <c r="C1837" s="111" t="s">
        <v>21</v>
      </c>
      <c r="E1837" s="111" t="s">
        <v>2246</v>
      </c>
      <c r="F1837" s="153">
        <v>-238.08</v>
      </c>
      <c r="G1837" s="135">
        <v>45893</v>
      </c>
      <c r="H1837" s="133" t="s">
        <v>66</v>
      </c>
      <c r="I1837" s="133" t="s">
        <v>119</v>
      </c>
      <c r="K1837" s="135">
        <v>45890</v>
      </c>
    </row>
    <row r="1838" spans="1:13" x14ac:dyDescent="0.35">
      <c r="A1838" s="109">
        <v>45860</v>
      </c>
      <c r="B1838" s="111" t="s">
        <v>65</v>
      </c>
      <c r="C1838" s="111" t="s">
        <v>21</v>
      </c>
      <c r="E1838" s="111" t="s">
        <v>2247</v>
      </c>
      <c r="F1838" s="153">
        <v>-119.25</v>
      </c>
      <c r="G1838" s="135">
        <v>45890</v>
      </c>
      <c r="H1838" s="133" t="s">
        <v>66</v>
      </c>
      <c r="I1838" s="133" t="s">
        <v>119</v>
      </c>
      <c r="K1838" s="135">
        <v>45890</v>
      </c>
    </row>
    <row r="1839" spans="1:13" x14ac:dyDescent="0.35">
      <c r="A1839" s="109">
        <v>45853</v>
      </c>
      <c r="B1839" s="111" t="s">
        <v>65</v>
      </c>
      <c r="C1839" s="111" t="s">
        <v>21</v>
      </c>
      <c r="E1839" s="76" t="s">
        <v>2248</v>
      </c>
      <c r="F1839" s="153">
        <v>-281.66000000000003</v>
      </c>
      <c r="G1839" s="135">
        <v>45883</v>
      </c>
      <c r="H1839" s="133" t="s">
        <v>66</v>
      </c>
      <c r="I1839" s="133" t="s">
        <v>119</v>
      </c>
      <c r="K1839" s="135">
        <v>45883</v>
      </c>
    </row>
    <row r="1840" spans="1:13" x14ac:dyDescent="0.35">
      <c r="A1840" s="109">
        <v>45856</v>
      </c>
      <c r="B1840" s="111" t="s">
        <v>65</v>
      </c>
      <c r="C1840" s="111" t="s">
        <v>21</v>
      </c>
      <c r="E1840" s="111" t="s">
        <v>2249</v>
      </c>
      <c r="F1840" s="153">
        <v>-265.52</v>
      </c>
      <c r="G1840" s="135">
        <v>45886</v>
      </c>
      <c r="H1840" s="133" t="s">
        <v>66</v>
      </c>
      <c r="I1840" s="133" t="s">
        <v>119</v>
      </c>
      <c r="K1840" s="135">
        <v>45883</v>
      </c>
      <c r="M1840" s="204"/>
    </row>
    <row r="1841" spans="1:13" x14ac:dyDescent="0.35">
      <c r="A1841" s="109">
        <v>45870</v>
      </c>
      <c r="B1841" s="111" t="s">
        <v>65</v>
      </c>
      <c r="C1841" s="111" t="s">
        <v>21</v>
      </c>
      <c r="E1841" s="121" t="s">
        <v>2250</v>
      </c>
      <c r="F1841" s="153">
        <v>-344.19</v>
      </c>
      <c r="G1841" s="135">
        <v>45900</v>
      </c>
      <c r="H1841" s="133" t="s">
        <v>66</v>
      </c>
      <c r="I1841" s="133" t="s">
        <v>119</v>
      </c>
      <c r="K1841" s="135">
        <v>45898</v>
      </c>
      <c r="M1841" s="204"/>
    </row>
    <row r="1842" spans="1:13" x14ac:dyDescent="0.35">
      <c r="A1842" s="109">
        <v>45867</v>
      </c>
      <c r="B1842" s="111" t="s">
        <v>65</v>
      </c>
      <c r="C1842" s="111" t="s">
        <v>21</v>
      </c>
      <c r="E1842" s="121" t="s">
        <v>2251</v>
      </c>
      <c r="F1842" s="153">
        <v>-159</v>
      </c>
      <c r="G1842" s="135">
        <v>45897</v>
      </c>
      <c r="H1842" s="133" t="s">
        <v>66</v>
      </c>
      <c r="I1842" s="133" t="s">
        <v>119</v>
      </c>
      <c r="K1842" s="135">
        <v>45898</v>
      </c>
    </row>
    <row r="1843" spans="1:13" x14ac:dyDescent="0.35">
      <c r="A1843" s="109">
        <v>45874</v>
      </c>
      <c r="B1843" s="111" t="s">
        <v>65</v>
      </c>
      <c r="C1843" s="121" t="s">
        <v>21</v>
      </c>
      <c r="E1843" s="121" t="s">
        <v>2252</v>
      </c>
      <c r="F1843" s="153">
        <v>-426.4</v>
      </c>
      <c r="G1843" s="135">
        <v>45904</v>
      </c>
      <c r="H1843" s="133" t="s">
        <v>66</v>
      </c>
      <c r="I1843" s="133" t="s">
        <v>119</v>
      </c>
      <c r="K1843" s="135">
        <v>45903</v>
      </c>
    </row>
    <row r="1844" spans="1:13" x14ac:dyDescent="0.35">
      <c r="A1844" s="109">
        <v>45882</v>
      </c>
      <c r="B1844" s="111" t="s">
        <v>65</v>
      </c>
      <c r="C1844" s="121" t="s">
        <v>21</v>
      </c>
      <c r="E1844" s="111" t="s">
        <v>2253</v>
      </c>
      <c r="F1844" s="153">
        <v>34.5</v>
      </c>
      <c r="H1844" s="133" t="s">
        <v>66</v>
      </c>
      <c r="I1844" s="133" t="s">
        <v>119</v>
      </c>
      <c r="K1844" s="135">
        <v>45903</v>
      </c>
    </row>
    <row r="1845" spans="1:13" x14ac:dyDescent="0.35">
      <c r="A1845" s="109">
        <v>45884</v>
      </c>
      <c r="B1845" s="111" t="s">
        <v>65</v>
      </c>
      <c r="C1845" s="121" t="s">
        <v>21</v>
      </c>
      <c r="E1845" s="121" t="s">
        <v>2254</v>
      </c>
      <c r="F1845" s="153">
        <v>-365.71</v>
      </c>
      <c r="G1845" s="135">
        <v>45914</v>
      </c>
      <c r="H1845" s="133" t="s">
        <v>66</v>
      </c>
      <c r="I1845" s="133" t="s">
        <v>119</v>
      </c>
      <c r="K1845" s="135">
        <v>45903</v>
      </c>
    </row>
    <row r="1846" spans="1:13" x14ac:dyDescent="0.35">
      <c r="A1846" s="109">
        <v>45881</v>
      </c>
      <c r="B1846" s="111" t="s">
        <v>65</v>
      </c>
      <c r="C1846" s="121" t="s">
        <v>21</v>
      </c>
      <c r="E1846" s="121" t="s">
        <v>2255</v>
      </c>
      <c r="F1846" s="153">
        <v>-428.21</v>
      </c>
      <c r="G1846" s="135">
        <v>45911</v>
      </c>
      <c r="H1846" s="133" t="s">
        <v>66</v>
      </c>
      <c r="I1846" s="133" t="s">
        <v>119</v>
      </c>
      <c r="K1846" s="135">
        <v>45903</v>
      </c>
    </row>
    <row r="1847" spans="1:13" x14ac:dyDescent="0.35">
      <c r="A1847" s="109">
        <v>45877</v>
      </c>
      <c r="B1847" s="111" t="s">
        <v>65</v>
      </c>
      <c r="C1847" s="121" t="s">
        <v>21</v>
      </c>
      <c r="E1847" s="121" t="s">
        <v>2256</v>
      </c>
      <c r="F1847" s="153">
        <v>-424.1</v>
      </c>
      <c r="G1847" s="135">
        <v>45907</v>
      </c>
      <c r="H1847" s="133" t="s">
        <v>66</v>
      </c>
      <c r="I1847" s="133" t="s">
        <v>119</v>
      </c>
      <c r="K1847" s="135">
        <v>45903</v>
      </c>
    </row>
    <row r="1848" spans="1:13" x14ac:dyDescent="0.35">
      <c r="A1848" s="109">
        <v>45898</v>
      </c>
      <c r="B1848" s="111" t="s">
        <v>65</v>
      </c>
      <c r="C1848" s="111" t="s">
        <v>21</v>
      </c>
      <c r="E1848" s="76" t="s">
        <v>2257</v>
      </c>
      <c r="F1848" s="153">
        <v>-230.55</v>
      </c>
      <c r="G1848" s="214">
        <v>45928</v>
      </c>
      <c r="H1848" s="133" t="s">
        <v>66</v>
      </c>
      <c r="I1848" s="133" t="s">
        <v>119</v>
      </c>
      <c r="K1848" s="135">
        <v>45929</v>
      </c>
    </row>
    <row r="1849" spans="1:13" x14ac:dyDescent="0.35">
      <c r="A1849" s="109">
        <v>45895</v>
      </c>
      <c r="B1849" s="111" t="s">
        <v>65</v>
      </c>
      <c r="C1849" s="111" t="s">
        <v>21</v>
      </c>
      <c r="E1849" s="76" t="s">
        <v>2258</v>
      </c>
      <c r="F1849" s="153">
        <v>-237.23</v>
      </c>
      <c r="G1849" s="135">
        <v>45925</v>
      </c>
      <c r="H1849" s="133" t="s">
        <v>66</v>
      </c>
      <c r="I1849" s="133" t="s">
        <v>119</v>
      </c>
      <c r="K1849" s="135">
        <v>45929</v>
      </c>
    </row>
    <row r="1850" spans="1:13" x14ac:dyDescent="0.35">
      <c r="A1850" s="109">
        <v>45891</v>
      </c>
      <c r="B1850" s="111" t="s">
        <v>65</v>
      </c>
      <c r="C1850" s="111" t="s">
        <v>21</v>
      </c>
      <c r="E1850" s="111" t="s">
        <v>2259</v>
      </c>
      <c r="F1850" s="153">
        <v>-233.57</v>
      </c>
      <c r="G1850" s="135">
        <v>45921</v>
      </c>
      <c r="H1850" s="133" t="s">
        <v>66</v>
      </c>
      <c r="I1850" s="133" t="s">
        <v>119</v>
      </c>
      <c r="K1850" s="135">
        <v>45929</v>
      </c>
    </row>
    <row r="1851" spans="1:13" x14ac:dyDescent="0.35">
      <c r="A1851" s="109">
        <v>45905</v>
      </c>
      <c r="B1851" s="121" t="s">
        <v>65</v>
      </c>
      <c r="C1851" s="121" t="s">
        <v>21</v>
      </c>
      <c r="E1851" s="121" t="s">
        <v>2260</v>
      </c>
      <c r="F1851" s="153">
        <v>-238.5</v>
      </c>
      <c r="G1851" s="135">
        <f>A1851+30</f>
        <v>45935</v>
      </c>
      <c r="H1851" s="134" t="s">
        <v>66</v>
      </c>
      <c r="I1851" s="133" t="s">
        <v>119</v>
      </c>
      <c r="K1851" s="135">
        <v>45932</v>
      </c>
    </row>
    <row r="1852" spans="1:13" x14ac:dyDescent="0.35">
      <c r="A1852" s="109">
        <v>45902</v>
      </c>
      <c r="B1852" s="121" t="s">
        <v>65</v>
      </c>
      <c r="C1852" s="121" t="s">
        <v>21</v>
      </c>
      <c r="E1852" s="216" t="s">
        <v>2261</v>
      </c>
      <c r="F1852" s="153">
        <v>-174.9</v>
      </c>
      <c r="G1852" s="135">
        <f>A1852+30</f>
        <v>45932</v>
      </c>
      <c r="H1852" s="134" t="s">
        <v>66</v>
      </c>
      <c r="I1852" s="133" t="s">
        <v>119</v>
      </c>
      <c r="K1852" s="135">
        <v>45932</v>
      </c>
    </row>
    <row r="1853" spans="1:13" x14ac:dyDescent="0.35">
      <c r="A1853" s="109">
        <v>45888</v>
      </c>
      <c r="B1853" s="111" t="s">
        <v>65</v>
      </c>
      <c r="C1853" s="111" t="s">
        <v>21</v>
      </c>
      <c r="E1853" s="111" t="s">
        <v>2262</v>
      </c>
      <c r="F1853" s="153">
        <v>-307.58999999999997</v>
      </c>
      <c r="G1853" s="135">
        <v>45918</v>
      </c>
      <c r="H1853" s="134" t="s">
        <v>66</v>
      </c>
      <c r="I1853" s="133" t="s">
        <v>119</v>
      </c>
      <c r="K1853" s="135">
        <v>45938</v>
      </c>
      <c r="M1853" s="196" t="s">
        <v>2263</v>
      </c>
    </row>
    <row r="1854" spans="1:13" x14ac:dyDescent="0.35">
      <c r="A1854" s="109">
        <v>45932</v>
      </c>
      <c r="B1854" s="111" t="s">
        <v>65</v>
      </c>
      <c r="C1854" s="111" t="s">
        <v>21</v>
      </c>
      <c r="E1854" s="111" t="s">
        <v>2264</v>
      </c>
      <c r="F1854" s="153">
        <v>148.59</v>
      </c>
      <c r="G1854" s="135"/>
      <c r="H1854" s="134" t="s">
        <v>66</v>
      </c>
      <c r="I1854" s="133" t="s">
        <v>119</v>
      </c>
      <c r="K1854" s="135">
        <v>45938</v>
      </c>
    </row>
    <row r="1855" spans="1:13" x14ac:dyDescent="0.35">
      <c r="B1855" s="111" t="s">
        <v>65</v>
      </c>
      <c r="F1855" s="153"/>
    </row>
    <row r="1856" spans="1:13" x14ac:dyDescent="0.35">
      <c r="B1856" s="111" t="s">
        <v>65</v>
      </c>
      <c r="F1856" s="153"/>
    </row>
    <row r="1857" spans="1:13" x14ac:dyDescent="0.35">
      <c r="A1857" s="109">
        <v>45918</v>
      </c>
      <c r="B1857" s="111" t="s">
        <v>65</v>
      </c>
      <c r="C1857" s="121" t="s">
        <v>21</v>
      </c>
      <c r="E1857" s="121" t="s">
        <v>2265</v>
      </c>
      <c r="F1857" s="153">
        <v>46.75</v>
      </c>
      <c r="G1857" s="135">
        <f>A1857+30</f>
        <v>45948</v>
      </c>
      <c r="H1857" s="134" t="s">
        <v>66</v>
      </c>
      <c r="I1857" s="133" t="s">
        <v>119</v>
      </c>
      <c r="K1857" s="135">
        <v>45938</v>
      </c>
    </row>
    <row r="1858" spans="1:13" x14ac:dyDescent="0.35">
      <c r="A1858" s="109">
        <v>46041</v>
      </c>
      <c r="C1858" s="111" t="s">
        <v>2087</v>
      </c>
      <c r="E1858" s="111" t="s">
        <v>2266</v>
      </c>
      <c r="F1858" s="153">
        <v>184.5</v>
      </c>
      <c r="H1858" s="133" t="s">
        <v>59</v>
      </c>
      <c r="I1858" s="133" t="s">
        <v>769</v>
      </c>
    </row>
    <row r="1859" spans="1:13" x14ac:dyDescent="0.35">
      <c r="A1859" s="109">
        <v>45638</v>
      </c>
      <c r="B1859" s="143" t="s">
        <v>57</v>
      </c>
      <c r="C1859" s="210" t="s">
        <v>61</v>
      </c>
      <c r="D1859" s="210" t="s">
        <v>1625</v>
      </c>
      <c r="E1859" s="261" t="s">
        <v>2267</v>
      </c>
      <c r="F1859" s="211">
        <v>68.7</v>
      </c>
      <c r="G1859" s="212">
        <f t="shared" ref="G1859:G1864" si="79">A1859+30</f>
        <v>45668</v>
      </c>
      <c r="H1859" s="133" t="s">
        <v>59</v>
      </c>
      <c r="I1859" s="133" t="s">
        <v>135</v>
      </c>
      <c r="K1859" s="135"/>
      <c r="L1859" s="153">
        <f>F1859</f>
        <v>68.7</v>
      </c>
      <c r="M1859" s="196">
        <v>510177670</v>
      </c>
    </row>
    <row r="1860" spans="1:13" x14ac:dyDescent="0.35">
      <c r="A1860" s="109">
        <v>45909</v>
      </c>
      <c r="B1860" s="121" t="s">
        <v>65</v>
      </c>
      <c r="C1860" s="121" t="s">
        <v>21</v>
      </c>
      <c r="E1860" s="121" t="s">
        <v>2268</v>
      </c>
      <c r="F1860" s="153">
        <v>-219.89</v>
      </c>
      <c r="G1860" s="135">
        <f t="shared" si="79"/>
        <v>45939</v>
      </c>
      <c r="H1860" s="134" t="s">
        <v>66</v>
      </c>
      <c r="I1860" s="133" t="s">
        <v>119</v>
      </c>
      <c r="K1860" s="135">
        <v>45938</v>
      </c>
    </row>
    <row r="1861" spans="1:13" x14ac:dyDescent="0.35">
      <c r="A1861" s="109">
        <v>45912</v>
      </c>
      <c r="B1861" s="121" t="s">
        <v>65</v>
      </c>
      <c r="C1861" s="121" t="s">
        <v>21</v>
      </c>
      <c r="E1861" s="121" t="s">
        <v>2269</v>
      </c>
      <c r="F1861" s="153">
        <v>-243.27</v>
      </c>
      <c r="G1861" s="135">
        <f t="shared" si="79"/>
        <v>45942</v>
      </c>
      <c r="H1861" s="134" t="s">
        <v>66</v>
      </c>
      <c r="I1861" s="133" t="s">
        <v>119</v>
      </c>
      <c r="K1861" s="135">
        <v>45938</v>
      </c>
    </row>
    <row r="1862" spans="1:13" x14ac:dyDescent="0.35">
      <c r="A1862" s="109">
        <v>45916</v>
      </c>
      <c r="B1862" s="111" t="s">
        <v>65</v>
      </c>
      <c r="C1862" s="111" t="s">
        <v>21</v>
      </c>
      <c r="E1862" s="111" t="s">
        <v>2270</v>
      </c>
      <c r="F1862" s="153">
        <v>-283.56</v>
      </c>
      <c r="G1862" s="135">
        <f t="shared" si="79"/>
        <v>45946</v>
      </c>
      <c r="H1862" s="134" t="s">
        <v>66</v>
      </c>
      <c r="I1862" s="133" t="s">
        <v>119</v>
      </c>
      <c r="K1862" s="135">
        <v>45946</v>
      </c>
    </row>
    <row r="1863" spans="1:13" x14ac:dyDescent="0.35">
      <c r="A1863" s="109">
        <v>45919</v>
      </c>
      <c r="B1863" s="111" t="s">
        <v>65</v>
      </c>
      <c r="C1863" s="111" t="s">
        <v>21</v>
      </c>
      <c r="E1863" s="111" t="s">
        <v>2271</v>
      </c>
      <c r="F1863" s="153">
        <v>-111.62</v>
      </c>
      <c r="G1863" s="135">
        <f t="shared" si="79"/>
        <v>45949</v>
      </c>
      <c r="H1863" s="134" t="s">
        <v>66</v>
      </c>
      <c r="I1863" s="133" t="s">
        <v>119</v>
      </c>
      <c r="K1863" s="135">
        <v>45946</v>
      </c>
    </row>
    <row r="1864" spans="1:13" x14ac:dyDescent="0.35">
      <c r="A1864" s="109">
        <v>45923</v>
      </c>
      <c r="B1864" s="111" t="s">
        <v>65</v>
      </c>
      <c r="C1864" s="111" t="s">
        <v>21</v>
      </c>
      <c r="E1864" s="111" t="s">
        <v>2272</v>
      </c>
      <c r="F1864" s="153">
        <v>-100.7</v>
      </c>
      <c r="G1864" s="135">
        <f t="shared" si="79"/>
        <v>45953</v>
      </c>
      <c r="H1864" s="134" t="s">
        <v>66</v>
      </c>
      <c r="I1864" s="133" t="s">
        <v>119</v>
      </c>
      <c r="K1864" s="135">
        <v>45960</v>
      </c>
    </row>
    <row r="1865" spans="1:13" x14ac:dyDescent="0.35">
      <c r="E1865" s="111" t="s">
        <v>2273</v>
      </c>
      <c r="F1865" s="153"/>
    </row>
    <row r="1866" spans="1:13" x14ac:dyDescent="0.35">
      <c r="E1866" s="111" t="s">
        <v>2273</v>
      </c>
      <c r="F1866" s="153"/>
    </row>
    <row r="1867" spans="1:13" x14ac:dyDescent="0.35">
      <c r="E1867" s="111" t="s">
        <v>2273</v>
      </c>
      <c r="F1867" s="153"/>
    </row>
    <row r="1868" spans="1:13" x14ac:dyDescent="0.35">
      <c r="E1868" s="111" t="s">
        <v>2273</v>
      </c>
      <c r="F1868" s="153"/>
    </row>
    <row r="1869" spans="1:13" x14ac:dyDescent="0.35">
      <c r="E1869" s="111" t="s">
        <v>2273</v>
      </c>
      <c r="F1869" s="153"/>
    </row>
    <row r="1870" spans="1:13" x14ac:dyDescent="0.35">
      <c r="E1870" s="111" t="s">
        <v>2273</v>
      </c>
      <c r="F1870" s="153"/>
    </row>
    <row r="1871" spans="1:13" x14ac:dyDescent="0.35">
      <c r="E1871" s="111" t="s">
        <v>2273</v>
      </c>
      <c r="F1871" s="153"/>
    </row>
    <row r="1872" spans="1:13" x14ac:dyDescent="0.35">
      <c r="A1872" s="109">
        <v>45643</v>
      </c>
      <c r="B1872" s="143" t="s">
        <v>57</v>
      </c>
      <c r="C1872" s="210" t="s">
        <v>61</v>
      </c>
      <c r="D1872" s="210" t="s">
        <v>1625</v>
      </c>
      <c r="E1872" s="210" t="s">
        <v>2274</v>
      </c>
      <c r="F1872" s="211">
        <v>97.64</v>
      </c>
      <c r="G1872" s="212">
        <f t="shared" ref="G1872:G1881" si="80">A1872+30</f>
        <v>45673</v>
      </c>
      <c r="H1872" s="133" t="s">
        <v>59</v>
      </c>
      <c r="I1872" s="133" t="s">
        <v>135</v>
      </c>
      <c r="K1872" s="135"/>
      <c r="L1872" s="153">
        <f>F1872</f>
        <v>97.64</v>
      </c>
      <c r="M1872" s="196">
        <v>510177670</v>
      </c>
    </row>
    <row r="1873" spans="1:13" x14ac:dyDescent="0.35">
      <c r="A1873" s="109">
        <v>45653</v>
      </c>
      <c r="B1873" s="143" t="s">
        <v>57</v>
      </c>
      <c r="C1873" s="210" t="s">
        <v>61</v>
      </c>
      <c r="D1873" s="210" t="s">
        <v>1625</v>
      </c>
      <c r="E1873" s="255" t="s">
        <v>2275</v>
      </c>
      <c r="F1873" s="211">
        <v>102.54</v>
      </c>
      <c r="G1873" s="212">
        <f t="shared" si="80"/>
        <v>45683</v>
      </c>
      <c r="H1873" s="133" t="s">
        <v>59</v>
      </c>
      <c r="I1873" s="133" t="s">
        <v>135</v>
      </c>
      <c r="K1873" s="135"/>
      <c r="L1873" s="153">
        <f>F1873</f>
        <v>102.54</v>
      </c>
      <c r="M1873" s="196">
        <v>510177670</v>
      </c>
    </row>
    <row r="1874" spans="1:13" x14ac:dyDescent="0.35">
      <c r="A1874" s="109">
        <v>45926</v>
      </c>
      <c r="B1874" s="121" t="s">
        <v>65</v>
      </c>
      <c r="C1874" s="121" t="s">
        <v>21</v>
      </c>
      <c r="E1874" s="111" t="s">
        <v>2276</v>
      </c>
      <c r="F1874" s="153">
        <v>-60.42</v>
      </c>
      <c r="G1874" s="135">
        <f t="shared" si="80"/>
        <v>45956</v>
      </c>
      <c r="H1874" s="134" t="s">
        <v>66</v>
      </c>
      <c r="I1874" s="133" t="s">
        <v>119</v>
      </c>
      <c r="K1874" s="135">
        <v>45960</v>
      </c>
    </row>
    <row r="1875" spans="1:13" x14ac:dyDescent="0.35">
      <c r="A1875" s="109">
        <v>45930</v>
      </c>
      <c r="B1875" s="121" t="s">
        <v>65</v>
      </c>
      <c r="C1875" s="111" t="s">
        <v>21</v>
      </c>
      <c r="E1875" s="121" t="s">
        <v>2277</v>
      </c>
      <c r="F1875" s="153">
        <v>-161.12</v>
      </c>
      <c r="G1875" s="135">
        <f t="shared" si="80"/>
        <v>45960</v>
      </c>
      <c r="H1875" s="134" t="s">
        <v>66</v>
      </c>
      <c r="I1875" s="134" t="s">
        <v>145</v>
      </c>
      <c r="K1875" s="135">
        <v>45960</v>
      </c>
    </row>
    <row r="1876" spans="1:13" x14ac:dyDescent="0.35">
      <c r="A1876" s="109">
        <v>45933</v>
      </c>
      <c r="B1876" s="121" t="s">
        <v>65</v>
      </c>
      <c r="C1876" s="121" t="s">
        <v>21</v>
      </c>
      <c r="E1876" s="121" t="s">
        <v>2278</v>
      </c>
      <c r="F1876" s="153">
        <v>-100.7</v>
      </c>
      <c r="G1876" s="135">
        <f t="shared" si="80"/>
        <v>45963</v>
      </c>
      <c r="H1876" s="133" t="s">
        <v>66</v>
      </c>
      <c r="I1876" s="134" t="s">
        <v>145</v>
      </c>
      <c r="K1876" s="135">
        <v>45967</v>
      </c>
    </row>
    <row r="1877" spans="1:13" x14ac:dyDescent="0.35">
      <c r="A1877" s="109">
        <v>45937</v>
      </c>
      <c r="B1877" s="121" t="s">
        <v>65</v>
      </c>
      <c r="C1877" s="121" t="s">
        <v>21</v>
      </c>
      <c r="E1877" s="121" t="s">
        <v>2279</v>
      </c>
      <c r="F1877" s="153">
        <v>-100.7</v>
      </c>
      <c r="G1877" s="135">
        <f t="shared" si="80"/>
        <v>45967</v>
      </c>
      <c r="H1877" s="133" t="s">
        <v>66</v>
      </c>
      <c r="I1877" s="134" t="s">
        <v>145</v>
      </c>
      <c r="K1877" s="135">
        <v>45967</v>
      </c>
    </row>
    <row r="1878" spans="1:13" x14ac:dyDescent="0.35">
      <c r="A1878" s="109">
        <v>45940</v>
      </c>
      <c r="B1878" s="111" t="s">
        <v>65</v>
      </c>
      <c r="C1878" s="111" t="s">
        <v>21</v>
      </c>
      <c r="E1878" s="121" t="s">
        <v>2280</v>
      </c>
      <c r="F1878" s="153">
        <v>-100.7</v>
      </c>
      <c r="G1878" s="135">
        <f t="shared" si="80"/>
        <v>45970</v>
      </c>
      <c r="H1878" s="133" t="s">
        <v>66</v>
      </c>
      <c r="I1878" s="134" t="s">
        <v>145</v>
      </c>
      <c r="K1878" s="135">
        <v>45967</v>
      </c>
    </row>
    <row r="1879" spans="1:13" x14ac:dyDescent="0.35">
      <c r="A1879" s="109">
        <v>45951</v>
      </c>
      <c r="B1879" s="111" t="s">
        <v>65</v>
      </c>
      <c r="C1879" s="111" t="s">
        <v>21</v>
      </c>
      <c r="E1879" s="111" t="s">
        <v>2281</v>
      </c>
      <c r="F1879" s="153">
        <v>-34.770000000000003</v>
      </c>
      <c r="G1879" s="135">
        <f t="shared" si="80"/>
        <v>45981</v>
      </c>
      <c r="H1879" s="134" t="s">
        <v>66</v>
      </c>
      <c r="I1879" s="133" t="s">
        <v>145</v>
      </c>
      <c r="K1879" s="135">
        <v>45981</v>
      </c>
    </row>
    <row r="1880" spans="1:13" x14ac:dyDescent="0.35">
      <c r="A1880" s="242">
        <v>45944</v>
      </c>
      <c r="B1880" s="224" t="s">
        <v>65</v>
      </c>
      <c r="C1880" s="224" t="s">
        <v>21</v>
      </c>
      <c r="D1880" s="224"/>
      <c r="E1880" s="229" t="s">
        <v>2282</v>
      </c>
      <c r="F1880" s="225">
        <v>-39.11</v>
      </c>
      <c r="G1880" s="226">
        <f t="shared" si="80"/>
        <v>45974</v>
      </c>
      <c r="H1880" s="134" t="s">
        <v>66</v>
      </c>
      <c r="I1880" s="227" t="s">
        <v>145</v>
      </c>
      <c r="J1880" s="224"/>
      <c r="K1880" s="226">
        <v>45994</v>
      </c>
      <c r="M1880" s="228"/>
    </row>
    <row r="1881" spans="1:13" x14ac:dyDescent="0.35">
      <c r="A1881" s="84">
        <v>45882</v>
      </c>
      <c r="B1881" s="221" t="s">
        <v>65</v>
      </c>
      <c r="C1881" s="222" t="s">
        <v>21</v>
      </c>
      <c r="D1881" s="221"/>
      <c r="E1881" s="222" t="s">
        <v>2253</v>
      </c>
      <c r="F1881" s="194">
        <v>-34.5</v>
      </c>
      <c r="G1881" s="209">
        <f t="shared" si="80"/>
        <v>45912</v>
      </c>
      <c r="H1881" s="134" t="s">
        <v>66</v>
      </c>
      <c r="I1881" s="223" t="s">
        <v>119</v>
      </c>
      <c r="J1881" s="221"/>
      <c r="K1881" s="226">
        <v>45994</v>
      </c>
      <c r="M1881" s="230" t="s">
        <v>2283</v>
      </c>
    </row>
    <row r="1882" spans="1:13" x14ac:dyDescent="0.35">
      <c r="A1882" s="109">
        <v>46055</v>
      </c>
      <c r="B1882" s="111" t="s">
        <v>65</v>
      </c>
      <c r="C1882" s="111" t="s">
        <v>52</v>
      </c>
      <c r="E1882" s="111" t="s">
        <v>2284</v>
      </c>
      <c r="F1882" s="153">
        <v>-49.95</v>
      </c>
      <c r="G1882" s="135">
        <v>46085</v>
      </c>
      <c r="H1882" s="133" t="s">
        <v>66</v>
      </c>
      <c r="I1882" s="133" t="s">
        <v>119</v>
      </c>
      <c r="K1882" s="160">
        <v>46093</v>
      </c>
    </row>
    <row r="1883" spans="1:13" x14ac:dyDescent="0.35">
      <c r="A1883" s="109">
        <v>46055</v>
      </c>
      <c r="B1883" s="111" t="s">
        <v>65</v>
      </c>
      <c r="C1883" s="111" t="s">
        <v>52</v>
      </c>
      <c r="E1883" s="111" t="s">
        <v>2285</v>
      </c>
      <c r="F1883" s="153">
        <v>-41.19</v>
      </c>
      <c r="G1883" s="135">
        <v>46085</v>
      </c>
      <c r="H1883" s="133" t="s">
        <v>66</v>
      </c>
      <c r="I1883" s="133" t="s">
        <v>170</v>
      </c>
      <c r="K1883" s="160">
        <v>46093</v>
      </c>
    </row>
    <row r="1884" spans="1:13" x14ac:dyDescent="0.35">
      <c r="A1884" s="109">
        <v>46064</v>
      </c>
      <c r="B1884" s="111" t="s">
        <v>65</v>
      </c>
      <c r="C1884" s="111" t="s">
        <v>2286</v>
      </c>
      <c r="F1884" s="153">
        <f>-7807.2/3</f>
        <v>-2602.4</v>
      </c>
      <c r="G1884" s="135">
        <v>46106</v>
      </c>
      <c r="H1884" s="133" t="s">
        <v>66</v>
      </c>
      <c r="K1884" s="135">
        <v>46106</v>
      </c>
      <c r="M1884" s="196" t="s">
        <v>2287</v>
      </c>
    </row>
    <row r="1885" spans="1:13" x14ac:dyDescent="0.35">
      <c r="A1885" s="109">
        <v>46036</v>
      </c>
      <c r="B1885" s="111" t="s">
        <v>65</v>
      </c>
      <c r="C1885" s="111" t="s">
        <v>79</v>
      </c>
      <c r="E1885" s="111" t="s">
        <v>2288</v>
      </c>
      <c r="F1885" s="153">
        <v>-246</v>
      </c>
      <c r="G1885" s="209">
        <f>A1885+30</f>
        <v>46066</v>
      </c>
      <c r="H1885" s="133" t="s">
        <v>59</v>
      </c>
      <c r="I1885" s="133" t="s">
        <v>170</v>
      </c>
      <c r="M1885" s="196" t="s">
        <v>2289</v>
      </c>
    </row>
    <row r="1886" spans="1:13" x14ac:dyDescent="0.35">
      <c r="A1886" s="109">
        <v>46098</v>
      </c>
      <c r="B1886" s="121" t="s">
        <v>65</v>
      </c>
      <c r="C1886" s="121" t="s">
        <v>2290</v>
      </c>
      <c r="F1886" s="153">
        <v>-256.11</v>
      </c>
      <c r="G1886" s="135">
        <v>46106</v>
      </c>
      <c r="H1886" s="133" t="s">
        <v>66</v>
      </c>
      <c r="I1886" s="133" t="s">
        <v>1727</v>
      </c>
      <c r="K1886" s="135">
        <v>46106</v>
      </c>
      <c r="M1886" s="206">
        <v>162912549771532</v>
      </c>
    </row>
    <row r="1887" spans="1:13" x14ac:dyDescent="0.35">
      <c r="A1887" s="109">
        <v>46062</v>
      </c>
      <c r="B1887" s="140" t="s">
        <v>65</v>
      </c>
      <c r="C1887" s="111" t="s">
        <v>52</v>
      </c>
      <c r="E1887" s="111" t="s">
        <v>2291</v>
      </c>
      <c r="F1887" s="153">
        <v>-3.53</v>
      </c>
      <c r="G1887" s="135">
        <v>46092</v>
      </c>
      <c r="H1887" s="133" t="s">
        <v>66</v>
      </c>
      <c r="I1887" s="133" t="s">
        <v>170</v>
      </c>
      <c r="K1887" s="160">
        <v>46093</v>
      </c>
    </row>
    <row r="1888" spans="1:13" x14ac:dyDescent="0.35">
      <c r="A1888" s="109">
        <v>45842</v>
      </c>
      <c r="B1888" s="111" t="s">
        <v>57</v>
      </c>
      <c r="C1888" s="171" t="s">
        <v>29</v>
      </c>
      <c r="D1888" s="171" t="s">
        <v>2020</v>
      </c>
      <c r="E1888" s="254" t="s">
        <v>2292</v>
      </c>
      <c r="F1888" s="217">
        <v>57.46</v>
      </c>
      <c r="G1888" s="253">
        <f>A1888+30</f>
        <v>45872</v>
      </c>
      <c r="H1888" s="133" t="s">
        <v>59</v>
      </c>
      <c r="I1888" s="133" t="s">
        <v>135</v>
      </c>
      <c r="K1888" s="135"/>
    </row>
    <row r="1889" spans="1:13" x14ac:dyDescent="0.35">
      <c r="A1889" s="109">
        <v>46050</v>
      </c>
      <c r="B1889" s="111" t="s">
        <v>57</v>
      </c>
      <c r="C1889" s="111" t="s">
        <v>2293</v>
      </c>
      <c r="D1889" s="111" t="s">
        <v>2294</v>
      </c>
      <c r="E1889" s="111" t="s">
        <v>2295</v>
      </c>
      <c r="F1889" s="153">
        <v>59.38</v>
      </c>
      <c r="G1889" s="135">
        <v>46055</v>
      </c>
      <c r="H1889" s="133" t="s">
        <v>66</v>
      </c>
      <c r="I1889" s="133" t="s">
        <v>135</v>
      </c>
      <c r="K1889" s="160">
        <v>46050</v>
      </c>
      <c r="M1889" s="196" t="s">
        <v>2296</v>
      </c>
    </row>
    <row r="1890" spans="1:13" x14ac:dyDescent="0.35">
      <c r="A1890" s="109">
        <v>46064</v>
      </c>
      <c r="B1890" s="140" t="s">
        <v>65</v>
      </c>
      <c r="C1890" s="111" t="s">
        <v>41</v>
      </c>
      <c r="F1890" s="153">
        <v>-94</v>
      </c>
      <c r="G1890" s="135">
        <v>46073</v>
      </c>
      <c r="H1890" s="133" t="s">
        <v>66</v>
      </c>
      <c r="K1890" s="135">
        <v>46073</v>
      </c>
      <c r="M1890" s="196" t="s">
        <v>2297</v>
      </c>
    </row>
    <row r="1891" spans="1:13" x14ac:dyDescent="0.35">
      <c r="A1891" s="109">
        <v>46064</v>
      </c>
      <c r="B1891" s="140" t="s">
        <v>65</v>
      </c>
      <c r="C1891" s="111" t="s">
        <v>46</v>
      </c>
      <c r="F1891" s="153">
        <v>-615.53</v>
      </c>
      <c r="G1891" s="135">
        <v>46073</v>
      </c>
      <c r="H1891" s="133" t="s">
        <v>66</v>
      </c>
      <c r="K1891" s="135">
        <v>46073</v>
      </c>
      <c r="M1891" s="196" t="s">
        <v>2298</v>
      </c>
    </row>
    <row r="1892" spans="1:13" x14ac:dyDescent="0.35">
      <c r="A1892" s="109">
        <v>46064</v>
      </c>
      <c r="B1892" s="140" t="s">
        <v>65</v>
      </c>
      <c r="C1892" s="111" t="s">
        <v>2299</v>
      </c>
      <c r="F1892" s="153">
        <f>-7807.2/3</f>
        <v>-2602.4</v>
      </c>
      <c r="G1892" s="135">
        <v>46078</v>
      </c>
      <c r="H1892" s="133" t="s">
        <v>66</v>
      </c>
      <c r="K1892" s="135">
        <v>46078</v>
      </c>
    </row>
    <row r="1893" spans="1:13" x14ac:dyDescent="0.35">
      <c r="A1893" s="109">
        <v>46064</v>
      </c>
      <c r="B1893" s="140" t="s">
        <v>65</v>
      </c>
      <c r="C1893" s="111" t="s">
        <v>2300</v>
      </c>
      <c r="F1893" s="153">
        <f>-7807.2/3</f>
        <v>-2602.4</v>
      </c>
      <c r="G1893" s="135">
        <v>46139</v>
      </c>
      <c r="H1893" s="133" t="s">
        <v>59</v>
      </c>
    </row>
    <row r="1894" spans="1:13" x14ac:dyDescent="0.35">
      <c r="A1894" s="109">
        <v>45991</v>
      </c>
      <c r="B1894" s="140" t="s">
        <v>65</v>
      </c>
      <c r="C1894" s="111" t="s">
        <v>86</v>
      </c>
      <c r="E1894" s="111" t="s">
        <v>2301</v>
      </c>
      <c r="F1894" s="153">
        <v>-1170.5</v>
      </c>
      <c r="G1894" s="258">
        <f>A1894+30</f>
        <v>46021</v>
      </c>
      <c r="H1894" s="133" t="s">
        <v>59</v>
      </c>
      <c r="I1894" s="133" t="s">
        <v>145</v>
      </c>
    </row>
    <row r="1895" spans="1:13" x14ac:dyDescent="0.35">
      <c r="A1895" s="109">
        <v>46064</v>
      </c>
      <c r="B1895" s="140" t="s">
        <v>65</v>
      </c>
      <c r="C1895" s="111" t="s">
        <v>43</v>
      </c>
      <c r="F1895" s="153">
        <v>-3936.45</v>
      </c>
      <c r="G1895" s="135">
        <v>46073</v>
      </c>
      <c r="H1895" s="133" t="s">
        <v>66</v>
      </c>
      <c r="K1895" s="135">
        <v>46073</v>
      </c>
    </row>
    <row r="1896" spans="1:13" x14ac:dyDescent="0.35">
      <c r="A1896" s="109">
        <v>46064</v>
      </c>
      <c r="B1896" s="111" t="s">
        <v>57</v>
      </c>
      <c r="C1896" s="111" t="s">
        <v>2302</v>
      </c>
      <c r="D1896" s="111" t="s">
        <v>2172</v>
      </c>
      <c r="F1896" s="153">
        <v>68.8</v>
      </c>
      <c r="G1896" s="135">
        <v>46064</v>
      </c>
      <c r="H1896" s="133" t="s">
        <v>66</v>
      </c>
      <c r="I1896" s="133" t="s">
        <v>135</v>
      </c>
      <c r="K1896" s="160">
        <v>46064</v>
      </c>
      <c r="M1896" s="196" t="s">
        <v>2303</v>
      </c>
    </row>
    <row r="1897" spans="1:13" x14ac:dyDescent="0.35">
      <c r="A1897" s="180">
        <v>46059</v>
      </c>
      <c r="B1897" s="111" t="s">
        <v>65</v>
      </c>
      <c r="C1897" s="111" t="s">
        <v>2087</v>
      </c>
      <c r="F1897" s="153">
        <v>184.5</v>
      </c>
    </row>
    <row r="1898" spans="1:13" x14ac:dyDescent="0.35">
      <c r="A1898" s="109">
        <v>46020</v>
      </c>
      <c r="B1898" s="140" t="s">
        <v>65</v>
      </c>
      <c r="C1898" s="111" t="s">
        <v>3</v>
      </c>
      <c r="E1898" s="111" t="s">
        <v>2304</v>
      </c>
      <c r="F1898" s="153">
        <v>-534.35</v>
      </c>
      <c r="G1898" s="238">
        <v>46050</v>
      </c>
      <c r="H1898" s="134" t="s">
        <v>66</v>
      </c>
      <c r="I1898" s="133" t="s">
        <v>145</v>
      </c>
      <c r="K1898" s="160">
        <v>46090</v>
      </c>
    </row>
    <row r="1899" spans="1:13" x14ac:dyDescent="0.35">
      <c r="A1899" s="109">
        <v>46028</v>
      </c>
      <c r="B1899" s="140" t="s">
        <v>65</v>
      </c>
      <c r="C1899" s="111" t="s">
        <v>3</v>
      </c>
      <c r="E1899" s="111" t="s">
        <v>2305</v>
      </c>
      <c r="F1899" s="153">
        <v>-92.19</v>
      </c>
      <c r="G1899" s="209">
        <v>46058</v>
      </c>
      <c r="H1899" s="133" t="s">
        <v>66</v>
      </c>
      <c r="I1899" s="133" t="s">
        <v>145</v>
      </c>
      <c r="K1899" s="160">
        <v>46093</v>
      </c>
    </row>
    <row r="1900" spans="1:13" x14ac:dyDescent="0.35">
      <c r="A1900" s="109">
        <v>46035</v>
      </c>
      <c r="B1900" s="140" t="s">
        <v>65</v>
      </c>
      <c r="C1900" s="111" t="s">
        <v>3</v>
      </c>
      <c r="E1900" s="111" t="s">
        <v>2306</v>
      </c>
      <c r="F1900" s="153">
        <v>-251.15</v>
      </c>
      <c r="G1900" s="209">
        <v>46065</v>
      </c>
      <c r="H1900" s="133" t="s">
        <v>66</v>
      </c>
      <c r="I1900" s="133" t="s">
        <v>769</v>
      </c>
      <c r="K1900" s="160">
        <v>46093</v>
      </c>
    </row>
    <row r="1901" spans="1:13" x14ac:dyDescent="0.35">
      <c r="A1901" s="109">
        <v>45868</v>
      </c>
      <c r="B1901" s="111" t="s">
        <v>57</v>
      </c>
      <c r="C1901" s="254" t="s">
        <v>29</v>
      </c>
      <c r="D1901" s="254" t="s">
        <v>2020</v>
      </c>
      <c r="E1901" s="254" t="s">
        <v>2307</v>
      </c>
      <c r="F1901" s="217">
        <v>62.59</v>
      </c>
      <c r="G1901" s="253">
        <f>A1901+30</f>
        <v>45898</v>
      </c>
      <c r="H1901" s="133" t="s">
        <v>59</v>
      </c>
      <c r="I1901" s="133" t="s">
        <v>135</v>
      </c>
      <c r="K1901" s="135"/>
    </row>
    <row r="1902" spans="1:13" x14ac:dyDescent="0.35">
      <c r="A1902" s="109">
        <v>46043</v>
      </c>
      <c r="B1902" s="140" t="s">
        <v>65</v>
      </c>
      <c r="C1902" s="111" t="s">
        <v>3</v>
      </c>
      <c r="E1902" s="111" t="s">
        <v>2308</v>
      </c>
      <c r="F1902" s="153">
        <v>-81.93</v>
      </c>
      <c r="G1902" s="209">
        <v>46073</v>
      </c>
      <c r="H1902" s="133" t="s">
        <v>66</v>
      </c>
      <c r="I1902" s="133" t="s">
        <v>769</v>
      </c>
      <c r="K1902" s="160">
        <v>46093</v>
      </c>
    </row>
    <row r="1903" spans="1:13" x14ac:dyDescent="0.35">
      <c r="A1903" s="109">
        <v>46042</v>
      </c>
      <c r="B1903" s="140" t="s">
        <v>65</v>
      </c>
      <c r="C1903" s="111" t="s">
        <v>3</v>
      </c>
      <c r="E1903" s="234" t="s">
        <v>2309</v>
      </c>
      <c r="F1903" s="153">
        <v>-122.84</v>
      </c>
      <c r="G1903" s="209">
        <v>46072</v>
      </c>
      <c r="H1903" s="133" t="s">
        <v>66</v>
      </c>
      <c r="I1903" s="133" t="s">
        <v>145</v>
      </c>
      <c r="K1903" s="160">
        <v>46093</v>
      </c>
      <c r="M1903" s="196" t="s">
        <v>2310</v>
      </c>
    </row>
    <row r="1904" spans="1:13" x14ac:dyDescent="0.35">
      <c r="A1904" s="109">
        <v>46042</v>
      </c>
      <c r="B1904" s="140" t="s">
        <v>65</v>
      </c>
      <c r="C1904" s="111" t="s">
        <v>3</v>
      </c>
      <c r="E1904" t="s">
        <v>2311</v>
      </c>
      <c r="F1904" s="153">
        <v>69.47</v>
      </c>
      <c r="G1904" s="209">
        <v>46057</v>
      </c>
      <c r="H1904" s="133" t="s">
        <v>66</v>
      </c>
      <c r="I1904" s="133" t="s">
        <v>769</v>
      </c>
      <c r="K1904" s="160">
        <v>46093</v>
      </c>
    </row>
    <row r="1905" spans="1:13" x14ac:dyDescent="0.35">
      <c r="A1905" s="257" t="s">
        <v>2312</v>
      </c>
      <c r="B1905" s="111" t="s">
        <v>57</v>
      </c>
      <c r="C1905" s="111" t="s">
        <v>2313</v>
      </c>
      <c r="D1905" s="111" t="s">
        <v>2314</v>
      </c>
      <c r="E1905" s="111" t="s">
        <v>2315</v>
      </c>
      <c r="F1905" s="153">
        <v>98.86</v>
      </c>
      <c r="H1905" s="133" t="s">
        <v>66</v>
      </c>
      <c r="I1905" s="133" t="s">
        <v>135</v>
      </c>
      <c r="K1905" s="160">
        <v>46078</v>
      </c>
      <c r="M1905" s="196" t="s">
        <v>2316</v>
      </c>
    </row>
    <row r="1906" spans="1:13" x14ac:dyDescent="0.35">
      <c r="A1906" s="109">
        <v>46038</v>
      </c>
      <c r="B1906" s="140" t="s">
        <v>65</v>
      </c>
      <c r="C1906" s="111" t="s">
        <v>3</v>
      </c>
      <c r="E1906" s="111" t="s">
        <v>2317</v>
      </c>
      <c r="F1906" s="153">
        <v>-178.45</v>
      </c>
      <c r="G1906" s="209">
        <f>A1906+30</f>
        <v>46068</v>
      </c>
      <c r="H1906" s="133" t="s">
        <v>66</v>
      </c>
      <c r="I1906" s="133" t="s">
        <v>145</v>
      </c>
      <c r="K1906" s="160">
        <v>46093</v>
      </c>
    </row>
    <row r="1907" spans="1:13" x14ac:dyDescent="0.35">
      <c r="A1907" s="109">
        <v>46049</v>
      </c>
      <c r="B1907" s="140" t="s">
        <v>65</v>
      </c>
      <c r="C1907" s="111" t="s">
        <v>3</v>
      </c>
      <c r="E1907" s="111" t="s">
        <v>2318</v>
      </c>
      <c r="F1907" s="153">
        <v>-78.95</v>
      </c>
      <c r="G1907" s="209">
        <f>A1907+30</f>
        <v>46079</v>
      </c>
      <c r="H1907" s="133" t="s">
        <v>66</v>
      </c>
      <c r="I1907" s="133" t="s">
        <v>170</v>
      </c>
      <c r="K1907" s="160">
        <v>46093</v>
      </c>
    </row>
    <row r="1908" spans="1:13" x14ac:dyDescent="0.35">
      <c r="A1908" s="109">
        <v>46042</v>
      </c>
      <c r="B1908" s="140" t="s">
        <v>65</v>
      </c>
      <c r="C1908" s="111" t="s">
        <v>23</v>
      </c>
      <c r="E1908" s="111" t="s">
        <v>2319</v>
      </c>
      <c r="F1908" s="153">
        <v>-215.32</v>
      </c>
      <c r="G1908" s="209">
        <v>46072</v>
      </c>
      <c r="H1908" s="133" t="s">
        <v>59</v>
      </c>
      <c r="I1908" s="133" t="s">
        <v>769</v>
      </c>
    </row>
    <row r="1909" spans="1:13" x14ac:dyDescent="0.35">
      <c r="A1909" s="109">
        <v>46051</v>
      </c>
      <c r="B1909" s="140" t="s">
        <v>65</v>
      </c>
      <c r="C1909" s="111" t="s">
        <v>23</v>
      </c>
      <c r="E1909" s="111" t="s">
        <v>2320</v>
      </c>
      <c r="F1909" s="153">
        <v>-215.32</v>
      </c>
      <c r="G1909" s="209">
        <v>46081</v>
      </c>
      <c r="H1909" s="133" t="s">
        <v>59</v>
      </c>
      <c r="I1909" s="133" t="s">
        <v>769</v>
      </c>
      <c r="M1909" s="196" t="s">
        <v>2321</v>
      </c>
    </row>
    <row r="1910" spans="1:13" x14ac:dyDescent="0.35">
      <c r="A1910" s="109">
        <v>46085</v>
      </c>
      <c r="B1910" s="140" t="s">
        <v>65</v>
      </c>
      <c r="C1910" s="111" t="s">
        <v>23</v>
      </c>
      <c r="E1910" s="111" t="s">
        <v>2322</v>
      </c>
      <c r="F1910" s="153">
        <v>-246.01</v>
      </c>
      <c r="G1910" s="135">
        <v>46115</v>
      </c>
      <c r="H1910" s="133" t="s">
        <v>59</v>
      </c>
      <c r="I1910" s="133" t="s">
        <v>1727</v>
      </c>
    </row>
    <row r="1911" spans="1:13" x14ac:dyDescent="0.35">
      <c r="A1911" s="109">
        <v>46098</v>
      </c>
      <c r="B1911" s="140" t="s">
        <v>65</v>
      </c>
      <c r="C1911" s="111" t="s">
        <v>23</v>
      </c>
      <c r="E1911" s="111" t="s">
        <v>2323</v>
      </c>
      <c r="F1911" s="153">
        <v>-232.56</v>
      </c>
      <c r="G1911" s="135">
        <v>46128</v>
      </c>
      <c r="H1911" s="133" t="s">
        <v>59</v>
      </c>
      <c r="I1911" s="133" t="s">
        <v>145</v>
      </c>
    </row>
    <row r="1912" spans="1:13" x14ac:dyDescent="0.35">
      <c r="A1912" s="109">
        <v>46092</v>
      </c>
      <c r="B1912" s="140" t="s">
        <v>65</v>
      </c>
      <c r="C1912" s="111" t="s">
        <v>32</v>
      </c>
      <c r="E1912" s="76" t="s">
        <v>2324</v>
      </c>
      <c r="F1912" s="153">
        <v>-88.6</v>
      </c>
      <c r="G1912" s="135">
        <v>46122</v>
      </c>
      <c r="H1912" s="133" t="s">
        <v>59</v>
      </c>
      <c r="I1912" s="133" t="s">
        <v>1727</v>
      </c>
      <c r="M1912" s="196" t="s">
        <v>2325</v>
      </c>
    </row>
    <row r="1913" spans="1:13" x14ac:dyDescent="0.35">
      <c r="A1913" s="109">
        <v>45895</v>
      </c>
      <c r="B1913" s="121" t="s">
        <v>57</v>
      </c>
      <c r="C1913" s="254" t="s">
        <v>29</v>
      </c>
      <c r="D1913" s="254" t="s">
        <v>2020</v>
      </c>
      <c r="E1913" s="254" t="s">
        <v>2326</v>
      </c>
      <c r="F1913" s="217">
        <v>60.98</v>
      </c>
      <c r="G1913" s="253">
        <f>A1913+30</f>
        <v>45925</v>
      </c>
      <c r="H1913" s="133" t="s">
        <v>59</v>
      </c>
      <c r="I1913" s="133" t="s">
        <v>135</v>
      </c>
      <c r="K1913" s="135"/>
    </row>
    <row r="1914" spans="1:13" x14ac:dyDescent="0.35">
      <c r="A1914" s="109">
        <v>46092</v>
      </c>
      <c r="B1914" s="140" t="s">
        <v>65</v>
      </c>
      <c r="C1914" s="111" t="s">
        <v>32</v>
      </c>
      <c r="E1914" s="111" t="s">
        <v>2327</v>
      </c>
      <c r="F1914" s="153">
        <v>-18.82</v>
      </c>
      <c r="G1914" s="135">
        <v>46122</v>
      </c>
      <c r="H1914" s="133" t="s">
        <v>59</v>
      </c>
      <c r="I1914" s="133" t="s">
        <v>1727</v>
      </c>
    </row>
    <row r="1915" spans="1:13" x14ac:dyDescent="0.35">
      <c r="A1915" s="180">
        <v>46059</v>
      </c>
      <c r="B1915" s="111" t="s">
        <v>65</v>
      </c>
      <c r="C1915" s="111" t="s">
        <v>2087</v>
      </c>
      <c r="E1915" s="121" t="s">
        <v>2328</v>
      </c>
      <c r="F1915" s="153">
        <v>-91.02</v>
      </c>
      <c r="G1915" s="259"/>
      <c r="H1915" s="133" t="s">
        <v>66</v>
      </c>
      <c r="I1915" s="133" t="s">
        <v>1048</v>
      </c>
      <c r="K1915" s="160">
        <v>46091</v>
      </c>
    </row>
    <row r="1916" spans="1:13" x14ac:dyDescent="0.35">
      <c r="A1916" s="180">
        <v>46061</v>
      </c>
      <c r="B1916" s="111" t="s">
        <v>65</v>
      </c>
      <c r="C1916" s="111" t="s">
        <v>2087</v>
      </c>
      <c r="E1916" s="121" t="s">
        <v>2329</v>
      </c>
      <c r="F1916" s="153">
        <v>-239.24</v>
      </c>
      <c r="G1916" s="259"/>
      <c r="H1916" s="133" t="s">
        <v>66</v>
      </c>
      <c r="I1916" s="133" t="s">
        <v>1048</v>
      </c>
      <c r="K1916" s="160">
        <v>46091</v>
      </c>
      <c r="M1916" s="186" t="s">
        <v>2330</v>
      </c>
    </row>
    <row r="1917" spans="1:13" x14ac:dyDescent="0.35">
      <c r="A1917" s="180">
        <v>46061</v>
      </c>
      <c r="B1917" s="111" t="s">
        <v>65</v>
      </c>
      <c r="C1917" s="111" t="s">
        <v>2087</v>
      </c>
      <c r="E1917" s="121" t="s">
        <v>2067</v>
      </c>
      <c r="F1917" s="153">
        <v>184.5</v>
      </c>
      <c r="H1917" s="133" t="s">
        <v>66</v>
      </c>
      <c r="I1917" s="133" t="s">
        <v>1048</v>
      </c>
      <c r="K1917" s="160">
        <v>46091</v>
      </c>
      <c r="M1917" s="186" t="s">
        <v>2331</v>
      </c>
    </row>
    <row r="1918" spans="1:13" x14ac:dyDescent="0.35">
      <c r="A1918" s="180">
        <v>46061</v>
      </c>
      <c r="B1918" s="111" t="s">
        <v>65</v>
      </c>
      <c r="C1918" s="121" t="s">
        <v>2332</v>
      </c>
      <c r="F1918" s="153">
        <v>-391.11</v>
      </c>
      <c r="H1918" s="133" t="s">
        <v>66</v>
      </c>
      <c r="K1918" s="160">
        <v>46090</v>
      </c>
      <c r="M1918" s="186" t="s">
        <v>2333</v>
      </c>
    </row>
    <row r="1919" spans="1:13" x14ac:dyDescent="0.35">
      <c r="A1919" s="109">
        <v>46093</v>
      </c>
      <c r="B1919" s="111" t="s">
        <v>65</v>
      </c>
      <c r="C1919" s="111" t="s">
        <v>32</v>
      </c>
      <c r="E1919" s="111" t="s">
        <v>2334</v>
      </c>
      <c r="F1919" s="153">
        <v>17.34</v>
      </c>
      <c r="G1919" s="135">
        <v>46122</v>
      </c>
      <c r="H1919" s="133" t="s">
        <v>59</v>
      </c>
      <c r="I1919" s="133" t="s">
        <v>1727</v>
      </c>
      <c r="M1919" s="196" t="s">
        <v>2335</v>
      </c>
    </row>
    <row r="1920" spans="1:13" x14ac:dyDescent="0.35">
      <c r="A1920" s="109">
        <v>46070</v>
      </c>
      <c r="B1920" s="111" t="s">
        <v>65</v>
      </c>
      <c r="C1920" s="111" t="s">
        <v>26</v>
      </c>
      <c r="E1920" s="111" t="s">
        <v>2336</v>
      </c>
      <c r="F1920" s="153">
        <v>-162.80000000000001</v>
      </c>
      <c r="G1920" s="135">
        <v>46100</v>
      </c>
      <c r="H1920" s="133" t="s">
        <v>59</v>
      </c>
      <c r="I1920" s="133" t="s">
        <v>145</v>
      </c>
    </row>
    <row r="1921" spans="1:13" x14ac:dyDescent="0.35">
      <c r="A1921" s="109">
        <v>46090</v>
      </c>
      <c r="B1921" s="111" t="s">
        <v>65</v>
      </c>
      <c r="C1921" s="111" t="s">
        <v>26</v>
      </c>
      <c r="E1921" s="111" t="s">
        <v>2337</v>
      </c>
      <c r="F1921" s="153">
        <v>-212.49</v>
      </c>
      <c r="G1921" s="135">
        <v>46120</v>
      </c>
      <c r="H1921" s="133" t="s">
        <v>59</v>
      </c>
      <c r="I1921" s="133" t="s">
        <v>145</v>
      </c>
    </row>
    <row r="1922" spans="1:13" x14ac:dyDescent="0.35">
      <c r="A1922" s="109">
        <v>46099</v>
      </c>
      <c r="B1922" s="111" t="s">
        <v>65</v>
      </c>
      <c r="C1922" s="111" t="s">
        <v>26</v>
      </c>
      <c r="E1922" s="111" t="s">
        <v>2338</v>
      </c>
      <c r="F1922" s="153">
        <v>-144.6</v>
      </c>
      <c r="G1922" s="135">
        <v>46129</v>
      </c>
      <c r="H1922" s="133" t="s">
        <v>59</v>
      </c>
      <c r="I1922" s="133" t="s">
        <v>145</v>
      </c>
    </row>
    <row r="1923" spans="1:13" x14ac:dyDescent="0.35">
      <c r="A1923" s="109">
        <v>45930</v>
      </c>
      <c r="B1923" s="121" t="s">
        <v>57</v>
      </c>
      <c r="C1923" s="254" t="s">
        <v>29</v>
      </c>
      <c r="D1923" s="254" t="s">
        <v>2020</v>
      </c>
      <c r="E1923" s="171" t="s">
        <v>2339</v>
      </c>
      <c r="F1923" s="217">
        <v>61.55</v>
      </c>
      <c r="G1923" s="253">
        <f>A1923+30</f>
        <v>45960</v>
      </c>
      <c r="H1923" s="133" t="s">
        <v>59</v>
      </c>
      <c r="I1923" s="133" t="s">
        <v>135</v>
      </c>
      <c r="K1923" s="135"/>
    </row>
    <row r="1924" spans="1:13" x14ac:dyDescent="0.35">
      <c r="A1924" s="109">
        <v>45967</v>
      </c>
      <c r="B1924" s="121" t="s">
        <v>57</v>
      </c>
      <c r="C1924" s="254" t="s">
        <v>29</v>
      </c>
      <c r="D1924" s="254" t="s">
        <v>2020</v>
      </c>
      <c r="E1924" s="171" t="s">
        <v>2340</v>
      </c>
      <c r="F1924" s="217">
        <v>61.62</v>
      </c>
      <c r="G1924" s="253">
        <f>A1924+30</f>
        <v>45997</v>
      </c>
      <c r="H1924" s="133" t="s">
        <v>59</v>
      </c>
      <c r="I1924" s="133" t="s">
        <v>135</v>
      </c>
      <c r="K1924" s="135"/>
    </row>
    <row r="1925" spans="1:13" x14ac:dyDescent="0.35">
      <c r="A1925" s="109">
        <v>46092</v>
      </c>
      <c r="B1925" s="111" t="s">
        <v>57</v>
      </c>
      <c r="C1925" s="111" t="s">
        <v>36</v>
      </c>
      <c r="D1925" s="111" t="s">
        <v>236</v>
      </c>
      <c r="E1925" s="111" t="s">
        <v>2341</v>
      </c>
      <c r="F1925" s="153">
        <v>325</v>
      </c>
      <c r="H1925" s="133" t="s">
        <v>59</v>
      </c>
      <c r="I1925" s="133" t="s">
        <v>135</v>
      </c>
    </row>
    <row r="1926" spans="1:13" x14ac:dyDescent="0.35">
      <c r="A1926" s="109">
        <v>46092</v>
      </c>
      <c r="B1926" s="111" t="s">
        <v>57</v>
      </c>
      <c r="C1926" s="111" t="s">
        <v>2206</v>
      </c>
      <c r="D1926" s="111" t="s">
        <v>1153</v>
      </c>
      <c r="E1926" s="111" t="s">
        <v>2342</v>
      </c>
      <c r="F1926" s="153">
        <v>35.18</v>
      </c>
      <c r="G1926" s="135">
        <v>46122</v>
      </c>
      <c r="H1926" s="134" t="s">
        <v>66</v>
      </c>
      <c r="I1926" s="133" t="s">
        <v>135</v>
      </c>
      <c r="K1926" s="160">
        <v>46097</v>
      </c>
    </row>
    <row r="1927" spans="1:13" x14ac:dyDescent="0.35">
      <c r="A1927" s="109">
        <v>46071</v>
      </c>
      <c r="B1927" s="111" t="s">
        <v>65</v>
      </c>
      <c r="C1927" s="111" t="s">
        <v>52</v>
      </c>
      <c r="E1927" s="218" t="s">
        <v>2343</v>
      </c>
      <c r="F1927" s="153">
        <v>-42.48</v>
      </c>
      <c r="G1927" s="135">
        <v>46101</v>
      </c>
      <c r="H1927" s="133" t="s">
        <v>59</v>
      </c>
      <c r="I1927" s="133" t="s">
        <v>170</v>
      </c>
    </row>
    <row r="1928" spans="1:13" x14ac:dyDescent="0.35">
      <c r="A1928" s="109">
        <v>46071</v>
      </c>
      <c r="B1928" s="111" t="s">
        <v>65</v>
      </c>
      <c r="C1928" s="111" t="s">
        <v>52</v>
      </c>
      <c r="E1928" s="111" t="s">
        <v>2344</v>
      </c>
      <c r="F1928" s="153">
        <v>-79.040000000000006</v>
      </c>
      <c r="G1928" s="135">
        <v>46101</v>
      </c>
      <c r="H1928" s="133" t="s">
        <v>59</v>
      </c>
      <c r="I1928" s="133" t="s">
        <v>119</v>
      </c>
    </row>
    <row r="1929" spans="1:13" x14ac:dyDescent="0.35">
      <c r="A1929" s="109">
        <v>46071</v>
      </c>
      <c r="B1929" s="111" t="s">
        <v>65</v>
      </c>
      <c r="C1929" s="111" t="s">
        <v>52</v>
      </c>
      <c r="E1929" s="111" t="s">
        <v>2345</v>
      </c>
      <c r="F1929" s="153">
        <v>-10.5</v>
      </c>
      <c r="G1929" s="135">
        <v>46101</v>
      </c>
      <c r="H1929" s="133" t="s">
        <v>59</v>
      </c>
      <c r="I1929" s="133" t="s">
        <v>119</v>
      </c>
    </row>
    <row r="1930" spans="1:13" x14ac:dyDescent="0.35">
      <c r="A1930" s="109">
        <v>46077</v>
      </c>
      <c r="B1930" s="111" t="s">
        <v>65</v>
      </c>
      <c r="C1930" s="111" t="s">
        <v>52</v>
      </c>
      <c r="E1930" s="111" t="s">
        <v>2346</v>
      </c>
      <c r="F1930" s="153">
        <v>-49.72</v>
      </c>
      <c r="G1930" s="135">
        <v>46107</v>
      </c>
      <c r="H1930" s="133" t="s">
        <v>59</v>
      </c>
      <c r="I1930" s="133" t="s">
        <v>119</v>
      </c>
    </row>
    <row r="1931" spans="1:13" x14ac:dyDescent="0.35">
      <c r="A1931" s="109">
        <v>46090</v>
      </c>
      <c r="B1931" s="111" t="s">
        <v>65</v>
      </c>
      <c r="C1931" s="111" t="s">
        <v>52</v>
      </c>
      <c r="E1931" s="111" t="s">
        <v>2347</v>
      </c>
      <c r="F1931" s="153">
        <v>-171.26</v>
      </c>
      <c r="G1931" s="135">
        <v>46120</v>
      </c>
      <c r="H1931" s="133" t="s">
        <v>59</v>
      </c>
      <c r="I1931" s="133" t="s">
        <v>119</v>
      </c>
    </row>
    <row r="1932" spans="1:13" x14ac:dyDescent="0.35">
      <c r="A1932" s="109">
        <v>46085</v>
      </c>
      <c r="B1932" s="111" t="s">
        <v>65</v>
      </c>
      <c r="C1932" s="111" t="s">
        <v>52</v>
      </c>
      <c r="E1932" s="111" t="s">
        <v>2348</v>
      </c>
      <c r="F1932" s="153">
        <v>-30.76</v>
      </c>
      <c r="G1932" s="135">
        <v>46115</v>
      </c>
      <c r="H1932" s="133" t="s">
        <v>59</v>
      </c>
      <c r="I1932" s="133" t="s">
        <v>170</v>
      </c>
    </row>
    <row r="1933" spans="1:13" x14ac:dyDescent="0.35">
      <c r="A1933" s="109">
        <v>46092</v>
      </c>
      <c r="B1933" s="111" t="s">
        <v>65</v>
      </c>
      <c r="C1933" s="111" t="s">
        <v>43</v>
      </c>
      <c r="F1933" s="153">
        <v>-3996.07</v>
      </c>
      <c r="G1933" s="135">
        <v>46101</v>
      </c>
      <c r="H1933" s="133" t="s">
        <v>66</v>
      </c>
      <c r="K1933" s="135">
        <v>46101</v>
      </c>
      <c r="M1933" s="196" t="s">
        <v>2349</v>
      </c>
    </row>
    <row r="1934" spans="1:13" x14ac:dyDescent="0.35">
      <c r="A1934" s="109">
        <v>46085</v>
      </c>
      <c r="B1934" s="111" t="s">
        <v>65</v>
      </c>
      <c r="C1934" s="111" t="s">
        <v>52</v>
      </c>
      <c r="E1934" s="111" t="s">
        <v>2350</v>
      </c>
      <c r="F1934" s="153">
        <v>-20.29</v>
      </c>
      <c r="G1934" s="135">
        <v>46115</v>
      </c>
      <c r="H1934" s="133" t="s">
        <v>59</v>
      </c>
      <c r="I1934" s="133" t="s">
        <v>2351</v>
      </c>
    </row>
    <row r="1935" spans="1:13" x14ac:dyDescent="0.35">
      <c r="A1935" s="109">
        <v>46090</v>
      </c>
      <c r="B1935" s="111" t="s">
        <v>65</v>
      </c>
      <c r="C1935" s="111" t="s">
        <v>52</v>
      </c>
      <c r="E1935" s="111" t="s">
        <v>2352</v>
      </c>
      <c r="F1935" s="153">
        <v>-82.43</v>
      </c>
      <c r="G1935" s="135">
        <v>46120</v>
      </c>
      <c r="H1935" s="133" t="s">
        <v>59</v>
      </c>
      <c r="I1935" s="133" t="s">
        <v>170</v>
      </c>
    </row>
    <row r="1936" spans="1:13" x14ac:dyDescent="0.35">
      <c r="A1936" s="109">
        <v>46129</v>
      </c>
      <c r="B1936" s="111" t="s">
        <v>65</v>
      </c>
      <c r="C1936" s="111" t="s">
        <v>52</v>
      </c>
      <c r="E1936" s="111" t="s">
        <v>2353</v>
      </c>
      <c r="F1936" s="153">
        <v>-95.92</v>
      </c>
      <c r="G1936" s="135">
        <v>46128</v>
      </c>
      <c r="H1936" s="133" t="s">
        <v>59</v>
      </c>
      <c r="I1936" s="133" t="s">
        <v>119</v>
      </c>
    </row>
    <row r="1937" spans="1:13" x14ac:dyDescent="0.35">
      <c r="A1937" s="109">
        <v>46085</v>
      </c>
      <c r="B1937" s="111" t="s">
        <v>65</v>
      </c>
      <c r="C1937" s="121" t="s">
        <v>96</v>
      </c>
      <c r="E1937" s="121" t="s">
        <v>2354</v>
      </c>
      <c r="F1937" s="194">
        <v>-51.94</v>
      </c>
      <c r="H1937" s="133" t="s">
        <v>59</v>
      </c>
      <c r="M1937" s="186" t="s">
        <v>2355</v>
      </c>
    </row>
    <row r="1938" spans="1:13" x14ac:dyDescent="0.35">
      <c r="A1938" s="109">
        <v>46085</v>
      </c>
      <c r="B1938" s="111" t="s">
        <v>65</v>
      </c>
      <c r="C1938" s="121" t="s">
        <v>96</v>
      </c>
      <c r="E1938" s="121" t="s">
        <v>2356</v>
      </c>
      <c r="F1938" s="194">
        <v>-4021.02</v>
      </c>
      <c r="H1938" s="133" t="s">
        <v>59</v>
      </c>
      <c r="M1938" s="186" t="s">
        <v>2357</v>
      </c>
    </row>
    <row r="1939" spans="1:13" x14ac:dyDescent="0.35">
      <c r="A1939" s="180">
        <v>46083</v>
      </c>
      <c r="B1939" s="111" t="s">
        <v>65</v>
      </c>
      <c r="C1939" s="121" t="s">
        <v>2358</v>
      </c>
      <c r="F1939" s="194">
        <v>-2925</v>
      </c>
      <c r="H1939" s="133" t="s">
        <v>59</v>
      </c>
      <c r="M1939" s="186" t="s">
        <v>2359</v>
      </c>
    </row>
    <row r="1940" spans="1:13" x14ac:dyDescent="0.35">
      <c r="A1940" s="109">
        <v>46072</v>
      </c>
      <c r="B1940" s="111" t="s">
        <v>65</v>
      </c>
      <c r="C1940" s="111" t="s">
        <v>104</v>
      </c>
      <c r="E1940" s="111" t="s">
        <v>2360</v>
      </c>
      <c r="F1940" s="153">
        <v>-43.5</v>
      </c>
      <c r="G1940" s="135">
        <v>46099</v>
      </c>
      <c r="H1940" s="133" t="s">
        <v>59</v>
      </c>
      <c r="I1940" s="133" t="s">
        <v>1048</v>
      </c>
    </row>
    <row r="1941" spans="1:13" x14ac:dyDescent="0.35">
      <c r="A1941" s="109">
        <v>46091</v>
      </c>
      <c r="B1941" s="111" t="s">
        <v>65</v>
      </c>
      <c r="C1941" s="111" t="s">
        <v>104</v>
      </c>
      <c r="E1941" s="111" t="s">
        <v>2361</v>
      </c>
      <c r="F1941" s="153">
        <v>-40.409999999999997</v>
      </c>
      <c r="G1941" s="135">
        <v>46118</v>
      </c>
      <c r="H1941" s="133" t="s">
        <v>59</v>
      </c>
      <c r="I1941" s="133" t="s">
        <v>1727</v>
      </c>
    </row>
    <row r="1942" spans="1:13" x14ac:dyDescent="0.35">
      <c r="A1942" s="109">
        <v>46098</v>
      </c>
      <c r="B1942" s="111" t="s">
        <v>65</v>
      </c>
      <c r="C1942" s="111" t="s">
        <v>104</v>
      </c>
      <c r="E1942" s="111" t="s">
        <v>2362</v>
      </c>
      <c r="F1942" s="153">
        <v>-42.43</v>
      </c>
      <c r="G1942" s="135">
        <v>46126</v>
      </c>
      <c r="H1942" s="133" t="s">
        <v>59</v>
      </c>
      <c r="I1942" s="133" t="s">
        <v>1727</v>
      </c>
      <c r="J1942" s="111" t="s">
        <v>2363</v>
      </c>
    </row>
    <row r="1943" spans="1:13" x14ac:dyDescent="0.35">
      <c r="A1943" s="109">
        <v>46099</v>
      </c>
      <c r="B1943" s="111" t="s">
        <v>65</v>
      </c>
      <c r="C1943" s="111" t="s">
        <v>104</v>
      </c>
      <c r="E1943" s="111" t="s">
        <v>2364</v>
      </c>
      <c r="F1943" s="153">
        <v>-24.77</v>
      </c>
      <c r="G1943" s="135">
        <v>46127</v>
      </c>
      <c r="H1943" s="133" t="s">
        <v>59</v>
      </c>
      <c r="I1943" s="133" t="s">
        <v>1727</v>
      </c>
    </row>
    <row r="1944" spans="1:13" x14ac:dyDescent="0.35">
      <c r="A1944" s="109">
        <v>46099</v>
      </c>
      <c r="B1944" s="111" t="s">
        <v>65</v>
      </c>
      <c r="C1944" s="111" t="s">
        <v>104</v>
      </c>
      <c r="E1944" s="111" t="s">
        <v>2365</v>
      </c>
      <c r="F1944" s="153">
        <v>-30.86</v>
      </c>
      <c r="G1944" s="135">
        <v>46127</v>
      </c>
      <c r="H1944" s="133" t="s">
        <v>59</v>
      </c>
      <c r="I1944" s="133" t="s">
        <v>1727</v>
      </c>
    </row>
    <row r="1945" spans="1:13" x14ac:dyDescent="0.35">
      <c r="A1945" s="109">
        <v>46056</v>
      </c>
      <c r="B1945" s="111" t="s">
        <v>65</v>
      </c>
      <c r="C1945" s="111" t="s">
        <v>3</v>
      </c>
      <c r="E1945" s="111" t="s">
        <v>2366</v>
      </c>
      <c r="F1945" s="153">
        <v>-100.43</v>
      </c>
      <c r="G1945" s="135">
        <v>46085</v>
      </c>
      <c r="H1945" s="133" t="s">
        <v>59</v>
      </c>
      <c r="I1945" s="133" t="s">
        <v>145</v>
      </c>
    </row>
    <row r="1946" spans="1:13" x14ac:dyDescent="0.35">
      <c r="A1946" s="109">
        <v>46069</v>
      </c>
      <c r="B1946" s="111" t="s">
        <v>65</v>
      </c>
      <c r="C1946" s="111" t="s">
        <v>3</v>
      </c>
      <c r="E1946" s="111" t="s">
        <v>2367</v>
      </c>
      <c r="F1946" s="153">
        <v>-274.54000000000002</v>
      </c>
      <c r="G1946" s="135">
        <v>46099</v>
      </c>
      <c r="H1946" s="133" t="s">
        <v>59</v>
      </c>
      <c r="I1946" s="133" t="s">
        <v>145</v>
      </c>
    </row>
    <row r="1947" spans="1:13" x14ac:dyDescent="0.35">
      <c r="A1947" s="109">
        <v>46063</v>
      </c>
      <c r="B1947" s="111" t="s">
        <v>65</v>
      </c>
      <c r="C1947" s="111" t="s">
        <v>3</v>
      </c>
      <c r="E1947" s="111" t="s">
        <v>2368</v>
      </c>
      <c r="F1947" s="153">
        <v>-52.15</v>
      </c>
      <c r="G1947" s="135">
        <v>46091</v>
      </c>
      <c r="H1947" s="133" t="s">
        <v>59</v>
      </c>
      <c r="I1947" s="133" t="s">
        <v>145</v>
      </c>
    </row>
    <row r="1948" spans="1:13" x14ac:dyDescent="0.35">
      <c r="A1948" s="109">
        <v>46072</v>
      </c>
      <c r="B1948" s="111" t="s">
        <v>65</v>
      </c>
      <c r="C1948" s="111" t="s">
        <v>3</v>
      </c>
      <c r="E1948" s="111" t="s">
        <v>2369</v>
      </c>
      <c r="F1948" s="153">
        <v>-582.65</v>
      </c>
      <c r="G1948" s="135">
        <v>46102</v>
      </c>
      <c r="H1948" s="133" t="s">
        <v>59</v>
      </c>
      <c r="I1948" s="133" t="s">
        <v>145</v>
      </c>
    </row>
    <row r="1949" spans="1:13" x14ac:dyDescent="0.35">
      <c r="A1949" s="109">
        <v>46077</v>
      </c>
      <c r="B1949" s="111" t="s">
        <v>65</v>
      </c>
      <c r="C1949" s="111" t="s">
        <v>3</v>
      </c>
      <c r="E1949" s="111" t="s">
        <v>2291</v>
      </c>
      <c r="F1949" s="153">
        <v>-497.74</v>
      </c>
      <c r="G1949" s="135">
        <v>46107</v>
      </c>
      <c r="H1949" s="133" t="s">
        <v>59</v>
      </c>
      <c r="I1949" s="133" t="s">
        <v>145</v>
      </c>
    </row>
    <row r="1950" spans="1:13" x14ac:dyDescent="0.35">
      <c r="A1950" s="109">
        <v>46077</v>
      </c>
      <c r="B1950" s="111" t="s">
        <v>65</v>
      </c>
      <c r="C1950" s="111" t="s">
        <v>3</v>
      </c>
      <c r="E1950" s="218" t="s">
        <v>2370</v>
      </c>
      <c r="F1950" s="153">
        <v>-121.61</v>
      </c>
      <c r="G1950" s="135">
        <v>46107</v>
      </c>
      <c r="H1950" s="133" t="s">
        <v>59</v>
      </c>
      <c r="I1950" s="133" t="s">
        <v>1727</v>
      </c>
    </row>
    <row r="1951" spans="1:13" x14ac:dyDescent="0.35">
      <c r="A1951" s="109">
        <v>46092</v>
      </c>
      <c r="B1951" s="111" t="s">
        <v>65</v>
      </c>
      <c r="C1951" s="111" t="s">
        <v>3</v>
      </c>
      <c r="E1951" s="111" t="s">
        <v>2371</v>
      </c>
      <c r="F1951" s="153">
        <v>-612.87</v>
      </c>
      <c r="G1951" s="135">
        <v>46122</v>
      </c>
      <c r="H1951" s="133" t="s">
        <v>59</v>
      </c>
      <c r="I1951" s="133" t="s">
        <v>2372</v>
      </c>
    </row>
    <row r="1952" spans="1:13" x14ac:dyDescent="0.35">
      <c r="A1952" s="109">
        <v>46092</v>
      </c>
      <c r="B1952" s="111" t="s">
        <v>65</v>
      </c>
      <c r="C1952" s="111" t="s">
        <v>3</v>
      </c>
      <c r="E1952" s="111" t="s">
        <v>2373</v>
      </c>
      <c r="F1952" s="153">
        <v>90.88</v>
      </c>
      <c r="G1952" s="135">
        <v>46122</v>
      </c>
      <c r="H1952" s="133" t="s">
        <v>59</v>
      </c>
      <c r="I1952" s="133" t="s">
        <v>2372</v>
      </c>
    </row>
    <row r="1953" spans="1:9" x14ac:dyDescent="0.35">
      <c r="A1953" s="109">
        <v>46087</v>
      </c>
      <c r="B1953" s="111" t="s">
        <v>65</v>
      </c>
      <c r="C1953" s="111" t="s">
        <v>3</v>
      </c>
      <c r="E1953" s="111" t="s">
        <v>2374</v>
      </c>
      <c r="F1953" s="153">
        <v>-386.45</v>
      </c>
      <c r="G1953" s="135">
        <v>46117</v>
      </c>
      <c r="H1953" s="133" t="s">
        <v>59</v>
      </c>
      <c r="I1953" s="133" t="s">
        <v>170</v>
      </c>
    </row>
    <row r="1954" spans="1:9" x14ac:dyDescent="0.35">
      <c r="A1954" s="109">
        <v>46098</v>
      </c>
      <c r="B1954" s="111" t="s">
        <v>65</v>
      </c>
      <c r="C1954" s="111" t="s">
        <v>3</v>
      </c>
      <c r="E1954" s="111" t="s">
        <v>2375</v>
      </c>
      <c r="F1954" s="153">
        <v>-327.01</v>
      </c>
      <c r="G1954" s="135">
        <v>46128</v>
      </c>
      <c r="H1954" s="133" t="s">
        <v>59</v>
      </c>
      <c r="I1954" s="133" t="s">
        <v>1727</v>
      </c>
    </row>
    <row r="1955" spans="1:9" x14ac:dyDescent="0.35">
      <c r="A1955" s="109">
        <v>46091</v>
      </c>
      <c r="B1955" s="111" t="s">
        <v>65</v>
      </c>
      <c r="C1955" s="111" t="s">
        <v>2087</v>
      </c>
      <c r="E1955" s="111" t="s">
        <v>2376</v>
      </c>
      <c r="F1955" s="153">
        <v>-239.24</v>
      </c>
      <c r="G1955" s="135">
        <f>A1955</f>
        <v>46091</v>
      </c>
      <c r="H1955" s="133" t="s">
        <v>59</v>
      </c>
      <c r="I1955" s="133" t="s">
        <v>2372</v>
      </c>
    </row>
    <row r="1956" spans="1:9" x14ac:dyDescent="0.35">
      <c r="F1956" s="153"/>
    </row>
    <row r="1957" spans="1:9" x14ac:dyDescent="0.35">
      <c r="F1957" s="153"/>
    </row>
    <row r="1958" spans="1:9" x14ac:dyDescent="0.35">
      <c r="F1958" s="153"/>
    </row>
    <row r="1959" spans="1:9" x14ac:dyDescent="0.35">
      <c r="F1959" s="153"/>
    </row>
    <row r="1960" spans="1:9" x14ac:dyDescent="0.35">
      <c r="F1960" s="153"/>
    </row>
    <row r="1961" spans="1:9" x14ac:dyDescent="0.35">
      <c r="F1961" s="153"/>
    </row>
    <row r="1962" spans="1:9" x14ac:dyDescent="0.35">
      <c r="F1962" s="153"/>
    </row>
    <row r="1963" spans="1:9" x14ac:dyDescent="0.35">
      <c r="F1963" s="153"/>
    </row>
    <row r="1964" spans="1:9" x14ac:dyDescent="0.35">
      <c r="F1964" s="153"/>
    </row>
    <row r="1965" spans="1:9" x14ac:dyDescent="0.35">
      <c r="F1965" s="153"/>
    </row>
    <row r="1966" spans="1:9" x14ac:dyDescent="0.35">
      <c r="F1966" s="153"/>
    </row>
    <row r="1967" spans="1:9" x14ac:dyDescent="0.35">
      <c r="F1967" s="153"/>
    </row>
    <row r="1968" spans="1:9" x14ac:dyDescent="0.35">
      <c r="F1968" s="153"/>
    </row>
    <row r="1969" spans="6:6" x14ac:dyDescent="0.35">
      <c r="F1969" s="153"/>
    </row>
    <row r="1970" spans="6:6" x14ac:dyDescent="0.35">
      <c r="F1970" s="153"/>
    </row>
    <row r="1971" spans="6:6" x14ac:dyDescent="0.35">
      <c r="F1971" s="153"/>
    </row>
    <row r="1972" spans="6:6" x14ac:dyDescent="0.35">
      <c r="F1972" s="153"/>
    </row>
    <row r="1973" spans="6:6" x14ac:dyDescent="0.35">
      <c r="F1973" s="153"/>
    </row>
    <row r="1974" spans="6:6" x14ac:dyDescent="0.35">
      <c r="F1974" s="153"/>
    </row>
    <row r="1975" spans="6:6" x14ac:dyDescent="0.35">
      <c r="F1975" s="153"/>
    </row>
    <row r="1976" spans="6:6" x14ac:dyDescent="0.35">
      <c r="F1976" s="153"/>
    </row>
    <row r="1977" spans="6:6" x14ac:dyDescent="0.35">
      <c r="F1977" s="153"/>
    </row>
    <row r="1978" spans="6:6" x14ac:dyDescent="0.35">
      <c r="F1978" s="153"/>
    </row>
    <row r="1979" spans="6:6" x14ac:dyDescent="0.35">
      <c r="F1979" s="153"/>
    </row>
    <row r="1980" spans="6:6" x14ac:dyDescent="0.35">
      <c r="F1980" s="153"/>
    </row>
    <row r="1981" spans="6:6" x14ac:dyDescent="0.35">
      <c r="F1981" s="153"/>
    </row>
    <row r="1982" spans="6:6" x14ac:dyDescent="0.35">
      <c r="F1982" s="153"/>
    </row>
    <row r="1983" spans="6:6" x14ac:dyDescent="0.35">
      <c r="F1983" s="153"/>
    </row>
    <row r="1984" spans="6:6" x14ac:dyDescent="0.35">
      <c r="F1984" s="153"/>
    </row>
    <row r="1985" spans="6:6" x14ac:dyDescent="0.35">
      <c r="F1985" s="153"/>
    </row>
    <row r="1986" spans="6:6" x14ac:dyDescent="0.35">
      <c r="F1986" s="153"/>
    </row>
    <row r="1987" spans="6:6" x14ac:dyDescent="0.35">
      <c r="F1987" s="153"/>
    </row>
    <row r="1988" spans="6:6" x14ac:dyDescent="0.35">
      <c r="F1988" s="153"/>
    </row>
    <row r="1989" spans="6:6" x14ac:dyDescent="0.35">
      <c r="F1989" s="153"/>
    </row>
    <row r="1990" spans="6:6" x14ac:dyDescent="0.35">
      <c r="F1990" s="153"/>
    </row>
    <row r="1991" spans="6:6" x14ac:dyDescent="0.35">
      <c r="F1991" s="153"/>
    </row>
    <row r="1992" spans="6:6" x14ac:dyDescent="0.35">
      <c r="F1992" s="153"/>
    </row>
    <row r="1993" spans="6:6" x14ac:dyDescent="0.35">
      <c r="F1993" s="153"/>
    </row>
    <row r="1994" spans="6:6" x14ac:dyDescent="0.35">
      <c r="F1994" s="153"/>
    </row>
    <row r="1995" spans="6:6" x14ac:dyDescent="0.35">
      <c r="F1995" s="153"/>
    </row>
    <row r="1996" spans="6:6" x14ac:dyDescent="0.35">
      <c r="F1996" s="153"/>
    </row>
    <row r="1997" spans="6:6" x14ac:dyDescent="0.35">
      <c r="F1997" s="153"/>
    </row>
    <row r="1998" spans="6:6" x14ac:dyDescent="0.35">
      <c r="F1998" s="153"/>
    </row>
    <row r="1999" spans="6:6" x14ac:dyDescent="0.35">
      <c r="F1999" s="153"/>
    </row>
    <row r="2000" spans="6:6" x14ac:dyDescent="0.35">
      <c r="F2000" s="153"/>
    </row>
    <row r="2001" spans="6:6" x14ac:dyDescent="0.35">
      <c r="F2001" s="153"/>
    </row>
    <row r="2002" spans="6:6" x14ac:dyDescent="0.35">
      <c r="F2002" s="153"/>
    </row>
    <row r="2003" spans="6:6" x14ac:dyDescent="0.35">
      <c r="F2003" s="153"/>
    </row>
    <row r="2004" spans="6:6" x14ac:dyDescent="0.35">
      <c r="F2004" s="153"/>
    </row>
    <row r="2005" spans="6:6" x14ac:dyDescent="0.35">
      <c r="F2005" s="153"/>
    </row>
    <row r="2006" spans="6:6" x14ac:dyDescent="0.35">
      <c r="F2006" s="153"/>
    </row>
    <row r="2007" spans="6:6" x14ac:dyDescent="0.35">
      <c r="F2007" s="153"/>
    </row>
    <row r="2008" spans="6:6" x14ac:dyDescent="0.35">
      <c r="F2008" s="153"/>
    </row>
    <row r="2009" spans="6:6" x14ac:dyDescent="0.35">
      <c r="F2009" s="153"/>
    </row>
    <row r="2010" spans="6:6" x14ac:dyDescent="0.35">
      <c r="F2010" s="153"/>
    </row>
    <row r="2011" spans="6:6" x14ac:dyDescent="0.35">
      <c r="F2011" s="153"/>
    </row>
    <row r="2012" spans="6:6" x14ac:dyDescent="0.35">
      <c r="F2012" s="153"/>
    </row>
    <row r="2013" spans="6:6" x14ac:dyDescent="0.35">
      <c r="F2013" s="153"/>
    </row>
    <row r="2014" spans="6:6" x14ac:dyDescent="0.35">
      <c r="F2014" s="153"/>
    </row>
    <row r="2015" spans="6:6" x14ac:dyDescent="0.35">
      <c r="F2015" s="153"/>
    </row>
    <row r="2016" spans="6:6" x14ac:dyDescent="0.35">
      <c r="F2016" s="153"/>
    </row>
    <row r="2017" spans="6:6" x14ac:dyDescent="0.35">
      <c r="F2017" s="153"/>
    </row>
    <row r="2018" spans="6:6" x14ac:dyDescent="0.35">
      <c r="F2018" s="153"/>
    </row>
    <row r="2019" spans="6:6" x14ac:dyDescent="0.35">
      <c r="F2019" s="153"/>
    </row>
    <row r="2020" spans="6:6" x14ac:dyDescent="0.35">
      <c r="F2020" s="153"/>
    </row>
    <row r="2021" spans="6:6" x14ac:dyDescent="0.35">
      <c r="F2021" s="153"/>
    </row>
    <row r="2022" spans="6:6" x14ac:dyDescent="0.35">
      <c r="F2022" s="153"/>
    </row>
    <row r="2023" spans="6:6" x14ac:dyDescent="0.35">
      <c r="F2023" s="153"/>
    </row>
    <row r="2024" spans="6:6" x14ac:dyDescent="0.35">
      <c r="F2024" s="153"/>
    </row>
    <row r="2025" spans="6:6" x14ac:dyDescent="0.35">
      <c r="F2025" s="153"/>
    </row>
    <row r="2026" spans="6:6" x14ac:dyDescent="0.35">
      <c r="F2026" s="153"/>
    </row>
    <row r="2027" spans="6:6" x14ac:dyDescent="0.35">
      <c r="F2027" s="153"/>
    </row>
    <row r="2028" spans="6:6" x14ac:dyDescent="0.35">
      <c r="F2028" s="153"/>
    </row>
    <row r="2029" spans="6:6" x14ac:dyDescent="0.35">
      <c r="F2029" s="153"/>
    </row>
    <row r="2030" spans="6:6" x14ac:dyDescent="0.35">
      <c r="F2030" s="153"/>
    </row>
    <row r="2031" spans="6:6" x14ac:dyDescent="0.35">
      <c r="F2031" s="153"/>
    </row>
    <row r="2032" spans="6:6" x14ac:dyDescent="0.35">
      <c r="F2032" s="153"/>
    </row>
    <row r="2033" spans="6:6" x14ac:dyDescent="0.35">
      <c r="F2033" s="153"/>
    </row>
    <row r="2034" spans="6:6" x14ac:dyDescent="0.35">
      <c r="F2034" s="153"/>
    </row>
    <row r="2035" spans="6:6" x14ac:dyDescent="0.35">
      <c r="F2035" s="153"/>
    </row>
    <row r="2036" spans="6:6" x14ac:dyDescent="0.35">
      <c r="F2036" s="153"/>
    </row>
    <row r="2037" spans="6:6" x14ac:dyDescent="0.35">
      <c r="F2037" s="153"/>
    </row>
    <row r="2038" spans="6:6" x14ac:dyDescent="0.35">
      <c r="F2038" s="153"/>
    </row>
    <row r="2039" spans="6:6" x14ac:dyDescent="0.35">
      <c r="F2039" s="153"/>
    </row>
    <row r="2040" spans="6:6" x14ac:dyDescent="0.35">
      <c r="F2040" s="153"/>
    </row>
    <row r="2041" spans="6:6" x14ac:dyDescent="0.35">
      <c r="F2041" s="153"/>
    </row>
    <row r="2042" spans="6:6" x14ac:dyDescent="0.35">
      <c r="F2042" s="153"/>
    </row>
    <row r="2043" spans="6:6" x14ac:dyDescent="0.35">
      <c r="F2043" s="153"/>
    </row>
    <row r="2044" spans="6:6" x14ac:dyDescent="0.35">
      <c r="F2044" s="153"/>
    </row>
    <row r="2045" spans="6:6" x14ac:dyDescent="0.35">
      <c r="F2045" s="153"/>
    </row>
    <row r="2046" spans="6:6" x14ac:dyDescent="0.35">
      <c r="F2046" s="153"/>
    </row>
    <row r="2047" spans="6:6" x14ac:dyDescent="0.35">
      <c r="F2047" s="153"/>
    </row>
    <row r="2048" spans="6:6" x14ac:dyDescent="0.35">
      <c r="F2048" s="153"/>
    </row>
    <row r="2049" spans="6:6" x14ac:dyDescent="0.35">
      <c r="F2049" s="153"/>
    </row>
    <row r="2050" spans="6:6" x14ac:dyDescent="0.35">
      <c r="F2050" s="153"/>
    </row>
    <row r="2051" spans="6:6" x14ac:dyDescent="0.35">
      <c r="F2051" s="153"/>
    </row>
    <row r="2052" spans="6:6" x14ac:dyDescent="0.35">
      <c r="F2052" s="153"/>
    </row>
    <row r="2053" spans="6:6" x14ac:dyDescent="0.35">
      <c r="F2053" s="153"/>
    </row>
    <row r="2054" spans="6:6" x14ac:dyDescent="0.35">
      <c r="F2054" s="153"/>
    </row>
    <row r="2055" spans="6:6" x14ac:dyDescent="0.35">
      <c r="F2055" s="153"/>
    </row>
    <row r="2056" spans="6:6" x14ac:dyDescent="0.35">
      <c r="F2056" s="153"/>
    </row>
    <row r="2057" spans="6:6" x14ac:dyDescent="0.35">
      <c r="F2057" s="153"/>
    </row>
    <row r="2058" spans="6:6" x14ac:dyDescent="0.35">
      <c r="F2058" s="153"/>
    </row>
    <row r="2059" spans="6:6" x14ac:dyDescent="0.35">
      <c r="F2059" s="153"/>
    </row>
    <row r="2060" spans="6:6" x14ac:dyDescent="0.35">
      <c r="F2060" s="153"/>
    </row>
    <row r="2061" spans="6:6" x14ac:dyDescent="0.35">
      <c r="F2061" s="153"/>
    </row>
    <row r="2062" spans="6:6" x14ac:dyDescent="0.35">
      <c r="F2062" s="153"/>
    </row>
    <row r="2063" spans="6:6" x14ac:dyDescent="0.35">
      <c r="F2063" s="153"/>
    </row>
    <row r="2064" spans="6:6" x14ac:dyDescent="0.35">
      <c r="F2064" s="153"/>
    </row>
    <row r="2065" spans="6:6" x14ac:dyDescent="0.35">
      <c r="F2065" s="153"/>
    </row>
    <row r="2066" spans="6:6" x14ac:dyDescent="0.35">
      <c r="F2066" s="153"/>
    </row>
    <row r="2067" spans="6:6" x14ac:dyDescent="0.35">
      <c r="F2067" s="153"/>
    </row>
    <row r="2068" spans="6:6" x14ac:dyDescent="0.35">
      <c r="F2068" s="153"/>
    </row>
    <row r="2069" spans="6:6" x14ac:dyDescent="0.35">
      <c r="F2069" s="153"/>
    </row>
    <row r="2070" spans="6:6" x14ac:dyDescent="0.35">
      <c r="F2070" s="153"/>
    </row>
    <row r="2071" spans="6:6" x14ac:dyDescent="0.35">
      <c r="F2071" s="153"/>
    </row>
    <row r="2072" spans="6:6" x14ac:dyDescent="0.35">
      <c r="F2072" s="153"/>
    </row>
    <row r="2073" spans="6:6" x14ac:dyDescent="0.35">
      <c r="F2073" s="153"/>
    </row>
    <row r="2074" spans="6:6" x14ac:dyDescent="0.35">
      <c r="F2074" s="153"/>
    </row>
    <row r="2075" spans="6:6" x14ac:dyDescent="0.35">
      <c r="F2075" s="153"/>
    </row>
    <row r="2076" spans="6:6" x14ac:dyDescent="0.35">
      <c r="F2076" s="153"/>
    </row>
    <row r="2077" spans="6:6" x14ac:dyDescent="0.35">
      <c r="F2077" s="153"/>
    </row>
    <row r="2078" spans="6:6" x14ac:dyDescent="0.35">
      <c r="F2078" s="153"/>
    </row>
    <row r="2079" spans="6:6" x14ac:dyDescent="0.35">
      <c r="F2079" s="153"/>
    </row>
    <row r="2080" spans="6:6" x14ac:dyDescent="0.35">
      <c r="F2080" s="153"/>
    </row>
    <row r="2081" spans="6:6" x14ac:dyDescent="0.35">
      <c r="F2081" s="153"/>
    </row>
    <row r="2082" spans="6:6" x14ac:dyDescent="0.35">
      <c r="F2082" s="153"/>
    </row>
    <row r="2083" spans="6:6" x14ac:dyDescent="0.35">
      <c r="F2083" s="153"/>
    </row>
    <row r="2084" spans="6:6" x14ac:dyDescent="0.35">
      <c r="F2084" s="153"/>
    </row>
    <row r="2085" spans="6:6" x14ac:dyDescent="0.35">
      <c r="F2085" s="153"/>
    </row>
    <row r="2086" spans="6:6" x14ac:dyDescent="0.35">
      <c r="F2086" s="153"/>
    </row>
    <row r="2087" spans="6:6" x14ac:dyDescent="0.35">
      <c r="F2087" s="153"/>
    </row>
    <row r="2088" spans="6:6" x14ac:dyDescent="0.35">
      <c r="F2088" s="153"/>
    </row>
    <row r="2089" spans="6:6" x14ac:dyDescent="0.35">
      <c r="F2089" s="153"/>
    </row>
    <row r="2090" spans="6:6" x14ac:dyDescent="0.35">
      <c r="F2090" s="153"/>
    </row>
    <row r="2091" spans="6:6" x14ac:dyDescent="0.35">
      <c r="F2091" s="153"/>
    </row>
    <row r="2092" spans="6:6" x14ac:dyDescent="0.35">
      <c r="F2092" s="153"/>
    </row>
    <row r="2093" spans="6:6" x14ac:dyDescent="0.35">
      <c r="F2093" s="153"/>
    </row>
    <row r="2094" spans="6:6" x14ac:dyDescent="0.35">
      <c r="F2094" s="153"/>
    </row>
    <row r="2095" spans="6:6" x14ac:dyDescent="0.35">
      <c r="F2095" s="153"/>
    </row>
    <row r="2096" spans="6:6" x14ac:dyDescent="0.35">
      <c r="F2096" s="153"/>
    </row>
    <row r="2097" spans="6:6" x14ac:dyDescent="0.35">
      <c r="F2097" s="153"/>
    </row>
    <row r="2098" spans="6:6" x14ac:dyDescent="0.35">
      <c r="F2098" s="153"/>
    </row>
    <row r="2099" spans="6:6" x14ac:dyDescent="0.35">
      <c r="F2099" s="153"/>
    </row>
    <row r="2100" spans="6:6" x14ac:dyDescent="0.35">
      <c r="F2100" s="153"/>
    </row>
    <row r="2101" spans="6:6" x14ac:dyDescent="0.35">
      <c r="F2101" s="153"/>
    </row>
    <row r="2102" spans="6:6" x14ac:dyDescent="0.35">
      <c r="F2102" s="153"/>
    </row>
    <row r="2103" spans="6:6" x14ac:dyDescent="0.35">
      <c r="F2103" s="153"/>
    </row>
    <row r="2104" spans="6:6" x14ac:dyDescent="0.35">
      <c r="F2104" s="153"/>
    </row>
    <row r="2105" spans="6:6" x14ac:dyDescent="0.35">
      <c r="F2105" s="153"/>
    </row>
    <row r="2106" spans="6:6" x14ac:dyDescent="0.35">
      <c r="F2106" s="153"/>
    </row>
    <row r="2107" spans="6:6" x14ac:dyDescent="0.35">
      <c r="F2107" s="153"/>
    </row>
    <row r="2108" spans="6:6" x14ac:dyDescent="0.35">
      <c r="F2108" s="153"/>
    </row>
    <row r="2109" spans="6:6" x14ac:dyDescent="0.35">
      <c r="F2109" s="153"/>
    </row>
    <row r="2110" spans="6:6" x14ac:dyDescent="0.35">
      <c r="F2110" s="153"/>
    </row>
    <row r="2111" spans="6:6" x14ac:dyDescent="0.35">
      <c r="F2111" s="153"/>
    </row>
    <row r="2112" spans="6:6" x14ac:dyDescent="0.35">
      <c r="F2112" s="153"/>
    </row>
    <row r="2113" spans="6:6" x14ac:dyDescent="0.35">
      <c r="F2113" s="153"/>
    </row>
    <row r="2114" spans="6:6" x14ac:dyDescent="0.35">
      <c r="F2114" s="153"/>
    </row>
    <row r="2115" spans="6:6" x14ac:dyDescent="0.35">
      <c r="F2115" s="153"/>
    </row>
    <row r="2116" spans="6:6" x14ac:dyDescent="0.35">
      <c r="F2116" s="153"/>
    </row>
    <row r="2117" spans="6:6" x14ac:dyDescent="0.35">
      <c r="F2117" s="153"/>
    </row>
    <row r="2118" spans="6:6" x14ac:dyDescent="0.35">
      <c r="F2118" s="153"/>
    </row>
    <row r="2119" spans="6:6" x14ac:dyDescent="0.35">
      <c r="F2119" s="153"/>
    </row>
    <row r="2120" spans="6:6" x14ac:dyDescent="0.35">
      <c r="F2120" s="153"/>
    </row>
    <row r="2121" spans="6:6" x14ac:dyDescent="0.35">
      <c r="F2121" s="153"/>
    </row>
    <row r="2122" spans="6:6" x14ac:dyDescent="0.35">
      <c r="F2122" s="153"/>
    </row>
    <row r="2123" spans="6:6" x14ac:dyDescent="0.35">
      <c r="F2123" s="153"/>
    </row>
    <row r="2124" spans="6:6" x14ac:dyDescent="0.35">
      <c r="F2124" s="153"/>
    </row>
    <row r="2125" spans="6:6" x14ac:dyDescent="0.35">
      <c r="F2125" s="153"/>
    </row>
    <row r="2126" spans="6:6" x14ac:dyDescent="0.35">
      <c r="F2126" s="153"/>
    </row>
    <row r="2127" spans="6:6" x14ac:dyDescent="0.35">
      <c r="F2127" s="153"/>
    </row>
    <row r="2128" spans="6:6" x14ac:dyDescent="0.35">
      <c r="F2128" s="153"/>
    </row>
    <row r="2129" spans="6:6" x14ac:dyDescent="0.35">
      <c r="F2129" s="153"/>
    </row>
    <row r="2130" spans="6:6" x14ac:dyDescent="0.35">
      <c r="F2130" s="153"/>
    </row>
    <row r="2131" spans="6:6" x14ac:dyDescent="0.35">
      <c r="F2131" s="153"/>
    </row>
    <row r="2132" spans="6:6" x14ac:dyDescent="0.35">
      <c r="F2132" s="153"/>
    </row>
    <row r="2133" spans="6:6" x14ac:dyDescent="0.35">
      <c r="F2133" s="153"/>
    </row>
    <row r="2134" spans="6:6" x14ac:dyDescent="0.35">
      <c r="F2134" s="153"/>
    </row>
    <row r="2135" spans="6:6" x14ac:dyDescent="0.35">
      <c r="F2135" s="153"/>
    </row>
    <row r="2136" spans="6:6" x14ac:dyDescent="0.35">
      <c r="F2136" s="153"/>
    </row>
    <row r="2137" spans="6:6" x14ac:dyDescent="0.35">
      <c r="F2137" s="153"/>
    </row>
    <row r="2138" spans="6:6" x14ac:dyDescent="0.35">
      <c r="F2138" s="153"/>
    </row>
    <row r="2139" spans="6:6" x14ac:dyDescent="0.35">
      <c r="F2139" s="153"/>
    </row>
    <row r="2140" spans="6:6" x14ac:dyDescent="0.35">
      <c r="F2140" s="153"/>
    </row>
    <row r="2141" spans="6:6" x14ac:dyDescent="0.35">
      <c r="F2141" s="153"/>
    </row>
    <row r="2142" spans="6:6" x14ac:dyDescent="0.35">
      <c r="F2142" s="153"/>
    </row>
    <row r="2143" spans="6:6" x14ac:dyDescent="0.35">
      <c r="F2143" s="153"/>
    </row>
    <row r="2144" spans="6:6" x14ac:dyDescent="0.35">
      <c r="F2144" s="153"/>
    </row>
    <row r="2145" spans="6:6" x14ac:dyDescent="0.35">
      <c r="F2145" s="153"/>
    </row>
    <row r="2146" spans="6:6" x14ac:dyDescent="0.35">
      <c r="F2146" s="153"/>
    </row>
    <row r="2147" spans="6:6" x14ac:dyDescent="0.35">
      <c r="F2147" s="153"/>
    </row>
    <row r="2148" spans="6:6" x14ac:dyDescent="0.35">
      <c r="F2148" s="153"/>
    </row>
    <row r="2149" spans="6:6" x14ac:dyDescent="0.35">
      <c r="F2149" s="153"/>
    </row>
    <row r="2150" spans="6:6" x14ac:dyDescent="0.35">
      <c r="F2150" s="153"/>
    </row>
    <row r="2151" spans="6:6" x14ac:dyDescent="0.35">
      <c r="F2151" s="153"/>
    </row>
    <row r="2152" spans="6:6" x14ac:dyDescent="0.35">
      <c r="F2152" s="153"/>
    </row>
    <row r="2153" spans="6:6" x14ac:dyDescent="0.35">
      <c r="F2153" s="153"/>
    </row>
    <row r="2154" spans="6:6" x14ac:dyDescent="0.35">
      <c r="F2154" s="153"/>
    </row>
    <row r="2155" spans="6:6" x14ac:dyDescent="0.35">
      <c r="F2155" s="153"/>
    </row>
    <row r="2156" spans="6:6" x14ac:dyDescent="0.35">
      <c r="F2156" s="153"/>
    </row>
    <row r="2157" spans="6:6" x14ac:dyDescent="0.35">
      <c r="F2157" s="153"/>
    </row>
    <row r="2158" spans="6:6" x14ac:dyDescent="0.35">
      <c r="F2158" s="153"/>
    </row>
    <row r="2159" spans="6:6" x14ac:dyDescent="0.35">
      <c r="F2159" s="153"/>
    </row>
    <row r="2160" spans="6:6" x14ac:dyDescent="0.35">
      <c r="F2160" s="153"/>
    </row>
    <row r="2161" spans="6:6" x14ac:dyDescent="0.35">
      <c r="F2161" s="153"/>
    </row>
    <row r="2162" spans="6:6" x14ac:dyDescent="0.35">
      <c r="F2162" s="153"/>
    </row>
    <row r="2163" spans="6:6" x14ac:dyDescent="0.35">
      <c r="F2163" s="153"/>
    </row>
    <row r="2164" spans="6:6" x14ac:dyDescent="0.35">
      <c r="F2164" s="153"/>
    </row>
    <row r="2165" spans="6:6" x14ac:dyDescent="0.35">
      <c r="F2165" s="153"/>
    </row>
    <row r="2166" spans="6:6" x14ac:dyDescent="0.35">
      <c r="F2166" s="153"/>
    </row>
    <row r="2167" spans="6:6" x14ac:dyDescent="0.35">
      <c r="F2167" s="153"/>
    </row>
    <row r="2168" spans="6:6" x14ac:dyDescent="0.35">
      <c r="F2168" s="153"/>
    </row>
    <row r="2169" spans="6:6" x14ac:dyDescent="0.35">
      <c r="F2169" s="153"/>
    </row>
    <row r="2170" spans="6:6" x14ac:dyDescent="0.35">
      <c r="F2170" s="153"/>
    </row>
    <row r="2171" spans="6:6" x14ac:dyDescent="0.35">
      <c r="F2171" s="153"/>
    </row>
    <row r="2172" spans="6:6" x14ac:dyDescent="0.35">
      <c r="F2172" s="153"/>
    </row>
    <row r="2173" spans="6:6" x14ac:dyDescent="0.35">
      <c r="F2173" s="153"/>
    </row>
    <row r="2174" spans="6:6" x14ac:dyDescent="0.35">
      <c r="F2174" s="153"/>
    </row>
    <row r="2175" spans="6:6" x14ac:dyDescent="0.35">
      <c r="F2175" s="153"/>
    </row>
    <row r="2176" spans="6:6" x14ac:dyDescent="0.35">
      <c r="F2176" s="153"/>
    </row>
    <row r="2177" spans="6:6" x14ac:dyDescent="0.35">
      <c r="F2177" s="153"/>
    </row>
    <row r="2178" spans="6:6" x14ac:dyDescent="0.35">
      <c r="F2178" s="153"/>
    </row>
    <row r="2179" spans="6:6" x14ac:dyDescent="0.35">
      <c r="F2179" s="153"/>
    </row>
    <row r="2180" spans="6:6" x14ac:dyDescent="0.35">
      <c r="F2180" s="153"/>
    </row>
    <row r="2181" spans="6:6" x14ac:dyDescent="0.35">
      <c r="F2181" s="153"/>
    </row>
    <row r="2182" spans="6:6" x14ac:dyDescent="0.35">
      <c r="F2182" s="153"/>
    </row>
    <row r="2183" spans="6:6" x14ac:dyDescent="0.35">
      <c r="F2183" s="153"/>
    </row>
    <row r="2184" spans="6:6" x14ac:dyDescent="0.35">
      <c r="F2184" s="153"/>
    </row>
    <row r="2185" spans="6:6" x14ac:dyDescent="0.35">
      <c r="F2185" s="153"/>
    </row>
    <row r="2186" spans="6:6" x14ac:dyDescent="0.35">
      <c r="F2186" s="153"/>
    </row>
    <row r="2187" spans="6:6" x14ac:dyDescent="0.35">
      <c r="F2187" s="153"/>
    </row>
    <row r="2188" spans="6:6" x14ac:dyDescent="0.35">
      <c r="F2188" s="153"/>
    </row>
    <row r="2189" spans="6:6" x14ac:dyDescent="0.35">
      <c r="F2189" s="153"/>
    </row>
    <row r="2190" spans="6:6" x14ac:dyDescent="0.35">
      <c r="F2190" s="153"/>
    </row>
    <row r="2191" spans="6:6" x14ac:dyDescent="0.35">
      <c r="F2191" s="153"/>
    </row>
    <row r="2192" spans="6:6" x14ac:dyDescent="0.35">
      <c r="F2192" s="153"/>
    </row>
    <row r="2193" spans="6:6" x14ac:dyDescent="0.35">
      <c r="F2193" s="153"/>
    </row>
    <row r="2194" spans="6:6" x14ac:dyDescent="0.35">
      <c r="F2194" s="153"/>
    </row>
    <row r="2195" spans="6:6" x14ac:dyDescent="0.35">
      <c r="F2195" s="153"/>
    </row>
    <row r="2196" spans="6:6" x14ac:dyDescent="0.35">
      <c r="F2196" s="153"/>
    </row>
    <row r="2197" spans="6:6" x14ac:dyDescent="0.35">
      <c r="F2197" s="153"/>
    </row>
    <row r="2198" spans="6:6" x14ac:dyDescent="0.35">
      <c r="F2198" s="153"/>
    </row>
    <row r="2199" spans="6:6" x14ac:dyDescent="0.35">
      <c r="F2199" s="153"/>
    </row>
    <row r="2200" spans="6:6" x14ac:dyDescent="0.35">
      <c r="F2200" s="153"/>
    </row>
    <row r="2201" spans="6:6" x14ac:dyDescent="0.35">
      <c r="F2201" s="153"/>
    </row>
    <row r="2202" spans="6:6" x14ac:dyDescent="0.35">
      <c r="F2202" s="153"/>
    </row>
    <row r="2203" spans="6:6" x14ac:dyDescent="0.35">
      <c r="F2203" s="153"/>
    </row>
    <row r="2204" spans="6:6" x14ac:dyDescent="0.35">
      <c r="F2204" s="153"/>
    </row>
    <row r="2205" spans="6:6" x14ac:dyDescent="0.35">
      <c r="F2205" s="153"/>
    </row>
    <row r="2206" spans="6:6" x14ac:dyDescent="0.35">
      <c r="F2206" s="153"/>
    </row>
    <row r="2207" spans="6:6" x14ac:dyDescent="0.35">
      <c r="F2207" s="153"/>
    </row>
    <row r="2208" spans="6:6" x14ac:dyDescent="0.35">
      <c r="F2208" s="153"/>
    </row>
    <row r="2209" spans="6:6" x14ac:dyDescent="0.35">
      <c r="F2209" s="153"/>
    </row>
    <row r="2210" spans="6:6" x14ac:dyDescent="0.35">
      <c r="F2210" s="153"/>
    </row>
    <row r="2211" spans="6:6" x14ac:dyDescent="0.35">
      <c r="F2211" s="153"/>
    </row>
    <row r="2212" spans="6:6" x14ac:dyDescent="0.35">
      <c r="F2212" s="153"/>
    </row>
    <row r="2213" spans="6:6" x14ac:dyDescent="0.35">
      <c r="F2213" s="153"/>
    </row>
    <row r="2214" spans="6:6" x14ac:dyDescent="0.35">
      <c r="F2214" s="153"/>
    </row>
    <row r="2215" spans="6:6" x14ac:dyDescent="0.35">
      <c r="F2215" s="153"/>
    </row>
    <row r="2216" spans="6:6" x14ac:dyDescent="0.35">
      <c r="F2216" s="153"/>
    </row>
    <row r="2217" spans="6:6" x14ac:dyDescent="0.35">
      <c r="F2217" s="153"/>
    </row>
    <row r="2218" spans="6:6" x14ac:dyDescent="0.35">
      <c r="F2218" s="153"/>
    </row>
    <row r="2219" spans="6:6" x14ac:dyDescent="0.35">
      <c r="F2219" s="153"/>
    </row>
    <row r="2220" spans="6:6" x14ac:dyDescent="0.35">
      <c r="F2220" s="153"/>
    </row>
    <row r="2221" spans="6:6" x14ac:dyDescent="0.35">
      <c r="F2221" s="153"/>
    </row>
    <row r="2222" spans="6:6" x14ac:dyDescent="0.35">
      <c r="F2222" s="153"/>
    </row>
    <row r="2223" spans="6:6" x14ac:dyDescent="0.35">
      <c r="F2223" s="153"/>
    </row>
    <row r="2224" spans="6:6" x14ac:dyDescent="0.35">
      <c r="F2224" s="153"/>
    </row>
    <row r="2225" spans="6:6" x14ac:dyDescent="0.35">
      <c r="F2225" s="153"/>
    </row>
    <row r="2226" spans="6:6" x14ac:dyDescent="0.35">
      <c r="F2226" s="153"/>
    </row>
    <row r="2227" spans="6:6" x14ac:dyDescent="0.35">
      <c r="F2227" s="153"/>
    </row>
    <row r="2228" spans="6:6" x14ac:dyDescent="0.35">
      <c r="F2228" s="153"/>
    </row>
    <row r="2229" spans="6:6" x14ac:dyDescent="0.35">
      <c r="F2229" s="153"/>
    </row>
    <row r="2230" spans="6:6" x14ac:dyDescent="0.35">
      <c r="F2230" s="153"/>
    </row>
    <row r="2231" spans="6:6" x14ac:dyDescent="0.35">
      <c r="F2231" s="153"/>
    </row>
    <row r="2232" spans="6:6" x14ac:dyDescent="0.35">
      <c r="F2232" s="153"/>
    </row>
    <row r="2233" spans="6:6" x14ac:dyDescent="0.35">
      <c r="F2233" s="153"/>
    </row>
    <row r="2234" spans="6:6" x14ac:dyDescent="0.35">
      <c r="F2234" s="153"/>
    </row>
    <row r="2235" spans="6:6" x14ac:dyDescent="0.35">
      <c r="F2235" s="153"/>
    </row>
    <row r="2236" spans="6:6" x14ac:dyDescent="0.35">
      <c r="F2236" s="153"/>
    </row>
    <row r="2237" spans="6:6" x14ac:dyDescent="0.35">
      <c r="F2237" s="153"/>
    </row>
    <row r="2238" spans="6:6" x14ac:dyDescent="0.35">
      <c r="F2238" s="153"/>
    </row>
    <row r="2239" spans="6:6" x14ac:dyDescent="0.35">
      <c r="F2239" s="153"/>
    </row>
    <row r="2240" spans="6:6" x14ac:dyDescent="0.35">
      <c r="F2240" s="153"/>
    </row>
    <row r="2241" spans="6:6" x14ac:dyDescent="0.35">
      <c r="F2241" s="153"/>
    </row>
    <row r="2242" spans="6:6" x14ac:dyDescent="0.35">
      <c r="F2242" s="153"/>
    </row>
    <row r="2243" spans="6:6" x14ac:dyDescent="0.35">
      <c r="F2243" s="153"/>
    </row>
    <row r="2244" spans="6:6" x14ac:dyDescent="0.35">
      <c r="F2244" s="153"/>
    </row>
    <row r="2245" spans="6:6" x14ac:dyDescent="0.35">
      <c r="F2245" s="153"/>
    </row>
    <row r="2246" spans="6:6" x14ac:dyDescent="0.35">
      <c r="F2246" s="153"/>
    </row>
    <row r="2247" spans="6:6" x14ac:dyDescent="0.35">
      <c r="F2247" s="153"/>
    </row>
    <row r="2248" spans="6:6" x14ac:dyDescent="0.35">
      <c r="F2248" s="153"/>
    </row>
    <row r="2249" spans="6:6" x14ac:dyDescent="0.35">
      <c r="F2249" s="153"/>
    </row>
    <row r="2250" spans="6:6" x14ac:dyDescent="0.35">
      <c r="F2250" s="153"/>
    </row>
    <row r="2251" spans="6:6" x14ac:dyDescent="0.35">
      <c r="F2251" s="153"/>
    </row>
    <row r="2252" spans="6:6" x14ac:dyDescent="0.35">
      <c r="F2252" s="153"/>
    </row>
    <row r="2253" spans="6:6" x14ac:dyDescent="0.35">
      <c r="F2253" s="153"/>
    </row>
    <row r="2254" spans="6:6" x14ac:dyDescent="0.35">
      <c r="F2254" s="153"/>
    </row>
    <row r="2255" spans="6:6" x14ac:dyDescent="0.35">
      <c r="F2255" s="153"/>
    </row>
    <row r="2256" spans="6:6" x14ac:dyDescent="0.35">
      <c r="F2256" s="153"/>
    </row>
    <row r="2257" spans="6:6" x14ac:dyDescent="0.35">
      <c r="F2257" s="153"/>
    </row>
    <row r="2258" spans="6:6" x14ac:dyDescent="0.35">
      <c r="F2258" s="153"/>
    </row>
    <row r="2259" spans="6:6" x14ac:dyDescent="0.35">
      <c r="F2259" s="153"/>
    </row>
    <row r="2260" spans="6:6" x14ac:dyDescent="0.35">
      <c r="F2260" s="153"/>
    </row>
    <row r="2261" spans="6:6" x14ac:dyDescent="0.35">
      <c r="F2261" s="153"/>
    </row>
    <row r="2262" spans="6:6" x14ac:dyDescent="0.35">
      <c r="F2262" s="153"/>
    </row>
    <row r="2263" spans="6:6" x14ac:dyDescent="0.35">
      <c r="F2263" s="153"/>
    </row>
    <row r="2264" spans="6:6" x14ac:dyDescent="0.35">
      <c r="F2264" s="153"/>
    </row>
    <row r="2265" spans="6:6" x14ac:dyDescent="0.35">
      <c r="F2265" s="153"/>
    </row>
    <row r="2266" spans="6:6" x14ac:dyDescent="0.35">
      <c r="F2266" s="153"/>
    </row>
    <row r="2267" spans="6:6" x14ac:dyDescent="0.35">
      <c r="F2267" s="153"/>
    </row>
    <row r="2268" spans="6:6" x14ac:dyDescent="0.35">
      <c r="F2268" s="153"/>
    </row>
    <row r="2269" spans="6:6" x14ac:dyDescent="0.35">
      <c r="F2269" s="153"/>
    </row>
    <row r="2270" spans="6:6" x14ac:dyDescent="0.35">
      <c r="F2270" s="153"/>
    </row>
    <row r="2271" spans="6:6" x14ac:dyDescent="0.35">
      <c r="F2271" s="153"/>
    </row>
    <row r="2272" spans="6:6" x14ac:dyDescent="0.35">
      <c r="F2272" s="153"/>
    </row>
    <row r="2273" spans="6:6" x14ac:dyDescent="0.35">
      <c r="F2273" s="153"/>
    </row>
    <row r="2274" spans="6:6" x14ac:dyDescent="0.35">
      <c r="F2274" s="153"/>
    </row>
    <row r="2275" spans="6:6" x14ac:dyDescent="0.35">
      <c r="F2275" s="153"/>
    </row>
    <row r="2276" spans="6:6" x14ac:dyDescent="0.35">
      <c r="F2276" s="153"/>
    </row>
    <row r="2277" spans="6:6" x14ac:dyDescent="0.35">
      <c r="F2277" s="153"/>
    </row>
    <row r="2278" spans="6:6" x14ac:dyDescent="0.35">
      <c r="F2278" s="153"/>
    </row>
    <row r="2279" spans="6:6" x14ac:dyDescent="0.35">
      <c r="F2279" s="153"/>
    </row>
    <row r="2280" spans="6:6" x14ac:dyDescent="0.35">
      <c r="F2280" s="153"/>
    </row>
    <row r="2281" spans="6:6" x14ac:dyDescent="0.35">
      <c r="F2281" s="153"/>
    </row>
    <row r="2282" spans="6:6" x14ac:dyDescent="0.35">
      <c r="F2282" s="153"/>
    </row>
    <row r="2283" spans="6:6" x14ac:dyDescent="0.35">
      <c r="F2283" s="153"/>
    </row>
    <row r="2284" spans="6:6" x14ac:dyDescent="0.35">
      <c r="F2284" s="153"/>
    </row>
    <row r="2285" spans="6:6" x14ac:dyDescent="0.35">
      <c r="F2285" s="153"/>
    </row>
    <row r="2286" spans="6:6" x14ac:dyDescent="0.35">
      <c r="F2286" s="153"/>
    </row>
    <row r="2287" spans="6:6" x14ac:dyDescent="0.35">
      <c r="F2287" s="153"/>
    </row>
    <row r="2288" spans="6:6" x14ac:dyDescent="0.35">
      <c r="F2288" s="153"/>
    </row>
    <row r="2289" spans="6:6" x14ac:dyDescent="0.35">
      <c r="F2289" s="153"/>
    </row>
    <row r="2290" spans="6:6" x14ac:dyDescent="0.35">
      <c r="F2290" s="153"/>
    </row>
    <row r="2291" spans="6:6" x14ac:dyDescent="0.35">
      <c r="F2291" s="153"/>
    </row>
    <row r="2292" spans="6:6" x14ac:dyDescent="0.35">
      <c r="F2292" s="153"/>
    </row>
    <row r="2293" spans="6:6" x14ac:dyDescent="0.35">
      <c r="F2293" s="153"/>
    </row>
    <row r="2294" spans="6:6" x14ac:dyDescent="0.35">
      <c r="F2294" s="153"/>
    </row>
    <row r="2295" spans="6:6" x14ac:dyDescent="0.35">
      <c r="F2295" s="153"/>
    </row>
    <row r="2296" spans="6:6" x14ac:dyDescent="0.35">
      <c r="F2296" s="153"/>
    </row>
    <row r="2297" spans="6:6" x14ac:dyDescent="0.35">
      <c r="F2297" s="153"/>
    </row>
    <row r="2298" spans="6:6" x14ac:dyDescent="0.35">
      <c r="F2298" s="153"/>
    </row>
    <row r="2299" spans="6:6" x14ac:dyDescent="0.35">
      <c r="F2299" s="153"/>
    </row>
    <row r="2300" spans="6:6" x14ac:dyDescent="0.35">
      <c r="F2300" s="153"/>
    </row>
    <row r="2301" spans="6:6" x14ac:dyDescent="0.35">
      <c r="F2301" s="153"/>
    </row>
    <row r="2302" spans="6:6" x14ac:dyDescent="0.35">
      <c r="F2302" s="153"/>
    </row>
    <row r="2303" spans="6:6" x14ac:dyDescent="0.35">
      <c r="F2303" s="153"/>
    </row>
    <row r="2304" spans="6:6" x14ac:dyDescent="0.35">
      <c r="F2304" s="153"/>
    </row>
    <row r="2305" spans="6:6" x14ac:dyDescent="0.35">
      <c r="F2305" s="153"/>
    </row>
    <row r="2306" spans="6:6" x14ac:dyDescent="0.35">
      <c r="F2306" s="153"/>
    </row>
    <row r="2307" spans="6:6" x14ac:dyDescent="0.35">
      <c r="F2307" s="153"/>
    </row>
    <row r="2308" spans="6:6" x14ac:dyDescent="0.35">
      <c r="F2308" s="153"/>
    </row>
    <row r="2309" spans="6:6" x14ac:dyDescent="0.35">
      <c r="F2309" s="153"/>
    </row>
    <row r="2310" spans="6:6" x14ac:dyDescent="0.35">
      <c r="F2310" s="153"/>
    </row>
    <row r="2311" spans="6:6" x14ac:dyDescent="0.35">
      <c r="F2311" s="153"/>
    </row>
    <row r="2312" spans="6:6" x14ac:dyDescent="0.35">
      <c r="F2312" s="153"/>
    </row>
    <row r="2313" spans="6:6" x14ac:dyDescent="0.35">
      <c r="F2313" s="153"/>
    </row>
    <row r="2314" spans="6:6" x14ac:dyDescent="0.35">
      <c r="F2314" s="153"/>
    </row>
    <row r="2315" spans="6:6" x14ac:dyDescent="0.35">
      <c r="F2315" s="153"/>
    </row>
    <row r="2316" spans="6:6" x14ac:dyDescent="0.35">
      <c r="F2316" s="153"/>
    </row>
    <row r="2317" spans="6:6" x14ac:dyDescent="0.35">
      <c r="F2317" s="153"/>
    </row>
    <row r="2318" spans="6:6" x14ac:dyDescent="0.35">
      <c r="F2318" s="153"/>
    </row>
    <row r="2319" spans="6:6" x14ac:dyDescent="0.35">
      <c r="F2319" s="153"/>
    </row>
    <row r="2320" spans="6:6" x14ac:dyDescent="0.35">
      <c r="F2320" s="153"/>
    </row>
    <row r="2321" spans="6:6" x14ac:dyDescent="0.35">
      <c r="F2321" s="153"/>
    </row>
    <row r="2322" spans="6:6" x14ac:dyDescent="0.35">
      <c r="F2322" s="153"/>
    </row>
    <row r="2323" spans="6:6" x14ac:dyDescent="0.35">
      <c r="F2323" s="153"/>
    </row>
    <row r="2324" spans="6:6" x14ac:dyDescent="0.35">
      <c r="F2324" s="153"/>
    </row>
    <row r="2325" spans="6:6" x14ac:dyDescent="0.35">
      <c r="F2325" s="153"/>
    </row>
    <row r="2326" spans="6:6" x14ac:dyDescent="0.35">
      <c r="F2326" s="153"/>
    </row>
    <row r="2327" spans="6:6" x14ac:dyDescent="0.35">
      <c r="F2327" s="153"/>
    </row>
    <row r="2328" spans="6:6" x14ac:dyDescent="0.35">
      <c r="F2328" s="153"/>
    </row>
    <row r="2329" spans="6:6" x14ac:dyDescent="0.35">
      <c r="F2329" s="153"/>
    </row>
    <row r="2330" spans="6:6" x14ac:dyDescent="0.35">
      <c r="F2330" s="153"/>
    </row>
    <row r="2331" spans="6:6" x14ac:dyDescent="0.35">
      <c r="F2331" s="153"/>
    </row>
    <row r="2332" spans="6:6" x14ac:dyDescent="0.35">
      <c r="F2332" s="153"/>
    </row>
    <row r="2333" spans="6:6" x14ac:dyDescent="0.35">
      <c r="F2333" s="153"/>
    </row>
    <row r="2334" spans="6:6" x14ac:dyDescent="0.35">
      <c r="F2334" s="153"/>
    </row>
    <row r="2335" spans="6:6" x14ac:dyDescent="0.35">
      <c r="F2335" s="153"/>
    </row>
    <row r="2336" spans="6:6" x14ac:dyDescent="0.35">
      <c r="F2336" s="153"/>
    </row>
    <row r="2337" spans="6:6" x14ac:dyDescent="0.35">
      <c r="F2337" s="153"/>
    </row>
    <row r="2338" spans="6:6" x14ac:dyDescent="0.35">
      <c r="F2338" s="153"/>
    </row>
    <row r="2339" spans="6:6" x14ac:dyDescent="0.35">
      <c r="F2339" s="153"/>
    </row>
    <row r="2340" spans="6:6" x14ac:dyDescent="0.35">
      <c r="F2340" s="153"/>
    </row>
    <row r="2341" spans="6:6" x14ac:dyDescent="0.35">
      <c r="F2341" s="153"/>
    </row>
    <row r="2342" spans="6:6" x14ac:dyDescent="0.35">
      <c r="F2342" s="153"/>
    </row>
    <row r="2343" spans="6:6" x14ac:dyDescent="0.35">
      <c r="F2343" s="153"/>
    </row>
    <row r="2344" spans="6:6" x14ac:dyDescent="0.35">
      <c r="F2344" s="153"/>
    </row>
    <row r="2345" spans="6:6" x14ac:dyDescent="0.35">
      <c r="F2345" s="153"/>
    </row>
    <row r="2346" spans="6:6" x14ac:dyDescent="0.35">
      <c r="F2346" s="153"/>
    </row>
    <row r="2347" spans="6:6" x14ac:dyDescent="0.35">
      <c r="F2347" s="153"/>
    </row>
    <row r="2348" spans="6:6" x14ac:dyDescent="0.35">
      <c r="F2348" s="153"/>
    </row>
    <row r="2349" spans="6:6" x14ac:dyDescent="0.35">
      <c r="F2349" s="153"/>
    </row>
    <row r="2350" spans="6:6" x14ac:dyDescent="0.35">
      <c r="F2350" s="153"/>
    </row>
    <row r="2351" spans="6:6" x14ac:dyDescent="0.35">
      <c r="F2351" s="153"/>
    </row>
    <row r="2352" spans="6:6" x14ac:dyDescent="0.35">
      <c r="F2352" s="153"/>
    </row>
    <row r="2353" spans="6:6" x14ac:dyDescent="0.35">
      <c r="F2353" s="153"/>
    </row>
    <row r="2354" spans="6:6" x14ac:dyDescent="0.35">
      <c r="F2354" s="153"/>
    </row>
    <row r="2355" spans="6:6" x14ac:dyDescent="0.35">
      <c r="F2355" s="153"/>
    </row>
    <row r="2356" spans="6:6" x14ac:dyDescent="0.35">
      <c r="F2356" s="153"/>
    </row>
    <row r="2357" spans="6:6" x14ac:dyDescent="0.35">
      <c r="F2357" s="153"/>
    </row>
    <row r="2358" spans="6:6" x14ac:dyDescent="0.35">
      <c r="F2358" s="153"/>
    </row>
    <row r="2359" spans="6:6" x14ac:dyDescent="0.35">
      <c r="F2359" s="153"/>
    </row>
    <row r="2360" spans="6:6" x14ac:dyDescent="0.35">
      <c r="F2360" s="153"/>
    </row>
    <row r="2361" spans="6:6" x14ac:dyDescent="0.35">
      <c r="F2361" s="153"/>
    </row>
    <row r="2362" spans="6:6" x14ac:dyDescent="0.35">
      <c r="F2362" s="153"/>
    </row>
    <row r="2363" spans="6:6" x14ac:dyDescent="0.35">
      <c r="F2363" s="153"/>
    </row>
    <row r="2364" spans="6:6" x14ac:dyDescent="0.35">
      <c r="F2364" s="153"/>
    </row>
    <row r="2365" spans="6:6" x14ac:dyDescent="0.35">
      <c r="F2365" s="153"/>
    </row>
    <row r="2366" spans="6:6" x14ac:dyDescent="0.35">
      <c r="F2366" s="153"/>
    </row>
    <row r="2367" spans="6:6" x14ac:dyDescent="0.35">
      <c r="F2367" s="153"/>
    </row>
    <row r="2368" spans="6:6" x14ac:dyDescent="0.35">
      <c r="F2368" s="153"/>
    </row>
    <row r="2369" spans="6:6" x14ac:dyDescent="0.35">
      <c r="F2369" s="153"/>
    </row>
    <row r="2370" spans="6:6" x14ac:dyDescent="0.35">
      <c r="F2370" s="153"/>
    </row>
    <row r="2371" spans="6:6" x14ac:dyDescent="0.35">
      <c r="F2371" s="153"/>
    </row>
    <row r="2372" spans="6:6" x14ac:dyDescent="0.35">
      <c r="F2372" s="153"/>
    </row>
    <row r="2373" spans="6:6" x14ac:dyDescent="0.35">
      <c r="F2373" s="153"/>
    </row>
    <row r="2374" spans="6:6" x14ac:dyDescent="0.35">
      <c r="F2374" s="153"/>
    </row>
    <row r="2375" spans="6:6" x14ac:dyDescent="0.35">
      <c r="F2375" s="153"/>
    </row>
    <row r="2376" spans="6:6" x14ac:dyDescent="0.35">
      <c r="F2376" s="153"/>
    </row>
    <row r="2377" spans="6:6" x14ac:dyDescent="0.35">
      <c r="F2377" s="153"/>
    </row>
    <row r="2378" spans="6:6" x14ac:dyDescent="0.35">
      <c r="F2378" s="153"/>
    </row>
    <row r="2379" spans="6:6" x14ac:dyDescent="0.35">
      <c r="F2379" s="153"/>
    </row>
    <row r="2380" spans="6:6" x14ac:dyDescent="0.35">
      <c r="F2380" s="153"/>
    </row>
    <row r="2381" spans="6:6" x14ac:dyDescent="0.35">
      <c r="F2381" s="153"/>
    </row>
    <row r="2382" spans="6:6" x14ac:dyDescent="0.35">
      <c r="F2382" s="153"/>
    </row>
    <row r="2383" spans="6:6" x14ac:dyDescent="0.35">
      <c r="F2383" s="153"/>
    </row>
    <row r="2384" spans="6:6" x14ac:dyDescent="0.35">
      <c r="F2384" s="153"/>
    </row>
    <row r="2385" spans="6:6" x14ac:dyDescent="0.35">
      <c r="F2385" s="153"/>
    </row>
    <row r="2386" spans="6:6" x14ac:dyDescent="0.35">
      <c r="F2386" s="153"/>
    </row>
    <row r="2387" spans="6:6" x14ac:dyDescent="0.35">
      <c r="F2387" s="153"/>
    </row>
    <row r="2388" spans="6:6" x14ac:dyDescent="0.35">
      <c r="F2388" s="153"/>
    </row>
    <row r="2389" spans="6:6" x14ac:dyDescent="0.35">
      <c r="F2389" s="153"/>
    </row>
    <row r="2390" spans="6:6" x14ac:dyDescent="0.35">
      <c r="F2390" s="153"/>
    </row>
    <row r="2391" spans="6:6" x14ac:dyDescent="0.35">
      <c r="F2391" s="153"/>
    </row>
    <row r="2392" spans="6:6" x14ac:dyDescent="0.35">
      <c r="F2392" s="153"/>
    </row>
    <row r="2393" spans="6:6" x14ac:dyDescent="0.35">
      <c r="F2393" s="153"/>
    </row>
    <row r="2394" spans="6:6" x14ac:dyDescent="0.35">
      <c r="F2394" s="153"/>
    </row>
    <row r="2395" spans="6:6" x14ac:dyDescent="0.35">
      <c r="F2395" s="153"/>
    </row>
    <row r="2396" spans="6:6" x14ac:dyDescent="0.35">
      <c r="F2396" s="153"/>
    </row>
    <row r="2397" spans="6:6" x14ac:dyDescent="0.35">
      <c r="F2397" s="153"/>
    </row>
    <row r="2398" spans="6:6" x14ac:dyDescent="0.35">
      <c r="F2398" s="153"/>
    </row>
    <row r="2399" spans="6:6" x14ac:dyDescent="0.35">
      <c r="F2399" s="153"/>
    </row>
    <row r="2400" spans="6:6" x14ac:dyDescent="0.35">
      <c r="F2400" s="153"/>
    </row>
    <row r="2401" spans="6:6" x14ac:dyDescent="0.35">
      <c r="F2401" s="153"/>
    </row>
    <row r="2402" spans="6:6" x14ac:dyDescent="0.35">
      <c r="F2402" s="153"/>
    </row>
    <row r="2403" spans="6:6" x14ac:dyDescent="0.35">
      <c r="F2403" s="153"/>
    </row>
    <row r="2404" spans="6:6" x14ac:dyDescent="0.35">
      <c r="F2404" s="153"/>
    </row>
    <row r="2405" spans="6:6" x14ac:dyDescent="0.35">
      <c r="F2405" s="153"/>
    </row>
    <row r="2406" spans="6:6" x14ac:dyDescent="0.35">
      <c r="F2406" s="153"/>
    </row>
    <row r="2407" spans="6:6" x14ac:dyDescent="0.35">
      <c r="F2407" s="153"/>
    </row>
    <row r="2408" spans="6:6" x14ac:dyDescent="0.35">
      <c r="F2408" s="153"/>
    </row>
    <row r="2409" spans="6:6" x14ac:dyDescent="0.35">
      <c r="F2409" s="153"/>
    </row>
    <row r="2410" spans="6:6" x14ac:dyDescent="0.35">
      <c r="F2410" s="153"/>
    </row>
    <row r="2411" spans="6:6" x14ac:dyDescent="0.35">
      <c r="F2411" s="153"/>
    </row>
    <row r="2412" spans="6:6" x14ac:dyDescent="0.35">
      <c r="F2412" s="153"/>
    </row>
    <row r="2413" spans="6:6" x14ac:dyDescent="0.35">
      <c r="F2413" s="153"/>
    </row>
    <row r="2414" spans="6:6" x14ac:dyDescent="0.35">
      <c r="F2414" s="153"/>
    </row>
    <row r="2415" spans="6:6" x14ac:dyDescent="0.35">
      <c r="F2415" s="153"/>
    </row>
    <row r="2416" spans="6:6" x14ac:dyDescent="0.35">
      <c r="F2416" s="153"/>
    </row>
    <row r="2417" spans="6:6" x14ac:dyDescent="0.35">
      <c r="F2417" s="153"/>
    </row>
    <row r="2418" spans="6:6" x14ac:dyDescent="0.35">
      <c r="F2418" s="153"/>
    </row>
    <row r="2419" spans="6:6" x14ac:dyDescent="0.35">
      <c r="F2419" s="153"/>
    </row>
    <row r="2420" spans="6:6" x14ac:dyDescent="0.35">
      <c r="F2420" s="153"/>
    </row>
    <row r="2421" spans="6:6" x14ac:dyDescent="0.35">
      <c r="F2421" s="153"/>
    </row>
    <row r="2422" spans="6:6" x14ac:dyDescent="0.35">
      <c r="F2422" s="153"/>
    </row>
    <row r="2423" spans="6:6" x14ac:dyDescent="0.35">
      <c r="F2423" s="153"/>
    </row>
    <row r="2424" spans="6:6" x14ac:dyDescent="0.35">
      <c r="F2424" s="153"/>
    </row>
    <row r="2425" spans="6:6" x14ac:dyDescent="0.35">
      <c r="F2425" s="153"/>
    </row>
    <row r="2426" spans="6:6" x14ac:dyDescent="0.35">
      <c r="F2426" s="153"/>
    </row>
    <row r="2427" spans="6:6" x14ac:dyDescent="0.35">
      <c r="F2427" s="153"/>
    </row>
    <row r="2428" spans="6:6" x14ac:dyDescent="0.35">
      <c r="F2428" s="153"/>
    </row>
    <row r="2429" spans="6:6" x14ac:dyDescent="0.35">
      <c r="F2429" s="153"/>
    </row>
    <row r="2430" spans="6:6" x14ac:dyDescent="0.35">
      <c r="F2430" s="153"/>
    </row>
    <row r="2431" spans="6:6" x14ac:dyDescent="0.35">
      <c r="F2431" s="153"/>
    </row>
    <row r="2432" spans="6:6" x14ac:dyDescent="0.35">
      <c r="F2432" s="153"/>
    </row>
    <row r="2433" spans="6:6" x14ac:dyDescent="0.35">
      <c r="F2433" s="153"/>
    </row>
    <row r="2434" spans="6:6" x14ac:dyDescent="0.35">
      <c r="F2434" s="153"/>
    </row>
    <row r="2435" spans="6:6" x14ac:dyDescent="0.35">
      <c r="F2435" s="153"/>
    </row>
    <row r="2436" spans="6:6" x14ac:dyDescent="0.35">
      <c r="F2436" s="153"/>
    </row>
    <row r="2437" spans="6:6" x14ac:dyDescent="0.35">
      <c r="F2437" s="153"/>
    </row>
    <row r="2438" spans="6:6" x14ac:dyDescent="0.35">
      <c r="F2438" s="153"/>
    </row>
    <row r="2439" spans="6:6" x14ac:dyDescent="0.35">
      <c r="F2439" s="153"/>
    </row>
    <row r="2440" spans="6:6" x14ac:dyDescent="0.35">
      <c r="F2440" s="153"/>
    </row>
    <row r="2441" spans="6:6" x14ac:dyDescent="0.35">
      <c r="F2441" s="153"/>
    </row>
    <row r="2442" spans="6:6" x14ac:dyDescent="0.35">
      <c r="F2442" s="153"/>
    </row>
    <row r="2443" spans="6:6" x14ac:dyDescent="0.35">
      <c r="F2443" s="153"/>
    </row>
    <row r="2444" spans="6:6" x14ac:dyDescent="0.35">
      <c r="F2444" s="153"/>
    </row>
    <row r="2445" spans="6:6" x14ac:dyDescent="0.35">
      <c r="F2445" s="153"/>
    </row>
    <row r="2446" spans="6:6" x14ac:dyDescent="0.35">
      <c r="F2446" s="153"/>
    </row>
    <row r="2447" spans="6:6" x14ac:dyDescent="0.35">
      <c r="F2447" s="153"/>
    </row>
    <row r="2448" spans="6:6" x14ac:dyDescent="0.35">
      <c r="F2448" s="153"/>
    </row>
    <row r="2449" spans="6:6" x14ac:dyDescent="0.35">
      <c r="F2449" s="153"/>
    </row>
    <row r="2450" spans="6:6" x14ac:dyDescent="0.35">
      <c r="F2450" s="153"/>
    </row>
    <row r="2451" spans="6:6" x14ac:dyDescent="0.35">
      <c r="F2451" s="153"/>
    </row>
    <row r="2452" spans="6:6" x14ac:dyDescent="0.35">
      <c r="F2452" s="153"/>
    </row>
    <row r="2453" spans="6:6" x14ac:dyDescent="0.35">
      <c r="F2453" s="153"/>
    </row>
    <row r="2454" spans="6:6" x14ac:dyDescent="0.35">
      <c r="F2454" s="153"/>
    </row>
    <row r="2455" spans="6:6" x14ac:dyDescent="0.35">
      <c r="F2455" s="153"/>
    </row>
    <row r="2456" spans="6:6" x14ac:dyDescent="0.35">
      <c r="F2456" s="153"/>
    </row>
    <row r="2457" spans="6:6" x14ac:dyDescent="0.35">
      <c r="F2457" s="153"/>
    </row>
    <row r="2458" spans="6:6" x14ac:dyDescent="0.35">
      <c r="F2458" s="153"/>
    </row>
    <row r="2459" spans="6:6" x14ac:dyDescent="0.35">
      <c r="F2459" s="153"/>
    </row>
    <row r="2460" spans="6:6" x14ac:dyDescent="0.35">
      <c r="F2460" s="153"/>
    </row>
    <row r="2461" spans="6:6" x14ac:dyDescent="0.35">
      <c r="F2461" s="153"/>
    </row>
    <row r="2462" spans="6:6" x14ac:dyDescent="0.35">
      <c r="F2462" s="153"/>
    </row>
    <row r="2463" spans="6:6" x14ac:dyDescent="0.35">
      <c r="F2463" s="153"/>
    </row>
    <row r="2464" spans="6:6" x14ac:dyDescent="0.35">
      <c r="F2464" s="153"/>
    </row>
    <row r="2465" spans="6:6" x14ac:dyDescent="0.35">
      <c r="F2465" s="153"/>
    </row>
    <row r="2466" spans="6:6" x14ac:dyDescent="0.35">
      <c r="F2466" s="153"/>
    </row>
    <row r="2467" spans="6:6" x14ac:dyDescent="0.35">
      <c r="F2467" s="153"/>
    </row>
    <row r="2468" spans="6:6" x14ac:dyDescent="0.35">
      <c r="F2468" s="153"/>
    </row>
    <row r="2469" spans="6:6" x14ac:dyDescent="0.35">
      <c r="F2469" s="153"/>
    </row>
    <row r="2470" spans="6:6" x14ac:dyDescent="0.35">
      <c r="F2470" s="153"/>
    </row>
    <row r="2471" spans="6:6" x14ac:dyDescent="0.35">
      <c r="F2471" s="153"/>
    </row>
    <row r="2472" spans="6:6" x14ac:dyDescent="0.35">
      <c r="F2472" s="153"/>
    </row>
    <row r="2473" spans="6:6" x14ac:dyDescent="0.35">
      <c r="F2473" s="153"/>
    </row>
    <row r="2474" spans="6:6" x14ac:dyDescent="0.35">
      <c r="F2474" s="153"/>
    </row>
    <row r="2475" spans="6:6" x14ac:dyDescent="0.35">
      <c r="F2475" s="153"/>
    </row>
    <row r="2476" spans="6:6" x14ac:dyDescent="0.35">
      <c r="F2476" s="153"/>
    </row>
    <row r="2477" spans="6:6" x14ac:dyDescent="0.35">
      <c r="F2477" s="153"/>
    </row>
    <row r="2478" spans="6:6" x14ac:dyDescent="0.35">
      <c r="F2478" s="153"/>
    </row>
    <row r="2479" spans="6:6" x14ac:dyDescent="0.35">
      <c r="F2479" s="153"/>
    </row>
    <row r="2480" spans="6:6" x14ac:dyDescent="0.35">
      <c r="F2480" s="153"/>
    </row>
    <row r="2481" spans="6:6" x14ac:dyDescent="0.35">
      <c r="F2481" s="153"/>
    </row>
    <row r="2482" spans="6:6" x14ac:dyDescent="0.35">
      <c r="F2482" s="153"/>
    </row>
    <row r="2483" spans="6:6" x14ac:dyDescent="0.35">
      <c r="F2483" s="153"/>
    </row>
    <row r="2484" spans="6:6" x14ac:dyDescent="0.35">
      <c r="F2484" s="153"/>
    </row>
    <row r="2485" spans="6:6" x14ac:dyDescent="0.35">
      <c r="F2485" s="153"/>
    </row>
    <row r="2486" spans="6:6" x14ac:dyDescent="0.35">
      <c r="F2486" s="153"/>
    </row>
    <row r="2487" spans="6:6" x14ac:dyDescent="0.35">
      <c r="F2487" s="153"/>
    </row>
    <row r="2488" spans="6:6" x14ac:dyDescent="0.35">
      <c r="F2488" s="153"/>
    </row>
    <row r="2489" spans="6:6" x14ac:dyDescent="0.35">
      <c r="F2489" s="153"/>
    </row>
    <row r="2490" spans="6:6" x14ac:dyDescent="0.35">
      <c r="F2490" s="153"/>
    </row>
    <row r="2491" spans="6:6" x14ac:dyDescent="0.35">
      <c r="F2491" s="153"/>
    </row>
    <row r="2492" spans="6:6" x14ac:dyDescent="0.35">
      <c r="F2492" s="153"/>
    </row>
    <row r="2493" spans="6:6" x14ac:dyDescent="0.35">
      <c r="F2493" s="153"/>
    </row>
    <row r="2494" spans="6:6" x14ac:dyDescent="0.35">
      <c r="F2494" s="153"/>
    </row>
    <row r="2495" spans="6:6" x14ac:dyDescent="0.35">
      <c r="F2495" s="153"/>
    </row>
    <row r="2496" spans="6:6" x14ac:dyDescent="0.35">
      <c r="F2496" s="153"/>
    </row>
    <row r="2497" spans="6:6" x14ac:dyDescent="0.35">
      <c r="F2497" s="153"/>
    </row>
    <row r="2498" spans="6:6" x14ac:dyDescent="0.35">
      <c r="F2498" s="153"/>
    </row>
    <row r="2499" spans="6:6" x14ac:dyDescent="0.35">
      <c r="F2499" s="153"/>
    </row>
    <row r="2500" spans="6:6" x14ac:dyDescent="0.35">
      <c r="F2500" s="153"/>
    </row>
    <row r="2501" spans="6:6" x14ac:dyDescent="0.35">
      <c r="F2501" s="153"/>
    </row>
    <row r="2502" spans="6:6" x14ac:dyDescent="0.35">
      <c r="F2502" s="153"/>
    </row>
    <row r="2503" spans="6:6" x14ac:dyDescent="0.35">
      <c r="F2503" s="153"/>
    </row>
    <row r="2504" spans="6:6" x14ac:dyDescent="0.35">
      <c r="F2504" s="153"/>
    </row>
    <row r="2505" spans="6:6" x14ac:dyDescent="0.35">
      <c r="F2505" s="153"/>
    </row>
    <row r="2506" spans="6:6" x14ac:dyDescent="0.35">
      <c r="F2506" s="153"/>
    </row>
    <row r="2507" spans="6:6" x14ac:dyDescent="0.35">
      <c r="F2507" s="153"/>
    </row>
    <row r="2508" spans="6:6" x14ac:dyDescent="0.35">
      <c r="F2508" s="153"/>
    </row>
    <row r="2509" spans="6:6" x14ac:dyDescent="0.35">
      <c r="F2509" s="153"/>
    </row>
    <row r="2510" spans="6:6" x14ac:dyDescent="0.35">
      <c r="F2510" s="153"/>
    </row>
    <row r="2511" spans="6:6" x14ac:dyDescent="0.35">
      <c r="F2511" s="153"/>
    </row>
    <row r="2512" spans="6:6" x14ac:dyDescent="0.35">
      <c r="F2512" s="153"/>
    </row>
    <row r="2513" spans="6:6" x14ac:dyDescent="0.35">
      <c r="F2513" s="153"/>
    </row>
    <row r="2514" spans="6:6" x14ac:dyDescent="0.35">
      <c r="F2514" s="153"/>
    </row>
    <row r="2515" spans="6:6" x14ac:dyDescent="0.35">
      <c r="F2515" s="153"/>
    </row>
    <row r="2516" spans="6:6" x14ac:dyDescent="0.35">
      <c r="F2516" s="153"/>
    </row>
    <row r="2517" spans="6:6" x14ac:dyDescent="0.35">
      <c r="F2517" s="153"/>
    </row>
    <row r="2518" spans="6:6" x14ac:dyDescent="0.35">
      <c r="F2518" s="153"/>
    </row>
    <row r="2519" spans="6:6" x14ac:dyDescent="0.35">
      <c r="F2519" s="153"/>
    </row>
    <row r="2520" spans="6:6" x14ac:dyDescent="0.35">
      <c r="F2520" s="153"/>
    </row>
    <row r="2521" spans="6:6" x14ac:dyDescent="0.35">
      <c r="F2521" s="153"/>
    </row>
    <row r="2522" spans="6:6" x14ac:dyDescent="0.35">
      <c r="F2522" s="153"/>
    </row>
    <row r="2523" spans="6:6" x14ac:dyDescent="0.35">
      <c r="F2523" s="153"/>
    </row>
    <row r="2524" spans="6:6" x14ac:dyDescent="0.35">
      <c r="F2524" s="153"/>
    </row>
    <row r="2525" spans="6:6" x14ac:dyDescent="0.35">
      <c r="F2525" s="153"/>
    </row>
    <row r="2526" spans="6:6" x14ac:dyDescent="0.35">
      <c r="F2526" s="153"/>
    </row>
    <row r="2527" spans="6:6" x14ac:dyDescent="0.35">
      <c r="F2527" s="153"/>
    </row>
    <row r="2528" spans="6:6" x14ac:dyDescent="0.35">
      <c r="F2528" s="153"/>
    </row>
    <row r="2529" spans="6:6" x14ac:dyDescent="0.35">
      <c r="F2529" s="153"/>
    </row>
    <row r="2530" spans="6:6" x14ac:dyDescent="0.35">
      <c r="F2530" s="153"/>
    </row>
    <row r="2531" spans="6:6" x14ac:dyDescent="0.35">
      <c r="F2531" s="153"/>
    </row>
    <row r="2532" spans="6:6" x14ac:dyDescent="0.35">
      <c r="F2532" s="153"/>
    </row>
    <row r="2533" spans="6:6" x14ac:dyDescent="0.35">
      <c r="F2533" s="153"/>
    </row>
    <row r="2534" spans="6:6" x14ac:dyDescent="0.35">
      <c r="F2534" s="153"/>
    </row>
    <row r="2535" spans="6:6" x14ac:dyDescent="0.35">
      <c r="F2535" s="153"/>
    </row>
    <row r="2536" spans="6:6" x14ac:dyDescent="0.35">
      <c r="F2536" s="153"/>
    </row>
    <row r="2537" spans="6:6" x14ac:dyDescent="0.35">
      <c r="F2537" s="153"/>
    </row>
    <row r="2538" spans="6:6" x14ac:dyDescent="0.35">
      <c r="F2538" s="153"/>
    </row>
    <row r="2539" spans="6:6" x14ac:dyDescent="0.35">
      <c r="F2539" s="153"/>
    </row>
    <row r="2540" spans="6:6" x14ac:dyDescent="0.35">
      <c r="F2540" s="153"/>
    </row>
    <row r="2541" spans="6:6" x14ac:dyDescent="0.35">
      <c r="F2541" s="153"/>
    </row>
    <row r="2542" spans="6:6" x14ac:dyDescent="0.35">
      <c r="F2542" s="153"/>
    </row>
    <row r="2543" spans="6:6" x14ac:dyDescent="0.35">
      <c r="F2543" s="153"/>
    </row>
    <row r="2544" spans="6:6" x14ac:dyDescent="0.35">
      <c r="F2544" s="153"/>
    </row>
    <row r="2545" spans="6:6" x14ac:dyDescent="0.35">
      <c r="F2545" s="153"/>
    </row>
    <row r="2546" spans="6:6" x14ac:dyDescent="0.35">
      <c r="F2546" s="153"/>
    </row>
    <row r="2547" spans="6:6" x14ac:dyDescent="0.35">
      <c r="F2547" s="153"/>
    </row>
    <row r="2548" spans="6:6" x14ac:dyDescent="0.35">
      <c r="F2548" s="153"/>
    </row>
    <row r="2549" spans="6:6" x14ac:dyDescent="0.35">
      <c r="F2549" s="153"/>
    </row>
    <row r="2550" spans="6:6" x14ac:dyDescent="0.35">
      <c r="F2550" s="153"/>
    </row>
    <row r="2551" spans="6:6" x14ac:dyDescent="0.35">
      <c r="F2551" s="153"/>
    </row>
    <row r="2552" spans="6:6" x14ac:dyDescent="0.35">
      <c r="F2552" s="153"/>
    </row>
    <row r="2553" spans="6:6" x14ac:dyDescent="0.35">
      <c r="F2553" s="153"/>
    </row>
    <row r="2554" spans="6:6" x14ac:dyDescent="0.35">
      <c r="F2554" s="153"/>
    </row>
    <row r="2555" spans="6:6" x14ac:dyDescent="0.35">
      <c r="F2555" s="153"/>
    </row>
    <row r="2556" spans="6:6" x14ac:dyDescent="0.35">
      <c r="F2556" s="153"/>
    </row>
    <row r="2557" spans="6:6" x14ac:dyDescent="0.35">
      <c r="F2557" s="153"/>
    </row>
    <row r="2558" spans="6:6" x14ac:dyDescent="0.35">
      <c r="F2558" s="153"/>
    </row>
    <row r="2559" spans="6:6" x14ac:dyDescent="0.35">
      <c r="F2559" s="153"/>
    </row>
    <row r="2560" spans="6:6" x14ac:dyDescent="0.35">
      <c r="F2560" s="153"/>
    </row>
    <row r="2561" spans="6:6" x14ac:dyDescent="0.35">
      <c r="F2561" s="153"/>
    </row>
    <row r="2562" spans="6:6" x14ac:dyDescent="0.35">
      <c r="F2562" s="153"/>
    </row>
    <row r="2563" spans="6:6" x14ac:dyDescent="0.35">
      <c r="F2563" s="153"/>
    </row>
    <row r="2564" spans="6:6" x14ac:dyDescent="0.35">
      <c r="F2564" s="153"/>
    </row>
    <row r="2565" spans="6:6" x14ac:dyDescent="0.35">
      <c r="F2565" s="153"/>
    </row>
    <row r="2566" spans="6:6" x14ac:dyDescent="0.35">
      <c r="F2566" s="153"/>
    </row>
    <row r="2567" spans="6:6" x14ac:dyDescent="0.35">
      <c r="F2567" s="153"/>
    </row>
    <row r="2568" spans="6:6" x14ac:dyDescent="0.35">
      <c r="F2568" s="153"/>
    </row>
    <row r="2569" spans="6:6" x14ac:dyDescent="0.35">
      <c r="F2569" s="153"/>
    </row>
    <row r="2570" spans="6:6" x14ac:dyDescent="0.35">
      <c r="F2570" s="153"/>
    </row>
    <row r="2571" spans="6:6" x14ac:dyDescent="0.35">
      <c r="F2571" s="153"/>
    </row>
    <row r="2572" spans="6:6" x14ac:dyDescent="0.35">
      <c r="F2572" s="153"/>
    </row>
    <row r="2573" spans="6:6" x14ac:dyDescent="0.35">
      <c r="F2573" s="153"/>
    </row>
    <row r="2574" spans="6:6" x14ac:dyDescent="0.35">
      <c r="F2574" s="153"/>
    </row>
    <row r="2575" spans="6:6" x14ac:dyDescent="0.35">
      <c r="F2575" s="153"/>
    </row>
    <row r="2576" spans="6:6" x14ac:dyDescent="0.35">
      <c r="F2576" s="153"/>
    </row>
    <row r="2577" spans="6:6" x14ac:dyDescent="0.35">
      <c r="F2577" s="153"/>
    </row>
    <row r="2578" spans="6:6" x14ac:dyDescent="0.35">
      <c r="F2578" s="153"/>
    </row>
    <row r="2579" spans="6:6" x14ac:dyDescent="0.35">
      <c r="F2579" s="153"/>
    </row>
    <row r="2580" spans="6:6" x14ac:dyDescent="0.35">
      <c r="F2580" s="153"/>
    </row>
    <row r="2581" spans="6:6" x14ac:dyDescent="0.35">
      <c r="F2581" s="153"/>
    </row>
    <row r="2582" spans="6:6" x14ac:dyDescent="0.35">
      <c r="F2582" s="153"/>
    </row>
    <row r="2583" spans="6:6" x14ac:dyDescent="0.35">
      <c r="F2583" s="153"/>
    </row>
    <row r="2584" spans="6:6" x14ac:dyDescent="0.35">
      <c r="F2584" s="153"/>
    </row>
    <row r="2585" spans="6:6" x14ac:dyDescent="0.35">
      <c r="F2585" s="153"/>
    </row>
    <row r="2586" spans="6:6" x14ac:dyDescent="0.35">
      <c r="F2586" s="153"/>
    </row>
    <row r="2587" spans="6:6" x14ac:dyDescent="0.35">
      <c r="F2587" s="153"/>
    </row>
    <row r="2588" spans="6:6" x14ac:dyDescent="0.35">
      <c r="F2588" s="153"/>
    </row>
    <row r="2589" spans="6:6" x14ac:dyDescent="0.35">
      <c r="F2589" s="153"/>
    </row>
    <row r="2590" spans="6:6" x14ac:dyDescent="0.35">
      <c r="F2590" s="153"/>
    </row>
    <row r="2591" spans="6:6" x14ac:dyDescent="0.35">
      <c r="F2591" s="153"/>
    </row>
    <row r="2592" spans="6:6" x14ac:dyDescent="0.35">
      <c r="F2592" s="153"/>
    </row>
    <row r="2593" spans="6:6" x14ac:dyDescent="0.35">
      <c r="F2593" s="153"/>
    </row>
    <row r="2594" spans="6:6" x14ac:dyDescent="0.35">
      <c r="F2594" s="153"/>
    </row>
    <row r="2595" spans="6:6" x14ac:dyDescent="0.35">
      <c r="F2595" s="153"/>
    </row>
    <row r="2596" spans="6:6" x14ac:dyDescent="0.35">
      <c r="F2596" s="153"/>
    </row>
    <row r="2597" spans="6:6" x14ac:dyDescent="0.35">
      <c r="F2597" s="153"/>
    </row>
    <row r="2598" spans="6:6" x14ac:dyDescent="0.35">
      <c r="F2598" s="153"/>
    </row>
    <row r="2599" spans="6:6" x14ac:dyDescent="0.35">
      <c r="F2599" s="153"/>
    </row>
    <row r="2600" spans="6:6" x14ac:dyDescent="0.35">
      <c r="F2600" s="153"/>
    </row>
    <row r="2601" spans="6:6" x14ac:dyDescent="0.35">
      <c r="F2601" s="153"/>
    </row>
    <row r="2602" spans="6:6" x14ac:dyDescent="0.35">
      <c r="F2602" s="153"/>
    </row>
    <row r="2603" spans="6:6" x14ac:dyDescent="0.35">
      <c r="F2603" s="153"/>
    </row>
    <row r="2604" spans="6:6" x14ac:dyDescent="0.35">
      <c r="F2604" s="153"/>
    </row>
    <row r="2605" spans="6:6" x14ac:dyDescent="0.35">
      <c r="F2605" s="153"/>
    </row>
    <row r="2606" spans="6:6" x14ac:dyDescent="0.35">
      <c r="F2606" s="153"/>
    </row>
    <row r="2607" spans="6:6" x14ac:dyDescent="0.35">
      <c r="F2607" s="153"/>
    </row>
    <row r="2608" spans="6:6" x14ac:dyDescent="0.35">
      <c r="F2608" s="153"/>
    </row>
    <row r="2609" spans="6:6" x14ac:dyDescent="0.35">
      <c r="F2609" s="153"/>
    </row>
    <row r="2610" spans="6:6" x14ac:dyDescent="0.35">
      <c r="F2610" s="153"/>
    </row>
    <row r="2611" spans="6:6" x14ac:dyDescent="0.35">
      <c r="F2611" s="153"/>
    </row>
    <row r="2612" spans="6:6" x14ac:dyDescent="0.35">
      <c r="F2612" s="153"/>
    </row>
    <row r="2613" spans="6:6" x14ac:dyDescent="0.35">
      <c r="F2613" s="153"/>
    </row>
    <row r="2614" spans="6:6" x14ac:dyDescent="0.35">
      <c r="F2614" s="153"/>
    </row>
    <row r="2615" spans="6:6" x14ac:dyDescent="0.35">
      <c r="F2615" s="153"/>
    </row>
    <row r="2616" spans="6:6" x14ac:dyDescent="0.35">
      <c r="F2616" s="153"/>
    </row>
    <row r="2617" spans="6:6" x14ac:dyDescent="0.35">
      <c r="F2617" s="153"/>
    </row>
    <row r="2618" spans="6:6" x14ac:dyDescent="0.35">
      <c r="F2618" s="153"/>
    </row>
    <row r="2619" spans="6:6" x14ac:dyDescent="0.35">
      <c r="F2619" s="153"/>
    </row>
    <row r="2620" spans="6:6" x14ac:dyDescent="0.35">
      <c r="F2620" s="153"/>
    </row>
    <row r="2621" spans="6:6" x14ac:dyDescent="0.35">
      <c r="F2621" s="153"/>
    </row>
    <row r="2622" spans="6:6" x14ac:dyDescent="0.35">
      <c r="F2622" s="153"/>
    </row>
    <row r="2623" spans="6:6" x14ac:dyDescent="0.35">
      <c r="F2623" s="153"/>
    </row>
    <row r="2624" spans="6:6" x14ac:dyDescent="0.35">
      <c r="F2624" s="153"/>
    </row>
    <row r="2625" spans="6:6" x14ac:dyDescent="0.35">
      <c r="F2625" s="153"/>
    </row>
    <row r="2626" spans="6:6" x14ac:dyDescent="0.35">
      <c r="F2626" s="153"/>
    </row>
    <row r="2627" spans="6:6" x14ac:dyDescent="0.35">
      <c r="F2627" s="153"/>
    </row>
    <row r="2628" spans="6:6" x14ac:dyDescent="0.35">
      <c r="F2628" s="153"/>
    </row>
    <row r="2629" spans="6:6" x14ac:dyDescent="0.35">
      <c r="F2629" s="153"/>
    </row>
    <row r="2630" spans="6:6" x14ac:dyDescent="0.35">
      <c r="F2630" s="153"/>
    </row>
    <row r="2631" spans="6:6" x14ac:dyDescent="0.35">
      <c r="F2631" s="153"/>
    </row>
    <row r="2632" spans="6:6" x14ac:dyDescent="0.35">
      <c r="F2632" s="153"/>
    </row>
    <row r="2633" spans="6:6" x14ac:dyDescent="0.35">
      <c r="F2633" s="153"/>
    </row>
    <row r="2634" spans="6:6" x14ac:dyDescent="0.35">
      <c r="F2634" s="153"/>
    </row>
    <row r="2635" spans="6:6" x14ac:dyDescent="0.35">
      <c r="F2635" s="153"/>
    </row>
    <row r="2636" spans="6:6" x14ac:dyDescent="0.35">
      <c r="F2636" s="153"/>
    </row>
    <row r="2637" spans="6:6" x14ac:dyDescent="0.35">
      <c r="F2637" s="153"/>
    </row>
    <row r="2638" spans="6:6" x14ac:dyDescent="0.35">
      <c r="F2638" s="153"/>
    </row>
    <row r="2639" spans="6:6" x14ac:dyDescent="0.35">
      <c r="F2639" s="153"/>
    </row>
    <row r="2640" spans="6:6" x14ac:dyDescent="0.35">
      <c r="F2640" s="153"/>
    </row>
    <row r="2641" spans="6:6" x14ac:dyDescent="0.35">
      <c r="F2641" s="153"/>
    </row>
    <row r="2642" spans="6:6" x14ac:dyDescent="0.35">
      <c r="F2642" s="153"/>
    </row>
    <row r="2643" spans="6:6" x14ac:dyDescent="0.35">
      <c r="F2643" s="153"/>
    </row>
    <row r="2644" spans="6:6" x14ac:dyDescent="0.35">
      <c r="F2644" s="153"/>
    </row>
    <row r="2645" spans="6:6" x14ac:dyDescent="0.35">
      <c r="F2645" s="153"/>
    </row>
    <row r="2646" spans="6:6" x14ac:dyDescent="0.35">
      <c r="F2646" s="153"/>
    </row>
    <row r="2647" spans="6:6" x14ac:dyDescent="0.35">
      <c r="F2647" s="153"/>
    </row>
    <row r="2648" spans="6:6" x14ac:dyDescent="0.35">
      <c r="F2648" s="153"/>
    </row>
    <row r="2649" spans="6:6" x14ac:dyDescent="0.35">
      <c r="F2649" s="153"/>
    </row>
    <row r="2650" spans="6:6" x14ac:dyDescent="0.35">
      <c r="F2650" s="153"/>
    </row>
    <row r="2651" spans="6:6" x14ac:dyDescent="0.35">
      <c r="F2651" s="153"/>
    </row>
    <row r="2652" spans="6:6" x14ac:dyDescent="0.35">
      <c r="F2652" s="153"/>
    </row>
    <row r="2653" spans="6:6" x14ac:dyDescent="0.35">
      <c r="F2653" s="153"/>
    </row>
    <row r="2654" spans="6:6" x14ac:dyDescent="0.35">
      <c r="F2654" s="153"/>
    </row>
    <row r="2655" spans="6:6" x14ac:dyDescent="0.35">
      <c r="F2655" s="153"/>
    </row>
    <row r="2656" spans="6:6" x14ac:dyDescent="0.35">
      <c r="F2656" s="153"/>
    </row>
    <row r="2657" spans="6:6" x14ac:dyDescent="0.35">
      <c r="F2657" s="153"/>
    </row>
    <row r="2658" spans="6:6" x14ac:dyDescent="0.35">
      <c r="F2658" s="153"/>
    </row>
    <row r="2659" spans="6:6" x14ac:dyDescent="0.35">
      <c r="F2659" s="153"/>
    </row>
    <row r="2660" spans="6:6" x14ac:dyDescent="0.35">
      <c r="F2660" s="153"/>
    </row>
    <row r="2661" spans="6:6" x14ac:dyDescent="0.35">
      <c r="F2661" s="153"/>
    </row>
    <row r="2662" spans="6:6" x14ac:dyDescent="0.35">
      <c r="F2662" s="153"/>
    </row>
    <row r="2663" spans="6:6" x14ac:dyDescent="0.35">
      <c r="F2663" s="153"/>
    </row>
    <row r="2664" spans="6:6" x14ac:dyDescent="0.35">
      <c r="F2664" s="153"/>
    </row>
    <row r="2665" spans="6:6" x14ac:dyDescent="0.35">
      <c r="F2665" s="153"/>
    </row>
    <row r="2666" spans="6:6" x14ac:dyDescent="0.35">
      <c r="F2666" s="153"/>
    </row>
    <row r="2667" spans="6:6" x14ac:dyDescent="0.35">
      <c r="F2667" s="153"/>
    </row>
    <row r="2668" spans="6:6" x14ac:dyDescent="0.35">
      <c r="F2668" s="153"/>
    </row>
    <row r="2669" spans="6:6" x14ac:dyDescent="0.35">
      <c r="F2669" s="153"/>
    </row>
    <row r="2670" spans="6:6" x14ac:dyDescent="0.35">
      <c r="F2670" s="153"/>
    </row>
    <row r="2671" spans="6:6" x14ac:dyDescent="0.35">
      <c r="F2671" s="153"/>
    </row>
    <row r="2672" spans="6:6" x14ac:dyDescent="0.35">
      <c r="F2672" s="153"/>
    </row>
    <row r="2673" spans="6:6" x14ac:dyDescent="0.35">
      <c r="F2673" s="153"/>
    </row>
    <row r="2674" spans="6:6" x14ac:dyDescent="0.35">
      <c r="F2674" s="153"/>
    </row>
    <row r="2675" spans="6:6" x14ac:dyDescent="0.35">
      <c r="F2675" s="153"/>
    </row>
    <row r="2676" spans="6:6" x14ac:dyDescent="0.35">
      <c r="F2676" s="153"/>
    </row>
    <row r="2677" spans="6:6" x14ac:dyDescent="0.35">
      <c r="F2677" s="153"/>
    </row>
    <row r="2678" spans="6:6" x14ac:dyDescent="0.35">
      <c r="F2678" s="153"/>
    </row>
    <row r="2679" spans="6:6" x14ac:dyDescent="0.35">
      <c r="F2679" s="153"/>
    </row>
    <row r="2680" spans="6:6" x14ac:dyDescent="0.35">
      <c r="F2680" s="153"/>
    </row>
    <row r="2681" spans="6:6" x14ac:dyDescent="0.35">
      <c r="F2681" s="153"/>
    </row>
    <row r="2682" spans="6:6" x14ac:dyDescent="0.35">
      <c r="F2682" s="153"/>
    </row>
    <row r="2683" spans="6:6" x14ac:dyDescent="0.35">
      <c r="F2683" s="153"/>
    </row>
    <row r="2684" spans="6:6" x14ac:dyDescent="0.35">
      <c r="F2684" s="153"/>
    </row>
    <row r="2685" spans="6:6" x14ac:dyDescent="0.35">
      <c r="F2685" s="153"/>
    </row>
    <row r="2686" spans="6:6" x14ac:dyDescent="0.35">
      <c r="F2686" s="153"/>
    </row>
    <row r="2687" spans="6:6" x14ac:dyDescent="0.35">
      <c r="F2687" s="153"/>
    </row>
    <row r="2688" spans="6:6" x14ac:dyDescent="0.35">
      <c r="F2688" s="153"/>
    </row>
    <row r="2689" spans="6:6" x14ac:dyDescent="0.35">
      <c r="F2689" s="153"/>
    </row>
    <row r="2690" spans="6:6" x14ac:dyDescent="0.35">
      <c r="F2690" s="153"/>
    </row>
    <row r="2691" spans="6:6" x14ac:dyDescent="0.35">
      <c r="F2691" s="153"/>
    </row>
    <row r="2692" spans="6:6" x14ac:dyDescent="0.35">
      <c r="F2692" s="153"/>
    </row>
    <row r="2693" spans="6:6" x14ac:dyDescent="0.35">
      <c r="F2693" s="153"/>
    </row>
    <row r="2694" spans="6:6" x14ac:dyDescent="0.35">
      <c r="F2694" s="153"/>
    </row>
    <row r="2695" spans="6:6" x14ac:dyDescent="0.35">
      <c r="F2695" s="153"/>
    </row>
    <row r="2696" spans="6:6" x14ac:dyDescent="0.35">
      <c r="F2696" s="153"/>
    </row>
    <row r="2697" spans="6:6" x14ac:dyDescent="0.35">
      <c r="F2697" s="153"/>
    </row>
    <row r="2698" spans="6:6" x14ac:dyDescent="0.35">
      <c r="F2698" s="153"/>
    </row>
    <row r="2699" spans="6:6" x14ac:dyDescent="0.35">
      <c r="F2699" s="153"/>
    </row>
    <row r="2700" spans="6:6" x14ac:dyDescent="0.35">
      <c r="F2700" s="153"/>
    </row>
    <row r="2701" spans="6:6" x14ac:dyDescent="0.35">
      <c r="F2701" s="153"/>
    </row>
    <row r="2702" spans="6:6" x14ac:dyDescent="0.35">
      <c r="F2702" s="153"/>
    </row>
    <row r="2703" spans="6:6" x14ac:dyDescent="0.35">
      <c r="F2703" s="153"/>
    </row>
    <row r="2704" spans="6:6" x14ac:dyDescent="0.35">
      <c r="F2704" s="153"/>
    </row>
    <row r="2705" spans="6:6" x14ac:dyDescent="0.35">
      <c r="F2705" s="153"/>
    </row>
    <row r="2706" spans="6:6" x14ac:dyDescent="0.35">
      <c r="F2706" s="153"/>
    </row>
    <row r="2707" spans="6:6" x14ac:dyDescent="0.35">
      <c r="F2707" s="153"/>
    </row>
    <row r="2708" spans="6:6" x14ac:dyDescent="0.35">
      <c r="F2708" s="153"/>
    </row>
    <row r="2709" spans="6:6" x14ac:dyDescent="0.35">
      <c r="F2709" s="153"/>
    </row>
    <row r="2710" spans="6:6" x14ac:dyDescent="0.35">
      <c r="F2710" s="153"/>
    </row>
    <row r="2711" spans="6:6" x14ac:dyDescent="0.35">
      <c r="F2711" s="153"/>
    </row>
    <row r="2712" spans="6:6" x14ac:dyDescent="0.35">
      <c r="F2712" s="153"/>
    </row>
    <row r="2713" spans="6:6" x14ac:dyDescent="0.35">
      <c r="F2713" s="153"/>
    </row>
    <row r="2714" spans="6:6" x14ac:dyDescent="0.35">
      <c r="F2714" s="153"/>
    </row>
    <row r="2715" spans="6:6" x14ac:dyDescent="0.35">
      <c r="F2715" s="153"/>
    </row>
    <row r="2716" spans="6:6" x14ac:dyDescent="0.35">
      <c r="F2716" s="153"/>
    </row>
    <row r="2717" spans="6:6" x14ac:dyDescent="0.35">
      <c r="F2717" s="153"/>
    </row>
    <row r="2718" spans="6:6" x14ac:dyDescent="0.35">
      <c r="F2718" s="153"/>
    </row>
    <row r="2719" spans="6:6" x14ac:dyDescent="0.35">
      <c r="F2719" s="153"/>
    </row>
    <row r="2720" spans="6:6" x14ac:dyDescent="0.35">
      <c r="F2720" s="153"/>
    </row>
    <row r="2721" spans="6:6" x14ac:dyDescent="0.35">
      <c r="F2721" s="153"/>
    </row>
    <row r="2722" spans="6:6" x14ac:dyDescent="0.35">
      <c r="F2722" s="153"/>
    </row>
    <row r="2723" spans="6:6" x14ac:dyDescent="0.35">
      <c r="F2723" s="153"/>
    </row>
    <row r="2724" spans="6:6" x14ac:dyDescent="0.35">
      <c r="F2724" s="153"/>
    </row>
    <row r="2725" spans="6:6" x14ac:dyDescent="0.35">
      <c r="F2725" s="153"/>
    </row>
    <row r="2726" spans="6:6" x14ac:dyDescent="0.35">
      <c r="F2726" s="153"/>
    </row>
    <row r="2727" spans="6:6" x14ac:dyDescent="0.35">
      <c r="F2727" s="153"/>
    </row>
    <row r="2728" spans="6:6" x14ac:dyDescent="0.35">
      <c r="F2728" s="153"/>
    </row>
    <row r="2729" spans="6:6" x14ac:dyDescent="0.35">
      <c r="F2729" s="153"/>
    </row>
    <row r="2730" spans="6:6" x14ac:dyDescent="0.35">
      <c r="F2730" s="153"/>
    </row>
    <row r="2731" spans="6:6" x14ac:dyDescent="0.35">
      <c r="F2731" s="153"/>
    </row>
    <row r="2732" spans="6:6" x14ac:dyDescent="0.35">
      <c r="F2732" s="153"/>
    </row>
    <row r="2733" spans="6:6" x14ac:dyDescent="0.35">
      <c r="F2733" s="153"/>
    </row>
    <row r="2734" spans="6:6" x14ac:dyDescent="0.35">
      <c r="F2734" s="153"/>
    </row>
    <row r="2735" spans="6:6" x14ac:dyDescent="0.35">
      <c r="F2735" s="153"/>
    </row>
    <row r="2736" spans="6:6" x14ac:dyDescent="0.35">
      <c r="F2736" s="153"/>
    </row>
    <row r="2737" spans="6:6" x14ac:dyDescent="0.35">
      <c r="F2737" s="153"/>
    </row>
    <row r="2738" spans="6:6" x14ac:dyDescent="0.35">
      <c r="F2738" s="153"/>
    </row>
    <row r="2739" spans="6:6" x14ac:dyDescent="0.35">
      <c r="F2739" s="153"/>
    </row>
    <row r="2740" spans="6:6" x14ac:dyDescent="0.35">
      <c r="F2740" s="153"/>
    </row>
    <row r="2741" spans="6:6" x14ac:dyDescent="0.35">
      <c r="F2741" s="153"/>
    </row>
    <row r="2742" spans="6:6" x14ac:dyDescent="0.35">
      <c r="F2742" s="153"/>
    </row>
    <row r="2743" spans="6:6" x14ac:dyDescent="0.35">
      <c r="F2743" s="153"/>
    </row>
    <row r="2744" spans="6:6" x14ac:dyDescent="0.35">
      <c r="F2744" s="153"/>
    </row>
    <row r="2745" spans="6:6" x14ac:dyDescent="0.35">
      <c r="F2745" s="153"/>
    </row>
    <row r="2746" spans="6:6" x14ac:dyDescent="0.35">
      <c r="F2746" s="153"/>
    </row>
    <row r="2747" spans="6:6" x14ac:dyDescent="0.35">
      <c r="F2747" s="153"/>
    </row>
    <row r="2748" spans="6:6" x14ac:dyDescent="0.35">
      <c r="F2748" s="153"/>
    </row>
    <row r="2749" spans="6:6" x14ac:dyDescent="0.35">
      <c r="F2749" s="153"/>
    </row>
    <row r="2750" spans="6:6" x14ac:dyDescent="0.35">
      <c r="F2750" s="153"/>
    </row>
    <row r="2751" spans="6:6" x14ac:dyDescent="0.35">
      <c r="F2751" s="153"/>
    </row>
    <row r="2752" spans="6:6" x14ac:dyDescent="0.35">
      <c r="F2752" s="153"/>
    </row>
    <row r="2753" spans="6:6" x14ac:dyDescent="0.35">
      <c r="F2753" s="153"/>
    </row>
    <row r="2754" spans="6:6" x14ac:dyDescent="0.35">
      <c r="F2754" s="153"/>
    </row>
    <row r="2755" spans="6:6" x14ac:dyDescent="0.35">
      <c r="F2755" s="153"/>
    </row>
    <row r="2756" spans="6:6" x14ac:dyDescent="0.35">
      <c r="F2756" s="153"/>
    </row>
    <row r="2757" spans="6:6" x14ac:dyDescent="0.35">
      <c r="F2757" s="153"/>
    </row>
    <row r="2758" spans="6:6" x14ac:dyDescent="0.35">
      <c r="F2758" s="153"/>
    </row>
    <row r="1048560" spans="1:1" x14ac:dyDescent="0.35">
      <c r="A1048560" s="109"/>
    </row>
  </sheetData>
  <autoFilter ref="A1:M1955" xr:uid="{CE5A89AD-E874-4CF5-9BEF-0FCD9535CF27}"/>
  <conditionalFormatting sqref="H1:H1048576 E1197">
    <cfRule type="cellIs" dxfId="3" priority="5" operator="equal">
      <formula>"Pago Confirming"</formula>
    </cfRule>
    <cfRule type="cellIs" dxfId="2" priority="6" operator="equal">
      <formula>"Suspenso"</formula>
    </cfRule>
    <cfRule type="cellIs" dxfId="1" priority="7" operator="equal">
      <formula>"Por Pagar"</formula>
    </cfRule>
    <cfRule type="cellIs" dxfId="0" priority="8" operator="equal">
      <formula>"Pago"</formula>
    </cfRule>
  </conditionalFormatting>
  <pageMargins left="0.7" right="0.7" top="0.75" bottom="0.75" header="0.3" footer="0.3"/>
  <pageSetup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workbookViewId="0">
      <selection activeCell="O1" sqref="O1"/>
    </sheetView>
  </sheetViews>
  <sheetFormatPr defaultColWidth="11.25" defaultRowHeight="15" customHeight="1" x14ac:dyDescent="0.35"/>
  <cols>
    <col min="1" max="1" width="8.83203125" customWidth="1"/>
    <col min="2" max="2" width="10" customWidth="1"/>
    <col min="3" max="4" width="8.83203125" customWidth="1"/>
    <col min="5" max="5" width="10" customWidth="1"/>
    <col min="6" max="11" width="8.83203125" customWidth="1"/>
    <col min="12" max="12" width="6.5" customWidth="1"/>
    <col min="13" max="14" width="8.83203125" customWidth="1"/>
    <col min="15" max="15" width="11.08203125" bestFit="1" customWidth="1"/>
    <col min="16" max="16" width="4.5" customWidth="1"/>
    <col min="17" max="18" width="8.83203125" customWidth="1"/>
    <col min="19" max="19" width="10.33203125" bestFit="1" customWidth="1"/>
    <col min="20" max="24" width="8.83203125" customWidth="1"/>
  </cols>
  <sheetData>
    <row r="1" spans="1:19" ht="15.75" customHeight="1" x14ac:dyDescent="0.35">
      <c r="A1" s="263" t="s">
        <v>2380</v>
      </c>
      <c r="B1" s="263" t="s">
        <v>2381</v>
      </c>
      <c r="C1" s="263" t="s">
        <v>2379</v>
      </c>
      <c r="I1" s="263" t="s">
        <v>2380</v>
      </c>
      <c r="J1" s="263" t="s">
        <v>2381</v>
      </c>
      <c r="K1" s="263" t="s">
        <v>2379</v>
      </c>
      <c r="M1" s="265" t="s">
        <v>2382</v>
      </c>
      <c r="N1" s="265"/>
      <c r="O1" s="84">
        <v>45656</v>
      </c>
      <c r="P1" s="74"/>
      <c r="Q1" s="266" t="s">
        <v>2383</v>
      </c>
      <c r="R1" s="266"/>
      <c r="S1" s="84">
        <v>45659</v>
      </c>
    </row>
    <row r="2" spans="1:19" ht="15.75" customHeight="1" x14ac:dyDescent="0.35">
      <c r="A2" s="2">
        <v>0.01</v>
      </c>
      <c r="B2">
        <v>277</v>
      </c>
      <c r="C2" s="2">
        <f t="shared" ref="C2:C16" si="0">B2*A2</f>
        <v>2.77</v>
      </c>
      <c r="I2" s="2">
        <v>0.01</v>
      </c>
      <c r="K2" s="2">
        <f t="shared" ref="K2:K16" si="1">J2*I2</f>
        <v>0</v>
      </c>
      <c r="M2" s="263" t="s">
        <v>2380</v>
      </c>
      <c r="N2" s="263" t="s">
        <v>2381</v>
      </c>
      <c r="O2" s="263" t="s">
        <v>2379</v>
      </c>
      <c r="Q2" s="264" t="s">
        <v>2380</v>
      </c>
      <c r="R2" s="264" t="s">
        <v>2381</v>
      </c>
      <c r="S2" s="264" t="s">
        <v>2379</v>
      </c>
    </row>
    <row r="3" spans="1:19" ht="15.75" customHeight="1" x14ac:dyDescent="0.35">
      <c r="A3" s="2">
        <v>0.02</v>
      </c>
      <c r="B3">
        <v>62</v>
      </c>
      <c r="C3" s="2">
        <f t="shared" si="0"/>
        <v>1.24</v>
      </c>
      <c r="I3" s="2">
        <v>0.02</v>
      </c>
      <c r="K3" s="2">
        <f t="shared" si="1"/>
        <v>0</v>
      </c>
      <c r="M3" s="2">
        <v>0.01</v>
      </c>
      <c r="O3" s="2">
        <f t="shared" ref="O3:O17" si="2">N3*M3</f>
        <v>0</v>
      </c>
      <c r="P3" s="2"/>
      <c r="Q3">
        <v>0.01</v>
      </c>
      <c r="S3">
        <f t="shared" ref="S3:S17" si="3">R3*Q3</f>
        <v>0</v>
      </c>
    </row>
    <row r="4" spans="1:19" ht="15.75" customHeight="1" x14ac:dyDescent="0.35">
      <c r="A4" s="2">
        <v>0.05</v>
      </c>
      <c r="B4">
        <v>4</v>
      </c>
      <c r="C4" s="2">
        <f t="shared" si="0"/>
        <v>0.2</v>
      </c>
      <c r="I4" s="2">
        <v>0.05</v>
      </c>
      <c r="K4" s="2">
        <f t="shared" si="1"/>
        <v>0</v>
      </c>
      <c r="M4" s="2">
        <v>0.02</v>
      </c>
      <c r="N4">
        <v>51</v>
      </c>
      <c r="O4" s="2">
        <f t="shared" si="2"/>
        <v>1.02</v>
      </c>
      <c r="P4" s="2"/>
      <c r="Q4">
        <v>0.02</v>
      </c>
      <c r="S4">
        <f t="shared" si="3"/>
        <v>0</v>
      </c>
    </row>
    <row r="5" spans="1:19" ht="15.75" customHeight="1" x14ac:dyDescent="0.35">
      <c r="A5" s="2">
        <v>0.1</v>
      </c>
      <c r="B5">
        <v>21</v>
      </c>
      <c r="C5" s="2">
        <f t="shared" si="0"/>
        <v>2.1</v>
      </c>
      <c r="I5" s="2">
        <v>0.1</v>
      </c>
      <c r="K5" s="2">
        <f t="shared" si="1"/>
        <v>0</v>
      </c>
      <c r="M5" s="2">
        <v>0.05</v>
      </c>
      <c r="O5" s="2">
        <f t="shared" si="2"/>
        <v>0</v>
      </c>
      <c r="P5" s="2"/>
      <c r="Q5">
        <v>0.05</v>
      </c>
      <c r="S5">
        <f t="shared" si="3"/>
        <v>0</v>
      </c>
    </row>
    <row r="6" spans="1:19" ht="15.75" customHeight="1" x14ac:dyDescent="0.35">
      <c r="A6" s="2">
        <v>0.2</v>
      </c>
      <c r="B6">
        <v>0</v>
      </c>
      <c r="C6" s="2">
        <f t="shared" si="0"/>
        <v>0</v>
      </c>
      <c r="E6" s="3" t="s">
        <v>2384</v>
      </c>
      <c r="F6" s="2">
        <f>F8+35</f>
        <v>86.31</v>
      </c>
      <c r="I6" s="2">
        <v>0.2</v>
      </c>
      <c r="K6" s="2">
        <f t="shared" si="1"/>
        <v>0</v>
      </c>
      <c r="M6" s="2">
        <v>0.1</v>
      </c>
      <c r="N6">
        <v>56</v>
      </c>
      <c r="O6" s="2">
        <f t="shared" si="2"/>
        <v>5.6000000000000005</v>
      </c>
      <c r="P6" s="2"/>
      <c r="Q6">
        <v>0.1</v>
      </c>
      <c r="S6">
        <f t="shared" si="3"/>
        <v>0</v>
      </c>
    </row>
    <row r="7" spans="1:19" ht="15.75" customHeight="1" x14ac:dyDescent="0.35">
      <c r="A7" s="2">
        <v>0.5</v>
      </c>
      <c r="B7">
        <v>2</v>
      </c>
      <c r="C7" s="2">
        <f t="shared" si="0"/>
        <v>1</v>
      </c>
      <c r="I7" s="2">
        <v>0.5</v>
      </c>
      <c r="K7" s="2">
        <f t="shared" si="1"/>
        <v>0</v>
      </c>
      <c r="M7" s="2">
        <v>0.2</v>
      </c>
      <c r="N7">
        <v>43</v>
      </c>
      <c r="O7" s="2">
        <f t="shared" si="2"/>
        <v>8.6</v>
      </c>
      <c r="P7" s="2"/>
      <c r="Q7">
        <v>0.2</v>
      </c>
      <c r="S7">
        <f t="shared" si="3"/>
        <v>0</v>
      </c>
    </row>
    <row r="8" spans="1:19" ht="15.75" customHeight="1" x14ac:dyDescent="0.35">
      <c r="A8" s="2">
        <v>1</v>
      </c>
      <c r="B8">
        <v>30</v>
      </c>
      <c r="C8" s="2">
        <f t="shared" si="0"/>
        <v>30</v>
      </c>
      <c r="E8" s="3" t="s">
        <v>2385</v>
      </c>
      <c r="F8" s="2">
        <f>SUM(C2:C9)</f>
        <v>51.31</v>
      </c>
      <c r="I8" s="2">
        <v>1</v>
      </c>
      <c r="K8" s="2">
        <f t="shared" si="1"/>
        <v>0</v>
      </c>
      <c r="M8" s="2">
        <v>0.5</v>
      </c>
      <c r="N8">
        <v>1</v>
      </c>
      <c r="O8" s="2">
        <f t="shared" si="2"/>
        <v>0.5</v>
      </c>
      <c r="P8" s="2"/>
      <c r="Q8">
        <v>0.5</v>
      </c>
      <c r="S8">
        <f t="shared" si="3"/>
        <v>0</v>
      </c>
    </row>
    <row r="9" spans="1:19" ht="15.75" customHeight="1" x14ac:dyDescent="0.35">
      <c r="A9" s="2">
        <v>2</v>
      </c>
      <c r="B9">
        <v>7</v>
      </c>
      <c r="C9" s="2">
        <f t="shared" si="0"/>
        <v>14</v>
      </c>
      <c r="E9" s="3" t="s">
        <v>2386</v>
      </c>
      <c r="F9" s="2">
        <f>SUM(C10:C16)</f>
        <v>0</v>
      </c>
      <c r="I9" s="2">
        <v>2</v>
      </c>
      <c r="K9" s="2">
        <f t="shared" si="1"/>
        <v>0</v>
      </c>
      <c r="M9" s="2">
        <v>1</v>
      </c>
      <c r="N9">
        <v>2</v>
      </c>
      <c r="O9" s="2">
        <f t="shared" si="2"/>
        <v>2</v>
      </c>
      <c r="P9" s="2"/>
      <c r="Q9">
        <v>1</v>
      </c>
      <c r="S9">
        <f t="shared" si="3"/>
        <v>0</v>
      </c>
    </row>
    <row r="10" spans="1:19" ht="15.75" customHeight="1" x14ac:dyDescent="0.35">
      <c r="A10" s="2">
        <v>5</v>
      </c>
      <c r="B10">
        <v>0</v>
      </c>
      <c r="C10" s="2">
        <f t="shared" si="0"/>
        <v>0</v>
      </c>
      <c r="E10" s="3" t="s">
        <v>2379</v>
      </c>
      <c r="F10" s="2">
        <f>C17</f>
        <v>51.31</v>
      </c>
      <c r="I10" s="2">
        <v>5</v>
      </c>
      <c r="K10" s="2">
        <f t="shared" si="1"/>
        <v>0</v>
      </c>
      <c r="M10" s="2">
        <v>2</v>
      </c>
      <c r="N10">
        <v>1</v>
      </c>
      <c r="O10" s="2">
        <f t="shared" si="2"/>
        <v>2</v>
      </c>
      <c r="P10" s="2"/>
      <c r="Q10" s="2">
        <v>2</v>
      </c>
      <c r="S10">
        <f t="shared" si="3"/>
        <v>0</v>
      </c>
    </row>
    <row r="11" spans="1:19" ht="15.75" customHeight="1" x14ac:dyDescent="0.35">
      <c r="A11" s="2">
        <v>10</v>
      </c>
      <c r="B11">
        <v>0</v>
      </c>
      <c r="C11" s="2">
        <f t="shared" si="0"/>
        <v>0</v>
      </c>
      <c r="E11" s="3" t="s">
        <v>2387</v>
      </c>
      <c r="F11" s="2">
        <v>72.75</v>
      </c>
      <c r="I11" s="2">
        <v>10</v>
      </c>
      <c r="J11">
        <v>21</v>
      </c>
      <c r="K11" s="2">
        <f t="shared" si="1"/>
        <v>210</v>
      </c>
      <c r="M11" s="2">
        <v>5</v>
      </c>
      <c r="N11" s="2">
        <v>5</v>
      </c>
      <c r="O11" s="2">
        <f t="shared" si="2"/>
        <v>25</v>
      </c>
      <c r="P11" s="2"/>
      <c r="Q11" s="2">
        <v>5</v>
      </c>
      <c r="S11">
        <f t="shared" si="3"/>
        <v>0</v>
      </c>
    </row>
    <row r="12" spans="1:19" ht="15.75" customHeight="1" x14ac:dyDescent="0.35">
      <c r="A12" s="2">
        <v>20</v>
      </c>
      <c r="B12">
        <v>0</v>
      </c>
      <c r="C12" s="2">
        <f t="shared" si="0"/>
        <v>0</v>
      </c>
      <c r="E12" s="3" t="s">
        <v>2388</v>
      </c>
      <c r="F12" s="2">
        <f>F10-F11</f>
        <v>-21.439999999999998</v>
      </c>
      <c r="I12" s="2">
        <v>20</v>
      </c>
      <c r="J12">
        <v>28</v>
      </c>
      <c r="K12" s="2">
        <f t="shared" si="1"/>
        <v>560</v>
      </c>
      <c r="M12" s="2">
        <v>10</v>
      </c>
      <c r="N12" s="2">
        <v>9</v>
      </c>
      <c r="O12" s="2">
        <f t="shared" si="2"/>
        <v>90</v>
      </c>
      <c r="P12" s="2"/>
      <c r="Q12" s="2">
        <v>10</v>
      </c>
      <c r="S12">
        <f t="shared" si="3"/>
        <v>0</v>
      </c>
    </row>
    <row r="13" spans="1:19" ht="15.75" customHeight="1" x14ac:dyDescent="0.35">
      <c r="A13" s="2">
        <v>50</v>
      </c>
      <c r="B13">
        <v>0</v>
      </c>
      <c r="C13" s="2">
        <f t="shared" si="0"/>
        <v>0</v>
      </c>
      <c r="I13" s="2">
        <v>50</v>
      </c>
      <c r="J13">
        <v>2</v>
      </c>
      <c r="K13" s="2">
        <f t="shared" si="1"/>
        <v>100</v>
      </c>
      <c r="M13" s="2">
        <v>20</v>
      </c>
      <c r="N13" s="2">
        <v>2</v>
      </c>
      <c r="O13" s="2">
        <f t="shared" si="2"/>
        <v>40</v>
      </c>
      <c r="P13" s="2"/>
      <c r="Q13" s="2">
        <v>20</v>
      </c>
      <c r="S13">
        <f t="shared" si="3"/>
        <v>0</v>
      </c>
    </row>
    <row r="14" spans="1:19" ht="15.75" customHeight="1" x14ac:dyDescent="0.35">
      <c r="A14" s="2">
        <v>100</v>
      </c>
      <c r="B14">
        <v>0</v>
      </c>
      <c r="C14" s="2">
        <f t="shared" si="0"/>
        <v>0</v>
      </c>
      <c r="I14" s="2">
        <v>100</v>
      </c>
      <c r="K14" s="2">
        <f t="shared" si="1"/>
        <v>0</v>
      </c>
      <c r="M14" s="2">
        <v>50</v>
      </c>
      <c r="O14" s="2">
        <f t="shared" si="2"/>
        <v>0</v>
      </c>
      <c r="P14" s="2"/>
      <c r="Q14">
        <v>50</v>
      </c>
      <c r="S14">
        <f t="shared" si="3"/>
        <v>0</v>
      </c>
    </row>
    <row r="15" spans="1:19" ht="15.75" customHeight="1" x14ac:dyDescent="0.35">
      <c r="A15" s="2">
        <v>200</v>
      </c>
      <c r="B15">
        <v>0</v>
      </c>
      <c r="C15" s="2">
        <f t="shared" si="0"/>
        <v>0</v>
      </c>
      <c r="I15" s="2">
        <v>200</v>
      </c>
      <c r="K15" s="2">
        <f t="shared" si="1"/>
        <v>0</v>
      </c>
      <c r="M15" s="2">
        <v>100</v>
      </c>
      <c r="O15" s="2">
        <f t="shared" si="2"/>
        <v>0</v>
      </c>
      <c r="P15" s="2"/>
      <c r="Q15">
        <v>100</v>
      </c>
      <c r="S15">
        <f t="shared" si="3"/>
        <v>0</v>
      </c>
    </row>
    <row r="16" spans="1:19" ht="15.75" customHeight="1" x14ac:dyDescent="0.35">
      <c r="A16" s="2">
        <v>500</v>
      </c>
      <c r="B16">
        <v>0</v>
      </c>
      <c r="C16" s="2">
        <f t="shared" si="0"/>
        <v>0</v>
      </c>
      <c r="E16" s="2">
        <f>355-35</f>
        <v>320</v>
      </c>
      <c r="I16" s="2">
        <v>500</v>
      </c>
      <c r="K16" s="2">
        <f t="shared" si="1"/>
        <v>0</v>
      </c>
      <c r="M16" s="2">
        <v>200</v>
      </c>
      <c r="O16" s="2">
        <f t="shared" si="2"/>
        <v>0</v>
      </c>
      <c r="P16" s="2"/>
      <c r="Q16">
        <v>200</v>
      </c>
      <c r="S16">
        <f t="shared" si="3"/>
        <v>0</v>
      </c>
    </row>
    <row r="17" spans="3:19" ht="15.75" customHeight="1" x14ac:dyDescent="0.35">
      <c r="C17" s="2">
        <f>SUM(C2:C16)</f>
        <v>51.31</v>
      </c>
      <c r="K17" s="124">
        <f>SUM(K2:K16)</f>
        <v>870</v>
      </c>
      <c r="M17" s="2">
        <v>500</v>
      </c>
      <c r="O17" s="2">
        <f t="shared" si="2"/>
        <v>0</v>
      </c>
      <c r="P17" s="2"/>
      <c r="Q17">
        <v>500</v>
      </c>
      <c r="S17">
        <f t="shared" si="3"/>
        <v>0</v>
      </c>
    </row>
    <row r="18" spans="3:19" ht="15.75" customHeight="1" x14ac:dyDescent="0.35">
      <c r="O18" s="125">
        <f>SUM(O3:O17)</f>
        <v>174.72</v>
      </c>
      <c r="P18" s="123"/>
      <c r="S18" s="123">
        <f>SUM(S3:S17)</f>
        <v>0</v>
      </c>
    </row>
    <row r="19" spans="3:19" ht="15.75" customHeight="1" x14ac:dyDescent="0.35">
      <c r="S19" s="124">
        <v>38.21</v>
      </c>
    </row>
    <row r="20" spans="3:19" ht="15.75" customHeight="1" x14ac:dyDescent="0.35"/>
    <row r="21" spans="3:19" ht="15.75" customHeight="1" x14ac:dyDescent="0.35"/>
    <row r="22" spans="3:19" ht="15.75" customHeight="1" x14ac:dyDescent="0.35"/>
    <row r="23" spans="3:19" ht="15.75" customHeight="1" x14ac:dyDescent="0.35"/>
    <row r="24" spans="3:19" ht="15.75" customHeight="1" x14ac:dyDescent="0.35"/>
    <row r="25" spans="3:19" ht="15.75" customHeight="1" x14ac:dyDescent="0.35"/>
    <row r="26" spans="3:19" ht="15.75" customHeight="1" x14ac:dyDescent="0.35"/>
    <row r="27" spans="3:19" ht="15.75" customHeight="1" x14ac:dyDescent="0.35"/>
    <row r="28" spans="3:19" ht="15.75" customHeight="1" x14ac:dyDescent="0.35"/>
    <row r="29" spans="3:19" ht="15.75" customHeight="1" x14ac:dyDescent="0.35"/>
    <row r="30" spans="3:19" ht="15.75" customHeight="1" x14ac:dyDescent="0.35"/>
    <row r="31" spans="3:19" ht="15.75" customHeight="1" x14ac:dyDescent="0.35"/>
    <row r="32" spans="3:1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M1:N1"/>
    <mergeCell ref="Q1:R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865" zoomScale="85" zoomScaleNormal="85" workbookViewId="0">
      <selection activeCell="O1" sqref="O1"/>
    </sheetView>
  </sheetViews>
  <sheetFormatPr defaultColWidth="11.25" defaultRowHeight="15" customHeight="1" x14ac:dyDescent="0.35"/>
  <cols>
    <col min="1" max="1" width="12.83203125" customWidth="1"/>
    <col min="2" max="2" width="10.58203125" customWidth="1"/>
    <col min="3" max="3" width="10.33203125" bestFit="1" customWidth="1"/>
    <col min="4" max="4" width="9.08203125" customWidth="1"/>
    <col min="5" max="5" width="11.58203125" customWidth="1"/>
    <col min="6" max="6" width="81.75" customWidth="1"/>
    <col min="7" max="7" width="25.58203125" bestFit="1" customWidth="1"/>
    <col min="8" max="8" width="12.75" bestFit="1" customWidth="1"/>
    <col min="9" max="9" width="14.25" customWidth="1"/>
    <col min="10" max="26" width="8.83203125" customWidth="1"/>
  </cols>
  <sheetData>
    <row r="1" spans="1:10" ht="15.75" customHeight="1" x14ac:dyDescent="0.35">
      <c r="A1" s="4" t="s">
        <v>2389</v>
      </c>
      <c r="B1" s="5" t="s">
        <v>2390</v>
      </c>
      <c r="C1" s="5" t="s">
        <v>2391</v>
      </c>
      <c r="D1" s="5"/>
      <c r="E1" s="5" t="s">
        <v>2392</v>
      </c>
      <c r="F1" s="4" t="s">
        <v>2393</v>
      </c>
    </row>
    <row r="2" spans="1:10" ht="15.75" customHeight="1" x14ac:dyDescent="0.35">
      <c r="A2" s="64">
        <v>44813</v>
      </c>
      <c r="B2" s="6">
        <v>4575</v>
      </c>
      <c r="C2" s="65"/>
      <c r="D2" s="65"/>
      <c r="E2" s="65"/>
      <c r="F2" s="66"/>
    </row>
    <row r="3" spans="1:10" ht="15.75" customHeight="1" x14ac:dyDescent="0.35">
      <c r="A3" s="7">
        <v>44814</v>
      </c>
      <c r="B3" s="8"/>
      <c r="C3" s="8">
        <f>Setembro!N11</f>
        <v>504.79999999999995</v>
      </c>
      <c r="D3" s="8"/>
      <c r="E3" s="8"/>
      <c r="F3" s="9"/>
    </row>
    <row r="4" spans="1:10" ht="15.75" customHeight="1" x14ac:dyDescent="0.35">
      <c r="A4" s="7">
        <v>44815</v>
      </c>
      <c r="B4" s="8"/>
      <c r="C4" s="8">
        <f>Setembro!N12</f>
        <v>575.92999999999995</v>
      </c>
      <c r="D4" s="8">
        <v>566.33000000000004</v>
      </c>
      <c r="E4" s="8"/>
      <c r="F4" s="9" t="s">
        <v>2394</v>
      </c>
    </row>
    <row r="5" spans="1:10" ht="15.75" customHeight="1" x14ac:dyDescent="0.35">
      <c r="A5" s="7">
        <v>44816</v>
      </c>
      <c r="B5" s="8"/>
      <c r="C5" s="8">
        <f>Setembro!N13</f>
        <v>0</v>
      </c>
      <c r="D5" s="8"/>
      <c r="E5" s="8"/>
      <c r="F5" s="9"/>
    </row>
    <row r="6" spans="1:10" ht="15.75" customHeight="1" x14ac:dyDescent="0.35">
      <c r="A6" s="7">
        <v>44817</v>
      </c>
      <c r="B6" s="8"/>
      <c r="C6" s="8">
        <f>Setembro!N14</f>
        <v>70.100000000000023</v>
      </c>
      <c r="D6" s="8"/>
      <c r="E6" s="8">
        <f>105.66+68.14+200.88+66</f>
        <v>440.68</v>
      </c>
      <c r="F6" s="9" t="s">
        <v>2395</v>
      </c>
    </row>
    <row r="7" spans="1:10" ht="15.75" customHeight="1" x14ac:dyDescent="0.35">
      <c r="A7" s="7">
        <v>44818</v>
      </c>
      <c r="B7" s="8"/>
      <c r="C7" s="8">
        <f>Setembro!N15</f>
        <v>197.82</v>
      </c>
      <c r="D7" s="8"/>
      <c r="E7" s="8">
        <v>160</v>
      </c>
      <c r="F7" s="9" t="s">
        <v>2396</v>
      </c>
    </row>
    <row r="8" spans="1:10" ht="15.75" customHeight="1" x14ac:dyDescent="0.35">
      <c r="A8" s="7">
        <v>44819</v>
      </c>
      <c r="B8" s="8"/>
      <c r="C8" s="8">
        <f>Setembro!N16</f>
        <v>165.84000000000003</v>
      </c>
      <c r="D8" s="8"/>
      <c r="E8" s="8">
        <v>420</v>
      </c>
      <c r="F8" s="9" t="s">
        <v>2397</v>
      </c>
    </row>
    <row r="9" spans="1:10" ht="15.75" customHeight="1" x14ac:dyDescent="0.35">
      <c r="A9" s="7">
        <v>44820</v>
      </c>
      <c r="B9" s="8"/>
      <c r="C9" s="8">
        <f>Setembro!N17</f>
        <v>314.00000000000006</v>
      </c>
      <c r="D9" s="8">
        <v>310</v>
      </c>
      <c r="E9" s="8"/>
      <c r="F9" s="9"/>
      <c r="G9" s="1"/>
      <c r="J9" s="1"/>
    </row>
    <row r="10" spans="1:10" ht="15.75" customHeight="1" x14ac:dyDescent="0.35">
      <c r="A10" s="7">
        <v>44821</v>
      </c>
      <c r="B10" s="8"/>
      <c r="C10" s="8">
        <f>Setembro!N18</f>
        <v>543.89999999999986</v>
      </c>
      <c r="D10" s="8"/>
      <c r="E10" s="8"/>
      <c r="F10" s="9"/>
    </row>
    <row r="11" spans="1:10" ht="15.75" customHeight="1" x14ac:dyDescent="0.35">
      <c r="A11" s="7">
        <v>44822</v>
      </c>
      <c r="B11" s="8"/>
      <c r="C11" s="8">
        <f>Setembro!N19</f>
        <v>593.79999999999973</v>
      </c>
      <c r="D11" s="8"/>
      <c r="E11" s="8"/>
      <c r="F11" s="9"/>
    </row>
    <row r="12" spans="1:10" ht="15.75" customHeight="1" x14ac:dyDescent="0.35">
      <c r="A12" s="7">
        <v>44823</v>
      </c>
      <c r="B12" s="8"/>
      <c r="C12" s="8">
        <f>Setembro!N20</f>
        <v>0</v>
      </c>
      <c r="D12" s="8"/>
      <c r="E12" s="8"/>
      <c r="F12" s="9"/>
    </row>
    <row r="13" spans="1:10" ht="15.75" customHeight="1" x14ac:dyDescent="0.35">
      <c r="A13" s="7">
        <v>44824</v>
      </c>
      <c r="B13" s="8"/>
      <c r="C13" s="8">
        <f>Setembro!N21</f>
        <v>314.95999999999992</v>
      </c>
      <c r="D13" s="8"/>
      <c r="E13" s="8"/>
      <c r="F13" s="9"/>
    </row>
    <row r="14" spans="1:10" ht="15.75" customHeight="1" x14ac:dyDescent="0.35">
      <c r="A14" s="7">
        <v>44825</v>
      </c>
      <c r="B14" s="8"/>
      <c r="C14" s="8">
        <f>Setembro!N22</f>
        <v>182.68000000000006</v>
      </c>
      <c r="D14" s="8"/>
      <c r="E14" s="8">
        <f>210.9+135.79+259.99</f>
        <v>606.68000000000006</v>
      </c>
      <c r="F14" s="9" t="s">
        <v>2398</v>
      </c>
    </row>
    <row r="15" spans="1:10" ht="15.75" customHeight="1" x14ac:dyDescent="0.35">
      <c r="A15" s="7">
        <v>44826</v>
      </c>
      <c r="B15" s="8"/>
      <c r="C15" s="8">
        <f>Setembro!N23</f>
        <v>250.58000000000004</v>
      </c>
      <c r="D15" s="8"/>
      <c r="E15" s="8">
        <v>16.97</v>
      </c>
      <c r="F15" s="9" t="s">
        <v>2399</v>
      </c>
    </row>
    <row r="16" spans="1:10" ht="15.75" customHeight="1" x14ac:dyDescent="0.35">
      <c r="A16" s="7">
        <v>44827</v>
      </c>
      <c r="B16" s="8"/>
      <c r="C16" s="8">
        <f>Setembro!N24</f>
        <v>193.29999999999995</v>
      </c>
      <c r="D16" s="8">
        <v>195</v>
      </c>
      <c r="E16" s="8">
        <v>40</v>
      </c>
      <c r="F16" s="9" t="s">
        <v>2400</v>
      </c>
    </row>
    <row r="17" spans="1:6" ht="15.75" customHeight="1" x14ac:dyDescent="0.35">
      <c r="A17" s="7">
        <v>44828</v>
      </c>
      <c r="B17" s="8"/>
      <c r="C17" s="8">
        <f>Setembro!N25</f>
        <v>338.54999999999978</v>
      </c>
      <c r="D17" s="8">
        <v>335</v>
      </c>
      <c r="E17" s="8"/>
      <c r="F17" s="9"/>
    </row>
    <row r="18" spans="1:6" ht="15.75" customHeight="1" x14ac:dyDescent="0.35">
      <c r="A18" s="7">
        <v>44829</v>
      </c>
      <c r="B18" s="8"/>
      <c r="C18" s="8">
        <f>Setembro!N26</f>
        <v>371.69000000000011</v>
      </c>
      <c r="D18" s="8">
        <v>360</v>
      </c>
      <c r="E18" s="8"/>
      <c r="F18" s="9" t="s">
        <v>2401</v>
      </c>
    </row>
    <row r="19" spans="1:6" ht="15.75" customHeight="1" x14ac:dyDescent="0.35">
      <c r="A19" s="7">
        <v>44830</v>
      </c>
      <c r="B19" s="8"/>
      <c r="C19" s="8">
        <f>Setembro!N27</f>
        <v>0</v>
      </c>
      <c r="D19" s="8"/>
      <c r="E19" s="8"/>
      <c r="F19" s="9"/>
    </row>
    <row r="20" spans="1:6" ht="15.75" customHeight="1" x14ac:dyDescent="0.35">
      <c r="A20" s="7">
        <v>44831</v>
      </c>
      <c r="B20" s="8"/>
      <c r="C20" s="8">
        <f>Setembro!N28</f>
        <v>99.5</v>
      </c>
      <c r="D20" s="8"/>
      <c r="E20" s="8"/>
      <c r="F20" s="9"/>
    </row>
    <row r="21" spans="1:6" ht="15.75" customHeight="1" x14ac:dyDescent="0.35">
      <c r="A21" s="7">
        <v>44832</v>
      </c>
      <c r="B21" s="8"/>
      <c r="C21" s="8">
        <f>Setembro!N29</f>
        <v>72.100000000000023</v>
      </c>
      <c r="D21" s="8"/>
      <c r="E21" s="8">
        <f>87.91+76.24</f>
        <v>164.14999999999998</v>
      </c>
      <c r="F21" s="9" t="s">
        <v>2402</v>
      </c>
    </row>
    <row r="22" spans="1:6" ht="15.75" customHeight="1" x14ac:dyDescent="0.35">
      <c r="A22" s="7">
        <v>44833</v>
      </c>
      <c r="B22" s="8"/>
      <c r="C22" s="8">
        <f>Setembro!N30</f>
        <v>96.480000000000018</v>
      </c>
      <c r="D22" s="8"/>
      <c r="E22" s="8">
        <v>345</v>
      </c>
      <c r="F22" s="9" t="s">
        <v>2403</v>
      </c>
    </row>
    <row r="23" spans="1:6" ht="15.75" customHeight="1" x14ac:dyDescent="0.35">
      <c r="A23" s="7">
        <v>44834</v>
      </c>
      <c r="B23" s="8"/>
      <c r="C23" s="8">
        <f>Setembro!N31</f>
        <v>80.400000000000034</v>
      </c>
      <c r="D23" s="8"/>
      <c r="E23" s="8">
        <v>40</v>
      </c>
      <c r="F23" s="9" t="s">
        <v>2400</v>
      </c>
    </row>
    <row r="24" spans="1:6" ht="15.75" customHeight="1" x14ac:dyDescent="0.35">
      <c r="A24" s="10"/>
      <c r="B24" s="11"/>
      <c r="C24" s="11"/>
      <c r="D24" s="11"/>
      <c r="E24" s="11"/>
      <c r="F24" s="10"/>
    </row>
    <row r="25" spans="1:6" ht="15.75" customHeight="1" x14ac:dyDescent="0.35">
      <c r="A25" s="7">
        <v>44835</v>
      </c>
      <c r="B25" s="8"/>
      <c r="C25" s="8">
        <f>Outubro!N2</f>
        <v>479.90000000000009</v>
      </c>
      <c r="D25" s="8"/>
      <c r="E25" s="8"/>
      <c r="F25" s="9"/>
    </row>
    <row r="26" spans="1:6" ht="15.75" customHeight="1" x14ac:dyDescent="0.35">
      <c r="A26" s="7">
        <v>44836</v>
      </c>
      <c r="B26" s="8"/>
      <c r="C26" s="8">
        <f>Outubro!N3</f>
        <v>315.64999999999986</v>
      </c>
      <c r="D26" s="8"/>
      <c r="E26" s="8"/>
      <c r="F26" s="9"/>
    </row>
    <row r="27" spans="1:6" ht="15.75" customHeight="1" x14ac:dyDescent="0.35">
      <c r="A27" s="7">
        <v>44837</v>
      </c>
      <c r="B27" s="8"/>
      <c r="C27" s="8">
        <f>Outubro!N4</f>
        <v>0</v>
      </c>
      <c r="D27" s="8"/>
      <c r="E27" s="8"/>
      <c r="F27" s="9"/>
    </row>
    <row r="28" spans="1:6" ht="15.75" customHeight="1" x14ac:dyDescent="0.35">
      <c r="A28" s="7">
        <v>44838</v>
      </c>
      <c r="B28" s="8"/>
      <c r="C28" s="8">
        <f>Outubro!N5</f>
        <v>246.04999999999995</v>
      </c>
      <c r="D28" s="8"/>
      <c r="E28" s="8"/>
      <c r="F28" s="9"/>
    </row>
    <row r="29" spans="1:6" ht="15.75" customHeight="1" x14ac:dyDescent="0.35">
      <c r="A29" s="7">
        <v>44839</v>
      </c>
      <c r="B29" s="8"/>
      <c r="C29" s="8">
        <f>Outubro!N6</f>
        <v>608.43999999999983</v>
      </c>
      <c r="D29" s="8"/>
      <c r="E29" s="8"/>
      <c r="F29" s="9"/>
    </row>
    <row r="30" spans="1:6" ht="15.75" customHeight="1" x14ac:dyDescent="0.35">
      <c r="A30" s="7">
        <v>44840</v>
      </c>
      <c r="B30" s="12">
        <v>4480</v>
      </c>
      <c r="C30" s="8">
        <f>Outubro!N7</f>
        <v>94.099999999999966</v>
      </c>
      <c r="D30" s="8"/>
      <c r="E30" s="8"/>
      <c r="F30" s="9"/>
    </row>
    <row r="31" spans="1:6" ht="15.75" customHeight="1" x14ac:dyDescent="0.35">
      <c r="A31" s="7">
        <v>44841</v>
      </c>
      <c r="B31" s="8"/>
      <c r="C31" s="8">
        <f>Outubro!N8</f>
        <v>149.98000000000002</v>
      </c>
      <c r="D31" s="8"/>
      <c r="E31" s="8"/>
      <c r="F31" s="9"/>
    </row>
    <row r="32" spans="1:6" ht="15.75" customHeight="1" x14ac:dyDescent="0.35">
      <c r="A32" s="7">
        <v>44842</v>
      </c>
      <c r="B32" s="8"/>
      <c r="C32" s="8">
        <f>Outubro!N9</f>
        <v>245.06000000000006</v>
      </c>
      <c r="D32" s="8"/>
      <c r="E32" s="8"/>
      <c r="F32" s="9"/>
    </row>
    <row r="33" spans="1:6" ht="15.75" customHeight="1" x14ac:dyDescent="0.35">
      <c r="A33" s="7">
        <v>44843</v>
      </c>
      <c r="B33" s="8"/>
      <c r="C33" s="8">
        <f>Outubro!N10</f>
        <v>193.60000000000002</v>
      </c>
      <c r="D33" s="8">
        <v>195</v>
      </c>
      <c r="E33" s="8"/>
      <c r="F33" s="9"/>
    </row>
    <row r="34" spans="1:6" ht="15.75" customHeight="1" x14ac:dyDescent="0.35">
      <c r="A34" s="7">
        <v>44844</v>
      </c>
      <c r="B34" s="8"/>
      <c r="C34" s="8">
        <f>Outubro!N11</f>
        <v>0</v>
      </c>
      <c r="D34" s="8"/>
      <c r="E34" s="8"/>
      <c r="F34" s="9"/>
    </row>
    <row r="35" spans="1:6" ht="15.75" customHeight="1" x14ac:dyDescent="0.35">
      <c r="A35" s="7">
        <v>44845</v>
      </c>
      <c r="B35" s="8"/>
      <c r="C35" s="8">
        <f>Outubro!N12</f>
        <v>132.63999999999999</v>
      </c>
      <c r="D35" s="8"/>
      <c r="E35" s="8"/>
      <c r="F35" s="9"/>
    </row>
    <row r="36" spans="1:6" ht="15.75" customHeight="1" x14ac:dyDescent="0.35">
      <c r="A36" s="7">
        <v>44846</v>
      </c>
      <c r="B36" s="8"/>
      <c r="C36" s="8">
        <f>Outubro!N13</f>
        <v>112.60000000000002</v>
      </c>
      <c r="D36" s="8"/>
      <c r="E36" s="8"/>
      <c r="F36" s="9"/>
    </row>
    <row r="37" spans="1:6" ht="15.75" customHeight="1" x14ac:dyDescent="0.35">
      <c r="A37" s="7">
        <v>44847</v>
      </c>
      <c r="B37" s="8"/>
      <c r="C37" s="8">
        <f>Outubro!N14</f>
        <v>113.36000000000001</v>
      </c>
      <c r="D37" s="1"/>
      <c r="E37" s="8">
        <f>247+ 8</f>
        <v>255</v>
      </c>
      <c r="F37" s="9" t="s">
        <v>2404</v>
      </c>
    </row>
    <row r="38" spans="1:6" ht="15.75" customHeight="1" x14ac:dyDescent="0.35">
      <c r="A38" s="7">
        <v>44848</v>
      </c>
      <c r="B38" s="8"/>
      <c r="C38" s="8">
        <f>Outubro!N15</f>
        <v>102.94</v>
      </c>
      <c r="D38" s="8"/>
      <c r="E38" s="8"/>
      <c r="F38" s="9"/>
    </row>
    <row r="39" spans="1:6" ht="15.75" customHeight="1" x14ac:dyDescent="0.35">
      <c r="A39" s="7">
        <v>44849</v>
      </c>
      <c r="B39" s="8"/>
      <c r="C39" s="8">
        <f>Outubro!N16</f>
        <v>236.24</v>
      </c>
      <c r="D39" s="8"/>
      <c r="E39" s="8"/>
      <c r="F39" s="9"/>
    </row>
    <row r="40" spans="1:6" ht="15.75" customHeight="1" x14ac:dyDescent="0.35">
      <c r="A40" s="7">
        <v>44850</v>
      </c>
      <c r="B40" s="8"/>
      <c r="C40" s="8">
        <f>Outubro!N17</f>
        <v>205.32000000000005</v>
      </c>
      <c r="D40" s="8"/>
      <c r="E40" s="8">
        <f>49+81.28+61.25+135.46+28.67</f>
        <v>355.66</v>
      </c>
      <c r="F40" s="9" t="s">
        <v>2405</v>
      </c>
    </row>
    <row r="41" spans="1:6" ht="15.75" customHeight="1" x14ac:dyDescent="0.35">
      <c r="A41" s="7">
        <v>44851</v>
      </c>
      <c r="B41" s="8"/>
      <c r="C41" s="8">
        <f>Outubro!N18</f>
        <v>0</v>
      </c>
      <c r="D41" s="8"/>
      <c r="E41" s="8"/>
      <c r="F41" s="9"/>
    </row>
    <row r="42" spans="1:6" ht="15.75" customHeight="1" x14ac:dyDescent="0.35">
      <c r="A42" s="7">
        <v>44852</v>
      </c>
      <c r="B42" s="8"/>
      <c r="C42" s="8">
        <f>Outubro!N19</f>
        <v>42.800000000000011</v>
      </c>
      <c r="D42" s="8"/>
      <c r="E42" s="8"/>
      <c r="F42" s="9"/>
    </row>
    <row r="43" spans="1:6" ht="15.75" customHeight="1" x14ac:dyDescent="0.35">
      <c r="A43" s="7">
        <v>44853</v>
      </c>
      <c r="B43" s="8"/>
      <c r="C43" s="8">
        <f>Outubro!N20</f>
        <v>46.400000000000006</v>
      </c>
      <c r="D43" s="8"/>
      <c r="E43" s="8">
        <v>225</v>
      </c>
      <c r="F43" s="9" t="s">
        <v>2406</v>
      </c>
    </row>
    <row r="44" spans="1:6" ht="15.75" customHeight="1" x14ac:dyDescent="0.35">
      <c r="A44" s="7">
        <v>44854</v>
      </c>
      <c r="B44" s="8"/>
      <c r="C44" s="8">
        <f>Outubro!N21</f>
        <v>65.300000000000011</v>
      </c>
      <c r="D44" s="8"/>
      <c r="E44" s="8"/>
      <c r="F44" s="9"/>
    </row>
    <row r="45" spans="1:6" ht="15.75" customHeight="1" x14ac:dyDescent="0.35">
      <c r="A45" s="7">
        <v>44855</v>
      </c>
      <c r="B45" s="8"/>
      <c r="C45" s="8">
        <f>Outubro!N22</f>
        <v>115.75999999999999</v>
      </c>
      <c r="D45" s="8"/>
      <c r="E45" s="8">
        <f>23+81.6+48+68.14+47.95</f>
        <v>268.69</v>
      </c>
      <c r="F45" s="9" t="s">
        <v>2407</v>
      </c>
    </row>
    <row r="46" spans="1:6" ht="15.75" customHeight="1" x14ac:dyDescent="0.35">
      <c r="A46" s="7">
        <v>44856</v>
      </c>
      <c r="B46" s="8"/>
      <c r="C46" s="8">
        <f>Outubro!N23</f>
        <v>69.399999999999977</v>
      </c>
      <c r="D46" s="8"/>
      <c r="E46" s="8"/>
      <c r="F46" s="9"/>
    </row>
    <row r="47" spans="1:6" ht="15.75" customHeight="1" x14ac:dyDescent="0.35">
      <c r="A47" s="7">
        <v>44857</v>
      </c>
      <c r="B47" s="8"/>
      <c r="C47" s="8">
        <f>Outubro!N24</f>
        <v>167.39999999999998</v>
      </c>
      <c r="D47" s="8"/>
      <c r="E47" s="8"/>
      <c r="F47" s="9"/>
    </row>
    <row r="48" spans="1:6" ht="15.75" customHeight="1" x14ac:dyDescent="0.35">
      <c r="A48" s="7">
        <v>44858</v>
      </c>
      <c r="B48" s="8"/>
      <c r="C48" s="8">
        <f>Outubro!N25</f>
        <v>0</v>
      </c>
      <c r="D48" s="8"/>
      <c r="E48" s="8"/>
      <c r="F48" s="9"/>
    </row>
    <row r="49" spans="1:6" ht="15.75" customHeight="1" x14ac:dyDescent="0.35">
      <c r="A49" s="7">
        <v>44859</v>
      </c>
      <c r="B49" s="8"/>
      <c r="C49" s="8">
        <f>Outubro!N26</f>
        <v>70.300000000000011</v>
      </c>
      <c r="D49" s="8"/>
      <c r="E49" s="8"/>
      <c r="F49" s="9"/>
    </row>
    <row r="50" spans="1:6" ht="15.75" customHeight="1" x14ac:dyDescent="0.35">
      <c r="A50" s="7">
        <v>44860</v>
      </c>
      <c r="B50" s="8"/>
      <c r="C50" s="8">
        <f>Outubro!N27</f>
        <v>57.379999999999995</v>
      </c>
      <c r="D50" s="8"/>
      <c r="E50" s="8"/>
      <c r="F50" s="9"/>
    </row>
    <row r="51" spans="1:6" ht="15.75" customHeight="1" x14ac:dyDescent="0.35">
      <c r="A51" s="7">
        <v>44861</v>
      </c>
      <c r="B51" s="8"/>
      <c r="C51" s="8">
        <f>Outubro!N28</f>
        <v>41.28</v>
      </c>
      <c r="D51" s="8"/>
      <c r="E51" s="8"/>
      <c r="F51" s="9"/>
    </row>
    <row r="52" spans="1:6" ht="15.75" customHeight="1" x14ac:dyDescent="0.35">
      <c r="A52" s="7">
        <v>44862</v>
      </c>
      <c r="B52" s="8"/>
      <c r="C52" s="8">
        <f>Outubro!N29</f>
        <v>78.100000000000023</v>
      </c>
      <c r="D52" s="8"/>
      <c r="E52" s="8">
        <v>60</v>
      </c>
      <c r="F52" s="9" t="s">
        <v>2408</v>
      </c>
    </row>
    <row r="53" spans="1:6" ht="15.75" customHeight="1" x14ac:dyDescent="0.35">
      <c r="A53" s="7">
        <v>44863</v>
      </c>
      <c r="B53" s="8"/>
      <c r="C53" s="8">
        <f>Outubro!N30</f>
        <v>123.5</v>
      </c>
      <c r="D53" s="8"/>
      <c r="E53" s="8"/>
      <c r="F53" s="9"/>
    </row>
    <row r="54" spans="1:6" ht="15.75" customHeight="1" x14ac:dyDescent="0.35">
      <c r="A54" s="7">
        <v>44864</v>
      </c>
      <c r="B54" s="8"/>
      <c r="C54" s="8">
        <f>Outubro!N31</f>
        <v>418.44000000000005</v>
      </c>
      <c r="D54" s="8"/>
      <c r="E54" s="8"/>
      <c r="F54" s="9"/>
    </row>
    <row r="55" spans="1:6" ht="15.75" customHeight="1" x14ac:dyDescent="0.35">
      <c r="A55" s="7">
        <v>44865</v>
      </c>
      <c r="B55" s="8"/>
      <c r="C55" s="8">
        <f>Outubro!N32</f>
        <v>0</v>
      </c>
      <c r="D55" s="8"/>
      <c r="E55" s="8"/>
      <c r="F55" s="9"/>
    </row>
    <row r="56" spans="1:6" ht="15.75" customHeight="1" x14ac:dyDescent="0.35">
      <c r="A56" s="10"/>
      <c r="B56" s="11"/>
      <c r="C56" s="11"/>
      <c r="D56" s="11"/>
      <c r="E56" s="11"/>
      <c r="F56" s="10"/>
    </row>
    <row r="57" spans="1:6" ht="15.75" customHeight="1" x14ac:dyDescent="0.35">
      <c r="A57" s="7">
        <v>44866</v>
      </c>
      <c r="B57" s="8"/>
      <c r="C57" s="8">
        <f>Novembro!N2</f>
        <v>148.89999999999998</v>
      </c>
      <c r="D57" s="8"/>
      <c r="E57" s="8">
        <f>212.85+48.71+102.32</f>
        <v>363.88</v>
      </c>
      <c r="F57" s="9" t="s">
        <v>2409</v>
      </c>
    </row>
    <row r="58" spans="1:6" ht="15.75" customHeight="1" x14ac:dyDescent="0.35">
      <c r="A58" s="7">
        <v>44867</v>
      </c>
      <c r="B58" s="8"/>
      <c r="C58" s="8">
        <f>Novembro!N3</f>
        <v>113.74000000000001</v>
      </c>
      <c r="D58" s="8"/>
      <c r="E58" s="8"/>
      <c r="F58" s="9"/>
    </row>
    <row r="59" spans="1:6" ht="15.75" customHeight="1" x14ac:dyDescent="0.35">
      <c r="A59" s="7">
        <v>44868</v>
      </c>
      <c r="B59" s="8"/>
      <c r="C59" s="8">
        <f>Novembro!N4</f>
        <v>43.699999999999989</v>
      </c>
      <c r="D59" s="8"/>
      <c r="E59" s="8"/>
      <c r="F59" s="9"/>
    </row>
    <row r="60" spans="1:6" ht="15.75" customHeight="1" x14ac:dyDescent="0.35">
      <c r="A60" s="7">
        <v>44869</v>
      </c>
      <c r="B60" s="8"/>
      <c r="C60" s="8">
        <f>Novembro!N5</f>
        <v>65.100000000000023</v>
      </c>
      <c r="D60" s="8"/>
      <c r="E60" s="8">
        <f>137.19</f>
        <v>137.19</v>
      </c>
      <c r="F60" s="9" t="s">
        <v>2410</v>
      </c>
    </row>
    <row r="61" spans="1:6" ht="15.75" customHeight="1" x14ac:dyDescent="0.35">
      <c r="A61" s="7">
        <v>44870</v>
      </c>
      <c r="B61" s="8"/>
      <c r="C61" s="8">
        <f>Novembro!N6</f>
        <v>328.22</v>
      </c>
      <c r="D61" s="8"/>
      <c r="E61" s="8">
        <f>47.98+3.65</f>
        <v>51.629999999999995</v>
      </c>
      <c r="F61" s="9" t="s">
        <v>2411</v>
      </c>
    </row>
    <row r="62" spans="1:6" ht="15.75" customHeight="1" x14ac:dyDescent="0.35">
      <c r="A62" s="7">
        <v>44871</v>
      </c>
      <c r="B62" s="8"/>
      <c r="C62" s="8">
        <f>Novembro!N7</f>
        <v>147.89999999999986</v>
      </c>
      <c r="D62" s="8"/>
      <c r="E62" s="8"/>
      <c r="F62" s="9"/>
    </row>
    <row r="63" spans="1:6" ht="15.75" customHeight="1" x14ac:dyDescent="0.35">
      <c r="A63" s="7">
        <v>44872</v>
      </c>
      <c r="B63" s="8"/>
      <c r="C63" s="8">
        <f>Novembro!N8</f>
        <v>0</v>
      </c>
      <c r="D63" s="8"/>
      <c r="E63" s="8"/>
      <c r="F63" s="9"/>
    </row>
    <row r="64" spans="1:6" ht="15.75" customHeight="1" x14ac:dyDescent="0.35">
      <c r="A64" s="7">
        <v>44873</v>
      </c>
      <c r="B64" s="8"/>
      <c r="C64" s="8">
        <f>Novembro!N9</f>
        <v>28.5</v>
      </c>
      <c r="D64" s="8"/>
      <c r="E64" s="8"/>
      <c r="F64" s="9"/>
    </row>
    <row r="65" spans="1:6" ht="15.75" customHeight="1" x14ac:dyDescent="0.35">
      <c r="A65" s="7">
        <v>44874</v>
      </c>
      <c r="B65" s="8"/>
      <c r="C65" s="8">
        <f>Novembro!N10</f>
        <v>48.900000000000006</v>
      </c>
      <c r="D65" s="8"/>
      <c r="E65" s="8">
        <f>56.98+54.21 + 3.73</f>
        <v>114.92</v>
      </c>
      <c r="F65" s="9" t="s">
        <v>2412</v>
      </c>
    </row>
    <row r="66" spans="1:6" ht="15.75" customHeight="1" x14ac:dyDescent="0.35">
      <c r="A66" s="7">
        <v>44875</v>
      </c>
      <c r="B66" s="13">
        <v>1785</v>
      </c>
      <c r="C66" s="8">
        <f>Novembro!N11</f>
        <v>128.62</v>
      </c>
      <c r="D66" s="8"/>
      <c r="E66" s="8">
        <v>98.59</v>
      </c>
      <c r="F66" s="9" t="s">
        <v>2413</v>
      </c>
    </row>
    <row r="67" spans="1:6" ht="15.75" customHeight="1" x14ac:dyDescent="0.35">
      <c r="A67" s="7">
        <v>44876</v>
      </c>
      <c r="B67" s="8"/>
      <c r="C67" s="8">
        <f>Novembro!N12</f>
        <v>90.089999999999975</v>
      </c>
      <c r="D67" s="8"/>
      <c r="E67" s="8">
        <v>38.659999999999997</v>
      </c>
      <c r="F67" s="9" t="s">
        <v>2414</v>
      </c>
    </row>
    <row r="68" spans="1:6" ht="15.75" customHeight="1" x14ac:dyDescent="0.35">
      <c r="A68" s="7">
        <v>44877</v>
      </c>
      <c r="B68" s="8"/>
      <c r="C68" s="8">
        <f>Novembro!N13</f>
        <v>343.92000000000007</v>
      </c>
      <c r="D68" s="8"/>
      <c r="E68" s="8"/>
      <c r="F68" s="9"/>
    </row>
    <row r="69" spans="1:6" ht="15.75" customHeight="1" x14ac:dyDescent="0.35">
      <c r="A69" s="7">
        <v>44878</v>
      </c>
      <c r="B69" s="8"/>
      <c r="C69" s="8">
        <f>Novembro!N14</f>
        <v>129.5</v>
      </c>
      <c r="D69" s="1"/>
      <c r="E69" s="8"/>
      <c r="F69" s="9"/>
    </row>
    <row r="70" spans="1:6" ht="15.75" customHeight="1" x14ac:dyDescent="0.35">
      <c r="A70" s="7">
        <v>44879</v>
      </c>
      <c r="B70" s="8"/>
      <c r="C70" s="8">
        <f>Novembro!N15</f>
        <v>0</v>
      </c>
      <c r="D70" s="8"/>
      <c r="E70" s="8">
        <f>37.96+202.75</f>
        <v>240.71</v>
      </c>
      <c r="F70" s="9" t="s">
        <v>2415</v>
      </c>
    </row>
    <row r="71" spans="1:6" ht="15.75" customHeight="1" x14ac:dyDescent="0.35">
      <c r="A71" s="7">
        <v>44880</v>
      </c>
      <c r="B71" s="8"/>
      <c r="C71" s="8">
        <f>Novembro!N16</f>
        <v>19.699999999999989</v>
      </c>
      <c r="D71" s="8"/>
      <c r="E71" s="8"/>
      <c r="F71" s="9"/>
    </row>
    <row r="72" spans="1:6" ht="15.75" customHeight="1" x14ac:dyDescent="0.35">
      <c r="A72" s="7">
        <v>44881</v>
      </c>
      <c r="B72" s="8"/>
      <c r="C72" s="8">
        <f>Novembro!N17</f>
        <v>0</v>
      </c>
      <c r="D72" s="8"/>
      <c r="E72" s="8"/>
      <c r="F72" s="9"/>
    </row>
    <row r="73" spans="1:6" ht="15.75" customHeight="1" x14ac:dyDescent="0.35">
      <c r="A73" s="7">
        <v>44882</v>
      </c>
      <c r="B73" s="8"/>
      <c r="C73" s="8">
        <f>Novembro!N18</f>
        <v>62.199999999999989</v>
      </c>
      <c r="D73" s="8"/>
      <c r="E73" s="8">
        <f>194.05+0.5</f>
        <v>194.55</v>
      </c>
      <c r="F73" s="9" t="s">
        <v>2416</v>
      </c>
    </row>
    <row r="74" spans="1:6" ht="15.75" customHeight="1" x14ac:dyDescent="0.35">
      <c r="A74" s="7">
        <v>44883</v>
      </c>
      <c r="B74" s="8"/>
      <c r="C74" s="8">
        <f>Novembro!N19</f>
        <v>53.400000000000006</v>
      </c>
      <c r="D74" s="8"/>
      <c r="E74" s="8"/>
      <c r="F74" s="9"/>
    </row>
    <row r="75" spans="1:6" ht="15.75" customHeight="1" x14ac:dyDescent="0.35">
      <c r="A75" s="7">
        <v>44884</v>
      </c>
      <c r="B75" s="8"/>
      <c r="C75" s="8">
        <f>Novembro!N20</f>
        <v>54.5</v>
      </c>
      <c r="D75" s="8"/>
      <c r="E75" s="8">
        <f>11.7</f>
        <v>11.7</v>
      </c>
      <c r="F75" s="9" t="s">
        <v>2417</v>
      </c>
    </row>
    <row r="76" spans="1:6" ht="15.75" customHeight="1" x14ac:dyDescent="0.35">
      <c r="A76" s="7">
        <v>44885</v>
      </c>
      <c r="B76" s="8"/>
      <c r="C76" s="8">
        <f>Novembro!N21</f>
        <v>90.139999999999986</v>
      </c>
      <c r="D76" s="8"/>
      <c r="E76" s="8"/>
      <c r="F76" s="9"/>
    </row>
    <row r="77" spans="1:6" ht="15.75" customHeight="1" x14ac:dyDescent="0.35">
      <c r="A77" s="7">
        <v>44886</v>
      </c>
      <c r="B77" s="8"/>
      <c r="C77" s="8">
        <f>Novembro!N22</f>
        <v>0</v>
      </c>
      <c r="D77" s="8"/>
      <c r="E77" s="8"/>
      <c r="F77" s="9"/>
    </row>
    <row r="78" spans="1:6" ht="15.75" customHeight="1" x14ac:dyDescent="0.35">
      <c r="A78" s="7">
        <v>44887</v>
      </c>
      <c r="B78" s="8"/>
      <c r="C78" s="8">
        <f>Novembro!N23</f>
        <v>7.6000000000000085</v>
      </c>
      <c r="D78" s="8"/>
      <c r="E78" s="8"/>
      <c r="F78" s="9"/>
    </row>
    <row r="79" spans="1:6" ht="15.75" customHeight="1" x14ac:dyDescent="0.35">
      <c r="A79" s="7">
        <v>44888</v>
      </c>
      <c r="B79" s="8"/>
      <c r="C79" s="8">
        <f>Novembro!N24</f>
        <v>64.5</v>
      </c>
      <c r="D79" s="8"/>
      <c r="E79" s="8">
        <f>76.95</f>
        <v>76.95</v>
      </c>
      <c r="F79" s="9" t="s">
        <v>2418</v>
      </c>
    </row>
    <row r="80" spans="1:6" ht="15.75" customHeight="1" x14ac:dyDescent="0.35">
      <c r="A80" s="7">
        <v>44889</v>
      </c>
      <c r="B80" s="8"/>
      <c r="C80" s="8">
        <f>Novembro!N25</f>
        <v>49.5</v>
      </c>
      <c r="D80" s="8"/>
      <c r="E80" s="8"/>
      <c r="F80" s="9"/>
    </row>
    <row r="81" spans="1:6" ht="15.75" customHeight="1" x14ac:dyDescent="0.35">
      <c r="A81" s="7">
        <v>44890</v>
      </c>
      <c r="B81" s="8"/>
      <c r="C81" s="8">
        <f>Novembro!N26</f>
        <v>76.599999999999909</v>
      </c>
      <c r="D81" s="8"/>
      <c r="E81" s="8"/>
      <c r="F81" s="9"/>
    </row>
    <row r="82" spans="1:6" ht="15.75" customHeight="1" x14ac:dyDescent="0.35">
      <c r="A82" s="7">
        <v>44891</v>
      </c>
      <c r="B82" s="8"/>
      <c r="C82" s="8">
        <f>Novembro!N27</f>
        <v>175.20000000000005</v>
      </c>
      <c r="D82" s="8"/>
      <c r="E82" s="8"/>
      <c r="F82" s="9"/>
    </row>
    <row r="83" spans="1:6" ht="15.75" customHeight="1" x14ac:dyDescent="0.35">
      <c r="A83" s="7">
        <v>44892</v>
      </c>
      <c r="B83" s="8"/>
      <c r="C83" s="8">
        <f>Novembro!N28</f>
        <v>79.699999999999989</v>
      </c>
      <c r="D83" s="8"/>
      <c r="E83" s="8"/>
      <c r="F83" s="9"/>
    </row>
    <row r="84" spans="1:6" ht="15.75" customHeight="1" x14ac:dyDescent="0.35">
      <c r="A84" s="7">
        <v>44893</v>
      </c>
      <c r="B84" s="8"/>
      <c r="C84" s="8">
        <f>Novembro!N29</f>
        <v>0</v>
      </c>
      <c r="D84" s="8"/>
      <c r="E84" s="8">
        <f>6.14</f>
        <v>6.14</v>
      </c>
      <c r="F84" s="9" t="s">
        <v>2417</v>
      </c>
    </row>
    <row r="85" spans="1:6" ht="15.75" customHeight="1" x14ac:dyDescent="0.35">
      <c r="A85" s="7">
        <v>44894</v>
      </c>
      <c r="B85" s="8"/>
      <c r="C85" s="8">
        <f>Novembro!N30</f>
        <v>0</v>
      </c>
      <c r="D85" s="8"/>
      <c r="E85" s="8"/>
      <c r="F85" s="9"/>
    </row>
    <row r="86" spans="1:6" ht="15.75" customHeight="1" x14ac:dyDescent="0.35">
      <c r="A86" s="7">
        <v>44895</v>
      </c>
      <c r="B86" s="8"/>
      <c r="C86" s="8">
        <f>Dezembro!N16</f>
        <v>9.5999999999999943</v>
      </c>
      <c r="D86" s="8"/>
      <c r="E86" s="8"/>
      <c r="F86" s="9"/>
    </row>
    <row r="87" spans="1:6" ht="15.75" customHeight="1" x14ac:dyDescent="0.35">
      <c r="A87" s="10"/>
      <c r="B87" s="11"/>
      <c r="C87" s="11"/>
      <c r="D87" s="11"/>
      <c r="E87" s="11"/>
      <c r="F87" s="10"/>
    </row>
    <row r="88" spans="1:6" ht="15.75" customHeight="1" x14ac:dyDescent="0.35">
      <c r="A88" s="7">
        <v>44896</v>
      </c>
      <c r="B88" s="8"/>
      <c r="C88" s="8">
        <f>Dezembro!N2</f>
        <v>0</v>
      </c>
      <c r="D88" s="8"/>
      <c r="E88" s="8"/>
      <c r="F88" s="9"/>
    </row>
    <row r="89" spans="1:6" ht="15.75" customHeight="1" x14ac:dyDescent="0.35">
      <c r="A89" s="7">
        <v>44897</v>
      </c>
      <c r="B89" s="8"/>
      <c r="C89" s="8">
        <f>Dezembro!N3</f>
        <v>0</v>
      </c>
      <c r="D89" s="8"/>
      <c r="E89" s="8"/>
      <c r="F89" s="9"/>
    </row>
    <row r="90" spans="1:6" ht="15.75" customHeight="1" x14ac:dyDescent="0.35">
      <c r="A90" s="7">
        <v>44898</v>
      </c>
      <c r="B90" s="8"/>
      <c r="C90" s="8">
        <f>Dezembro!N4</f>
        <v>0</v>
      </c>
      <c r="D90" s="8"/>
      <c r="E90" s="8"/>
      <c r="F90" s="9"/>
    </row>
    <row r="91" spans="1:6" ht="15.75" customHeight="1" x14ac:dyDescent="0.35">
      <c r="A91" s="7">
        <v>44899</v>
      </c>
      <c r="B91" s="8"/>
      <c r="C91" s="8">
        <f>Dezembro!N5</f>
        <v>0</v>
      </c>
      <c r="D91" s="8"/>
      <c r="E91" s="8"/>
      <c r="F91" s="9"/>
    </row>
    <row r="92" spans="1:6" ht="15.75" customHeight="1" x14ac:dyDescent="0.35">
      <c r="A92" s="7">
        <v>44900</v>
      </c>
      <c r="B92" s="8"/>
      <c r="C92" s="8">
        <f>Dezembro!N6</f>
        <v>0</v>
      </c>
      <c r="D92" s="8"/>
      <c r="E92" s="8"/>
      <c r="F92" s="9"/>
    </row>
    <row r="93" spans="1:6" ht="15.75" customHeight="1" x14ac:dyDescent="0.35">
      <c r="A93" s="7">
        <v>44901</v>
      </c>
      <c r="B93" s="8"/>
      <c r="C93" s="8">
        <f>Dezembro!N7</f>
        <v>0</v>
      </c>
      <c r="D93" s="8"/>
      <c r="E93" s="8"/>
      <c r="F93" s="9"/>
    </row>
    <row r="94" spans="1:6" ht="15.75" customHeight="1" x14ac:dyDescent="0.35">
      <c r="A94" s="7">
        <v>44902</v>
      </c>
      <c r="B94" s="8"/>
      <c r="C94" s="8">
        <f>Dezembro!N8</f>
        <v>0</v>
      </c>
      <c r="D94" s="8"/>
      <c r="E94" s="8"/>
      <c r="F94" s="9"/>
    </row>
    <row r="95" spans="1:6" ht="15.75" customHeight="1" x14ac:dyDescent="0.35">
      <c r="A95" s="7">
        <v>44903</v>
      </c>
      <c r="B95" s="8"/>
      <c r="C95" s="8">
        <f>Dezembro!N9</f>
        <v>0</v>
      </c>
      <c r="D95" s="8"/>
      <c r="E95" s="8"/>
      <c r="F95" s="9"/>
    </row>
    <row r="96" spans="1:6" ht="15.75" customHeight="1" x14ac:dyDescent="0.35">
      <c r="A96" s="7">
        <v>44904</v>
      </c>
      <c r="B96" s="8"/>
      <c r="C96" s="8">
        <f>Dezembro!N10</f>
        <v>0</v>
      </c>
      <c r="D96" s="8"/>
      <c r="E96" s="8"/>
      <c r="F96" s="9"/>
    </row>
    <row r="97" spans="1:7" ht="15.75" customHeight="1" x14ac:dyDescent="0.35">
      <c r="A97" s="7">
        <v>44905</v>
      </c>
      <c r="B97" s="8"/>
      <c r="C97" s="8">
        <f>Dezembro!N11</f>
        <v>0</v>
      </c>
      <c r="D97" s="8"/>
      <c r="E97" s="8"/>
      <c r="F97" s="9"/>
    </row>
    <row r="98" spans="1:7" ht="15.75" customHeight="1" x14ac:dyDescent="0.35">
      <c r="A98" s="7">
        <v>44906</v>
      </c>
      <c r="B98" s="8"/>
      <c r="C98" s="8">
        <f>Dezembro!N12</f>
        <v>0</v>
      </c>
      <c r="D98" s="8"/>
      <c r="E98" s="8"/>
      <c r="F98" s="9"/>
    </row>
    <row r="99" spans="1:7" ht="15.75" customHeight="1" x14ac:dyDescent="0.35">
      <c r="A99" s="7">
        <v>44907</v>
      </c>
      <c r="B99" s="8"/>
      <c r="C99" s="8">
        <f>Dezembro!N13</f>
        <v>0</v>
      </c>
      <c r="D99" s="8"/>
      <c r="E99" s="8"/>
      <c r="F99" s="9"/>
    </row>
    <row r="100" spans="1:7" ht="15.75" customHeight="1" x14ac:dyDescent="0.35">
      <c r="A100" s="7">
        <v>44908</v>
      </c>
      <c r="B100" s="8"/>
      <c r="C100" s="8">
        <f>Dezembro!N14</f>
        <v>45.7</v>
      </c>
      <c r="D100" s="1"/>
      <c r="E100" s="8">
        <f>1.64+6.89</f>
        <v>8.5299999999999994</v>
      </c>
      <c r="F100" s="9" t="s">
        <v>2417</v>
      </c>
    </row>
    <row r="101" spans="1:7" ht="15.75" customHeight="1" x14ac:dyDescent="0.35">
      <c r="A101" s="7">
        <v>44909</v>
      </c>
      <c r="B101" s="8"/>
      <c r="C101" s="8">
        <f>Dezembro!N15</f>
        <v>16.400000000000006</v>
      </c>
      <c r="D101" s="8"/>
      <c r="E101" s="8"/>
      <c r="F101" s="9"/>
    </row>
    <row r="102" spans="1:7" ht="15.75" customHeight="1" x14ac:dyDescent="0.35">
      <c r="A102" s="7">
        <v>44910</v>
      </c>
      <c r="B102" s="13">
        <v>810</v>
      </c>
      <c r="C102" s="8">
        <f>Dezembro!N16</f>
        <v>9.5999999999999943</v>
      </c>
      <c r="D102" s="8"/>
      <c r="E102" s="8">
        <v>103.84</v>
      </c>
      <c r="F102" s="9" t="s">
        <v>2419</v>
      </c>
    </row>
    <row r="103" spans="1:7" ht="15.75" customHeight="1" x14ac:dyDescent="0.35">
      <c r="A103" s="7">
        <v>44911</v>
      </c>
      <c r="B103" s="8"/>
      <c r="C103" s="8">
        <f>Dezembro!N17</f>
        <v>128.57999999999998</v>
      </c>
      <c r="D103" s="8"/>
      <c r="E103" s="8">
        <f>26.6</f>
        <v>26.6</v>
      </c>
      <c r="F103" s="9" t="s">
        <v>2420</v>
      </c>
    </row>
    <row r="104" spans="1:7" ht="15.75" customHeight="1" x14ac:dyDescent="0.35">
      <c r="A104" s="7">
        <v>44912</v>
      </c>
      <c r="B104" s="8"/>
      <c r="C104" s="8">
        <f>Dezembro!N18</f>
        <v>44.699999999999989</v>
      </c>
      <c r="D104" s="8"/>
      <c r="E104" s="8"/>
      <c r="F104" s="9"/>
    </row>
    <row r="105" spans="1:7" ht="15.75" customHeight="1" x14ac:dyDescent="0.35">
      <c r="A105" s="7">
        <v>44913</v>
      </c>
      <c r="B105" s="8"/>
      <c r="C105" s="8">
        <f>Dezembro!N19</f>
        <v>71.800000000000011</v>
      </c>
      <c r="D105" s="8"/>
      <c r="E105" s="8"/>
      <c r="F105" s="9"/>
    </row>
    <row r="106" spans="1:7" ht="15.75" customHeight="1" x14ac:dyDescent="0.35">
      <c r="A106" s="7">
        <v>44914</v>
      </c>
      <c r="B106" s="8"/>
      <c r="C106" s="8">
        <f>Dezembro!N20</f>
        <v>0</v>
      </c>
      <c r="D106" s="8"/>
      <c r="E106" s="8"/>
      <c r="F106" s="9"/>
    </row>
    <row r="107" spans="1:7" ht="15.75" customHeight="1" x14ac:dyDescent="0.35">
      <c r="A107" s="7">
        <v>44915</v>
      </c>
      <c r="B107" s="8"/>
      <c r="C107" s="8">
        <f>Dezembro!N21</f>
        <v>129.55000000000001</v>
      </c>
      <c r="D107" s="8"/>
      <c r="E107" s="8"/>
      <c r="F107" s="9"/>
    </row>
    <row r="108" spans="1:7" ht="15.75" customHeight="1" x14ac:dyDescent="0.35">
      <c r="A108" s="7">
        <v>44916</v>
      </c>
      <c r="B108" s="8"/>
      <c r="C108" s="8">
        <f>Dezembro!N22</f>
        <v>49.699999999999989</v>
      </c>
      <c r="D108" s="8"/>
      <c r="E108" s="8"/>
      <c r="F108" s="9"/>
    </row>
    <row r="109" spans="1:7" ht="15.75" customHeight="1" x14ac:dyDescent="0.35">
      <c r="A109" s="7">
        <v>44917</v>
      </c>
      <c r="B109" s="8"/>
      <c r="C109" s="8">
        <f>Dezembro!N23</f>
        <v>26.199999999999989</v>
      </c>
      <c r="D109" s="8"/>
      <c r="E109" s="8"/>
      <c r="F109" s="9"/>
    </row>
    <row r="110" spans="1:7" ht="15.75" customHeight="1" x14ac:dyDescent="0.35">
      <c r="A110" s="7">
        <v>44918</v>
      </c>
      <c r="B110" s="8"/>
      <c r="C110" s="8">
        <f>Dezembro!N24</f>
        <v>80.199999999999989</v>
      </c>
      <c r="D110" s="8"/>
      <c r="E110" s="8">
        <f>78.15</f>
        <v>78.150000000000006</v>
      </c>
      <c r="F110" s="9" t="s">
        <v>2421</v>
      </c>
    </row>
    <row r="111" spans="1:7" ht="15.75" customHeight="1" x14ac:dyDescent="0.35">
      <c r="A111" s="7">
        <v>44919</v>
      </c>
      <c r="B111" s="8"/>
      <c r="C111" s="8">
        <f>Dezembro!N25</f>
        <v>9.5999999999999659</v>
      </c>
      <c r="D111" s="8"/>
      <c r="E111" s="8"/>
      <c r="F111" s="9"/>
      <c r="G111" s="2">
        <f>75+380+50</f>
        <v>505</v>
      </c>
    </row>
    <row r="112" spans="1:7" ht="15.75" customHeight="1" x14ac:dyDescent="0.35">
      <c r="A112" s="7">
        <v>44920</v>
      </c>
      <c r="B112" s="8"/>
      <c r="C112" s="8">
        <f>Dezembro!N26</f>
        <v>0</v>
      </c>
      <c r="D112" s="8"/>
      <c r="E112" s="8"/>
      <c r="F112" s="9"/>
    </row>
    <row r="113" spans="1:6" ht="15.75" customHeight="1" x14ac:dyDescent="0.35">
      <c r="A113" s="7">
        <v>44921</v>
      </c>
      <c r="B113" s="8"/>
      <c r="C113" s="8">
        <f>Dezembro!N27</f>
        <v>0</v>
      </c>
      <c r="D113" s="8"/>
      <c r="E113" s="8"/>
      <c r="F113" s="9"/>
    </row>
    <row r="114" spans="1:6" ht="15.75" customHeight="1" x14ac:dyDescent="0.35">
      <c r="A114" s="7">
        <v>44922</v>
      </c>
      <c r="B114" s="8"/>
      <c r="C114" s="8">
        <f>Dezembro!N28</f>
        <v>77</v>
      </c>
      <c r="D114" s="8"/>
      <c r="E114" s="8">
        <f>9.4+1.6+15.35 + 30</f>
        <v>56.35</v>
      </c>
      <c r="F114" s="9" t="s">
        <v>2422</v>
      </c>
    </row>
    <row r="115" spans="1:6" ht="15.75" customHeight="1" x14ac:dyDescent="0.35">
      <c r="A115" s="7">
        <v>44923</v>
      </c>
      <c r="B115" s="8"/>
      <c r="C115" s="8">
        <f>Dezembro!N29</f>
        <v>3.8000000000000114</v>
      </c>
      <c r="D115" s="8"/>
      <c r="E115" s="8"/>
      <c r="F115" s="9"/>
    </row>
    <row r="116" spans="1:6" ht="15.75" customHeight="1" x14ac:dyDescent="0.35">
      <c r="A116" s="7">
        <v>44924</v>
      </c>
      <c r="B116" s="8"/>
      <c r="C116" s="8">
        <f>Dezembro!N30</f>
        <v>34.680000000000007</v>
      </c>
      <c r="D116" s="8"/>
      <c r="E116" s="8"/>
      <c r="F116" s="9"/>
    </row>
    <row r="117" spans="1:6" ht="15.75" customHeight="1" x14ac:dyDescent="0.35">
      <c r="A117" s="7">
        <v>44925</v>
      </c>
      <c r="B117" s="8"/>
      <c r="C117" s="8">
        <f>Dezembro!N31</f>
        <v>131.16000000000003</v>
      </c>
      <c r="D117" s="8"/>
      <c r="E117" s="8">
        <v>61.04</v>
      </c>
      <c r="F117" s="9" t="s">
        <v>2423</v>
      </c>
    </row>
    <row r="118" spans="1:6" ht="15.75" customHeight="1" x14ac:dyDescent="0.35">
      <c r="A118" s="7">
        <v>44926</v>
      </c>
      <c r="B118" s="8"/>
      <c r="C118" s="8">
        <f>Dezembro!N32</f>
        <v>63.44</v>
      </c>
      <c r="D118" s="8"/>
      <c r="E118" s="8"/>
      <c r="F118" s="9"/>
    </row>
    <row r="119" spans="1:6" ht="15.75" customHeight="1" x14ac:dyDescent="0.35">
      <c r="A119" s="10"/>
      <c r="B119" s="11"/>
      <c r="C119" s="11"/>
      <c r="D119" s="11"/>
      <c r="E119" s="11"/>
      <c r="F119" s="10"/>
    </row>
    <row r="120" spans="1:6" ht="15.75" customHeight="1" x14ac:dyDescent="0.35">
      <c r="A120" s="7">
        <v>44927</v>
      </c>
      <c r="B120" s="8"/>
      <c r="C120" s="8">
        <f>'Jan 23'!N2</f>
        <v>0</v>
      </c>
      <c r="D120" s="8"/>
      <c r="E120" s="8"/>
      <c r="F120" s="9"/>
    </row>
    <row r="121" spans="1:6" ht="15.75" customHeight="1" x14ac:dyDescent="0.35">
      <c r="A121" s="7">
        <v>44928</v>
      </c>
      <c r="B121" s="8"/>
      <c r="C121" s="8">
        <f>'Jan 23'!N3</f>
        <v>0</v>
      </c>
      <c r="D121" s="8"/>
      <c r="E121" s="8"/>
      <c r="F121" s="9"/>
    </row>
    <row r="122" spans="1:6" ht="15.75" customHeight="1" x14ac:dyDescent="0.35">
      <c r="A122" s="7">
        <v>44929</v>
      </c>
      <c r="B122" s="8"/>
      <c r="C122" s="8">
        <f>'Jan 23'!N4</f>
        <v>91.400000000000034</v>
      </c>
      <c r="D122" s="8"/>
      <c r="E122" s="8"/>
      <c r="F122" s="9"/>
    </row>
    <row r="123" spans="1:6" ht="15.75" customHeight="1" x14ac:dyDescent="0.35">
      <c r="A123" s="7">
        <v>44930</v>
      </c>
      <c r="B123" s="8"/>
      <c r="C123" s="8">
        <f>'Jan 23'!N5</f>
        <v>61.360000000000014</v>
      </c>
      <c r="D123" s="8"/>
      <c r="E123" s="8">
        <v>170.93</v>
      </c>
      <c r="F123" s="9" t="s">
        <v>3</v>
      </c>
    </row>
    <row r="124" spans="1:6" ht="15.75" customHeight="1" x14ac:dyDescent="0.35">
      <c r="A124" s="7">
        <v>44931</v>
      </c>
      <c r="B124" s="8"/>
      <c r="C124" s="8">
        <f>'Jan 23'!N6</f>
        <v>62.999999999999972</v>
      </c>
      <c r="D124" s="8"/>
      <c r="E124" s="8">
        <v>108.6</v>
      </c>
      <c r="F124" s="9" t="s">
        <v>2424</v>
      </c>
    </row>
    <row r="125" spans="1:6" ht="15.75" customHeight="1" x14ac:dyDescent="0.35">
      <c r="A125" s="7">
        <v>44932</v>
      </c>
      <c r="B125" s="8"/>
      <c r="C125" s="8">
        <f>'Jan 23'!N7</f>
        <v>74.599999999999994</v>
      </c>
      <c r="D125" s="8"/>
      <c r="E125" s="8">
        <f>38.35+150.86</f>
        <v>189.21</v>
      </c>
      <c r="F125" s="9" t="s">
        <v>2425</v>
      </c>
    </row>
    <row r="126" spans="1:6" ht="15.75" customHeight="1" x14ac:dyDescent="0.35">
      <c r="A126" s="7">
        <v>44933</v>
      </c>
      <c r="B126" s="8"/>
      <c r="C126" s="8">
        <f>'Jan 23'!N8</f>
        <v>9</v>
      </c>
      <c r="D126" s="8"/>
      <c r="E126" s="8"/>
      <c r="F126" s="9"/>
    </row>
    <row r="127" spans="1:6" ht="15.75" customHeight="1" x14ac:dyDescent="0.35">
      <c r="A127" s="7">
        <v>44934</v>
      </c>
      <c r="B127" s="8"/>
      <c r="C127" s="8">
        <f>'Jan 23'!N9</f>
        <v>62.200000000000017</v>
      </c>
      <c r="D127" s="8"/>
      <c r="E127" s="8"/>
      <c r="F127" s="9"/>
    </row>
    <row r="128" spans="1:6" ht="15.75" customHeight="1" x14ac:dyDescent="0.35">
      <c r="A128" s="7">
        <v>44935</v>
      </c>
      <c r="B128" s="8"/>
      <c r="C128" s="8">
        <f>'Jan 23'!N10</f>
        <v>0</v>
      </c>
      <c r="D128" s="8"/>
      <c r="E128" s="8"/>
      <c r="F128" s="9"/>
    </row>
    <row r="129" spans="1:6" ht="15.75" customHeight="1" x14ac:dyDescent="0.35">
      <c r="A129" s="7">
        <v>44936</v>
      </c>
      <c r="B129" s="8"/>
      <c r="C129" s="8">
        <f>'Jan 23'!N11</f>
        <v>42.629999999999995</v>
      </c>
      <c r="D129" s="8"/>
      <c r="E129" s="8">
        <f>29</f>
        <v>29</v>
      </c>
      <c r="F129" s="9" t="s">
        <v>2426</v>
      </c>
    </row>
    <row r="130" spans="1:6" ht="15.75" customHeight="1" x14ac:dyDescent="0.35">
      <c r="A130" s="7">
        <v>44937</v>
      </c>
      <c r="B130" s="8"/>
      <c r="C130" s="8">
        <f>'Jan 23'!N12</f>
        <v>68.500000000000057</v>
      </c>
      <c r="D130" s="8"/>
      <c r="E130" s="8">
        <f>11.43 + 84+154.02</f>
        <v>249.45000000000002</v>
      </c>
      <c r="F130" s="9" t="s">
        <v>2427</v>
      </c>
    </row>
    <row r="131" spans="1:6" ht="15.75" customHeight="1" x14ac:dyDescent="0.35">
      <c r="A131" s="7">
        <v>44938</v>
      </c>
      <c r="B131" s="8"/>
      <c r="C131" s="8">
        <f>'Jan 23'!N13</f>
        <v>41.200000000000017</v>
      </c>
      <c r="D131" s="8"/>
      <c r="E131" s="8"/>
      <c r="F131" s="9"/>
    </row>
    <row r="132" spans="1:6" ht="15.75" customHeight="1" x14ac:dyDescent="0.35">
      <c r="A132" s="7">
        <v>44939</v>
      </c>
      <c r="B132" s="8"/>
      <c r="C132" s="8">
        <f>'Jan 23'!N14</f>
        <v>84.899999999999977</v>
      </c>
      <c r="D132" s="1"/>
      <c r="E132" s="8">
        <f>6.06</f>
        <v>6.06</v>
      </c>
      <c r="F132" s="9" t="s">
        <v>2417</v>
      </c>
    </row>
    <row r="133" spans="1:6" ht="15.75" customHeight="1" x14ac:dyDescent="0.35">
      <c r="A133" s="7">
        <v>44940</v>
      </c>
      <c r="B133" s="8"/>
      <c r="C133" s="8">
        <f>'Jan 23'!N15</f>
        <v>148.20000000000005</v>
      </c>
      <c r="D133" s="8"/>
      <c r="E133" s="8"/>
      <c r="F133" s="9"/>
    </row>
    <row r="134" spans="1:6" ht="15.75" customHeight="1" x14ac:dyDescent="0.35">
      <c r="A134" s="7">
        <v>44941</v>
      </c>
      <c r="B134" s="8"/>
      <c r="C134" s="8">
        <f>'Jan 23'!N16</f>
        <v>135.64999999999998</v>
      </c>
      <c r="D134" s="8"/>
      <c r="E134" s="8"/>
      <c r="F134" s="9"/>
    </row>
    <row r="135" spans="1:6" ht="15.75" customHeight="1" x14ac:dyDescent="0.35">
      <c r="A135" s="7">
        <v>44942</v>
      </c>
      <c r="B135" s="8"/>
      <c r="C135" s="8">
        <f>'Jan 23'!N17</f>
        <v>0</v>
      </c>
      <c r="D135" s="8"/>
      <c r="E135" s="8">
        <v>130</v>
      </c>
      <c r="F135" s="9" t="s">
        <v>2428</v>
      </c>
    </row>
    <row r="136" spans="1:6" ht="15.75" customHeight="1" x14ac:dyDescent="0.35">
      <c r="A136" s="7">
        <v>44943</v>
      </c>
      <c r="B136" s="8"/>
      <c r="C136" s="8">
        <f>'Jan 23'!N18</f>
        <v>27</v>
      </c>
      <c r="D136" s="8"/>
      <c r="E136" s="8"/>
      <c r="F136" s="9"/>
    </row>
    <row r="137" spans="1:6" ht="15.75" customHeight="1" x14ac:dyDescent="0.35">
      <c r="A137" s="7">
        <v>44944</v>
      </c>
      <c r="B137" s="8"/>
      <c r="C137" s="8">
        <f>'Jan 23'!N19</f>
        <v>31.800000000000011</v>
      </c>
      <c r="D137" s="8"/>
      <c r="E137" s="8">
        <v>102.86</v>
      </c>
      <c r="F137" s="9" t="s">
        <v>2429</v>
      </c>
    </row>
    <row r="138" spans="1:6" ht="15.75" customHeight="1" x14ac:dyDescent="0.35">
      <c r="A138" s="7">
        <v>44945</v>
      </c>
      <c r="B138" s="8"/>
      <c r="C138" s="8">
        <f>'Jan 23'!N20</f>
        <v>26.599999999999994</v>
      </c>
      <c r="D138" s="8"/>
      <c r="E138" s="8"/>
      <c r="F138" s="9"/>
    </row>
    <row r="139" spans="1:6" ht="15.75" customHeight="1" x14ac:dyDescent="0.35">
      <c r="A139" s="7">
        <v>44946</v>
      </c>
      <c r="B139" s="8"/>
      <c r="C139" s="8">
        <f>'Jan 23'!N21</f>
        <v>131.69999999999999</v>
      </c>
      <c r="D139" s="8"/>
      <c r="E139" s="8">
        <f>108+7.47</f>
        <v>115.47</v>
      </c>
      <c r="F139" s="9" t="s">
        <v>2430</v>
      </c>
    </row>
    <row r="140" spans="1:6" ht="15.75" customHeight="1" x14ac:dyDescent="0.35">
      <c r="A140" s="7">
        <v>44947</v>
      </c>
      <c r="B140" s="8"/>
      <c r="C140" s="8">
        <f>'Jan 23'!N22</f>
        <v>193.50000000000011</v>
      </c>
      <c r="D140" s="8"/>
      <c r="E140" s="8">
        <f>33</f>
        <v>33</v>
      </c>
      <c r="F140" s="9" t="s">
        <v>2431</v>
      </c>
    </row>
    <row r="141" spans="1:6" ht="15.75" customHeight="1" x14ac:dyDescent="0.35">
      <c r="A141" s="7">
        <v>44948</v>
      </c>
      <c r="B141" s="8"/>
      <c r="C141" s="8">
        <f>'Jan 23'!N23</f>
        <v>245.10000000000002</v>
      </c>
      <c r="D141" s="8"/>
      <c r="E141" s="8"/>
      <c r="F141" s="9"/>
    </row>
    <row r="142" spans="1:6" ht="15.75" customHeight="1" x14ac:dyDescent="0.35">
      <c r="A142" s="7">
        <v>44949</v>
      </c>
      <c r="B142" s="8"/>
      <c r="C142" s="8">
        <f>'Jan 23'!N24</f>
        <v>0</v>
      </c>
      <c r="D142" s="8"/>
      <c r="E142" s="8"/>
      <c r="F142" s="9"/>
    </row>
    <row r="143" spans="1:6" ht="15.75" customHeight="1" x14ac:dyDescent="0.35">
      <c r="A143" s="7">
        <v>44950</v>
      </c>
      <c r="B143" s="12">
        <v>1025</v>
      </c>
      <c r="C143" s="8">
        <f>'Jan 23'!N25</f>
        <v>72.599999999999994</v>
      </c>
      <c r="D143" s="8"/>
      <c r="E143" s="8">
        <f>3.72+14.56+2.59</f>
        <v>20.87</v>
      </c>
      <c r="F143" s="9" t="s">
        <v>2432</v>
      </c>
    </row>
    <row r="144" spans="1:6" ht="15.75" customHeight="1" x14ac:dyDescent="0.35">
      <c r="A144" s="7">
        <v>44951</v>
      </c>
      <c r="B144" s="8"/>
      <c r="C144" s="8">
        <f>'Jan 23'!N26</f>
        <v>92.47999999999999</v>
      </c>
      <c r="D144" s="8"/>
      <c r="E144" s="8">
        <f>2.99+9.96</f>
        <v>12.950000000000001</v>
      </c>
      <c r="F144" s="9" t="s">
        <v>2417</v>
      </c>
    </row>
    <row r="145" spans="1:6" ht="15.75" customHeight="1" x14ac:dyDescent="0.35">
      <c r="A145" s="7">
        <v>44952</v>
      </c>
      <c r="B145" s="8"/>
      <c r="C145" s="8">
        <f>'Jan 23'!N27</f>
        <v>28.799999999999955</v>
      </c>
      <c r="D145" s="8"/>
      <c r="E145" s="8"/>
      <c r="F145" s="9"/>
    </row>
    <row r="146" spans="1:6" ht="15.75" customHeight="1" x14ac:dyDescent="0.35">
      <c r="A146" s="7">
        <v>44953</v>
      </c>
      <c r="B146" s="8"/>
      <c r="C146" s="8">
        <f>'Jan 23'!N28</f>
        <v>40.600000000000023</v>
      </c>
      <c r="D146" s="8"/>
      <c r="E146" s="8"/>
      <c r="F146" s="9"/>
    </row>
    <row r="147" spans="1:6" ht="15.75" customHeight="1" x14ac:dyDescent="0.35">
      <c r="A147" s="7">
        <v>44954</v>
      </c>
      <c r="B147" s="8"/>
      <c r="C147" s="8">
        <f>'Jan 23'!N29</f>
        <v>196.10000000000002</v>
      </c>
      <c r="D147" s="8"/>
      <c r="E147" s="8"/>
      <c r="F147" s="9"/>
    </row>
    <row r="148" spans="1:6" ht="15.75" customHeight="1" x14ac:dyDescent="0.35">
      <c r="A148" s="7">
        <v>44955</v>
      </c>
      <c r="B148" s="8"/>
      <c r="C148" s="8">
        <f>'Jan 23'!N30</f>
        <v>172.5</v>
      </c>
      <c r="D148" s="8"/>
      <c r="E148" s="8"/>
      <c r="F148" s="9"/>
    </row>
    <row r="149" spans="1:6" ht="15.75" customHeight="1" x14ac:dyDescent="0.35">
      <c r="A149" s="7">
        <v>44956</v>
      </c>
      <c r="B149" s="8"/>
      <c r="C149" s="8">
        <f>'Jan 23'!N31</f>
        <v>0</v>
      </c>
      <c r="D149" s="8"/>
      <c r="E149" s="8"/>
      <c r="F149" s="9"/>
    </row>
    <row r="150" spans="1:6" ht="15.75" customHeight="1" x14ac:dyDescent="0.35">
      <c r="A150" s="7">
        <v>44957</v>
      </c>
      <c r="B150" s="8"/>
      <c r="C150" s="8">
        <f>'Jan 23'!N32</f>
        <v>33.199999999999989</v>
      </c>
      <c r="D150" s="8"/>
      <c r="E150" s="8">
        <v>13.11</v>
      </c>
      <c r="F150" s="9" t="s">
        <v>2417</v>
      </c>
    </row>
    <row r="151" spans="1:6" ht="15.75" customHeight="1" x14ac:dyDescent="0.35">
      <c r="A151" s="10"/>
      <c r="B151" s="11"/>
      <c r="C151" s="11"/>
      <c r="D151" s="11"/>
      <c r="E151" s="11"/>
      <c r="F151" s="10"/>
    </row>
    <row r="152" spans="1:6" ht="15.75" customHeight="1" x14ac:dyDescent="0.35">
      <c r="A152" s="7">
        <v>44958</v>
      </c>
      <c r="B152" s="8"/>
      <c r="C152" s="8">
        <f>'Fev 23 '!N2</f>
        <v>58.300000000000011</v>
      </c>
      <c r="D152" s="8"/>
      <c r="E152" s="8">
        <v>211.66</v>
      </c>
      <c r="F152" s="9" t="s">
        <v>2433</v>
      </c>
    </row>
    <row r="153" spans="1:6" ht="15.75" customHeight="1" x14ac:dyDescent="0.35">
      <c r="A153" s="7">
        <v>44959</v>
      </c>
      <c r="B153" s="8"/>
      <c r="C153" s="8">
        <f>'Fev 23 '!N3</f>
        <v>70.700000000000017</v>
      </c>
      <c r="D153" s="8"/>
      <c r="E153" s="8">
        <v>23.25</v>
      </c>
      <c r="F153" s="9" t="s">
        <v>2434</v>
      </c>
    </row>
    <row r="154" spans="1:6" ht="15.75" customHeight="1" x14ac:dyDescent="0.35">
      <c r="A154" s="7">
        <v>44960</v>
      </c>
      <c r="B154" s="8"/>
      <c r="C154" s="8">
        <f>'Fev 23 '!N4</f>
        <v>106.25999999999999</v>
      </c>
      <c r="D154" s="8"/>
      <c r="E154" s="8"/>
      <c r="F154" s="9"/>
    </row>
    <row r="155" spans="1:6" ht="15.75" customHeight="1" x14ac:dyDescent="0.35">
      <c r="A155" s="7">
        <v>44961</v>
      </c>
      <c r="B155" s="8"/>
      <c r="C155" s="8">
        <f>'Fev 23 '!N5</f>
        <v>269.20999999999981</v>
      </c>
      <c r="D155" s="8"/>
      <c r="E155" s="8"/>
      <c r="F155" s="9"/>
    </row>
    <row r="156" spans="1:6" ht="15.75" customHeight="1" x14ac:dyDescent="0.35">
      <c r="A156" s="7">
        <v>44962</v>
      </c>
      <c r="B156" s="8"/>
      <c r="C156" s="8">
        <f>'Fev 23 '!N6</f>
        <v>199.09999999999991</v>
      </c>
      <c r="D156" s="8"/>
      <c r="E156" s="8">
        <v>4.5199999999999996</v>
      </c>
      <c r="F156" s="9" t="s">
        <v>2435</v>
      </c>
    </row>
    <row r="157" spans="1:6" ht="15.75" customHeight="1" x14ac:dyDescent="0.35">
      <c r="A157" s="7">
        <v>44963</v>
      </c>
      <c r="B157" s="8"/>
      <c r="C157" s="8">
        <f>'Fev 23 '!N7</f>
        <v>0</v>
      </c>
      <c r="D157" s="8"/>
      <c r="E157" s="8"/>
      <c r="F157" s="9"/>
    </row>
    <row r="158" spans="1:6" ht="15.75" customHeight="1" x14ac:dyDescent="0.35">
      <c r="A158" s="7">
        <v>44964</v>
      </c>
      <c r="B158" s="8"/>
      <c r="C158" s="8">
        <f>'Fev 23 '!N8</f>
        <v>42.5</v>
      </c>
      <c r="D158" s="8"/>
      <c r="E158" s="8">
        <v>1.69</v>
      </c>
      <c r="F158" s="9" t="s">
        <v>2435</v>
      </c>
    </row>
    <row r="159" spans="1:6" ht="15.75" customHeight="1" x14ac:dyDescent="0.35">
      <c r="A159" s="7">
        <v>44965</v>
      </c>
      <c r="B159" s="8"/>
      <c r="C159" s="8">
        <f>'Fev 23 '!N9</f>
        <v>30.799999999999983</v>
      </c>
      <c r="D159" s="8"/>
      <c r="E159" s="8"/>
      <c r="F159" s="9"/>
    </row>
    <row r="160" spans="1:6" ht="15.75" customHeight="1" x14ac:dyDescent="0.35">
      <c r="A160" s="7">
        <v>44966</v>
      </c>
      <c r="B160" s="8"/>
      <c r="C160" s="8">
        <f>'Fev 23 '!N10</f>
        <v>118.27999999999997</v>
      </c>
      <c r="D160" s="8"/>
      <c r="E160" s="8">
        <v>221.9</v>
      </c>
      <c r="F160" s="9" t="s">
        <v>2436</v>
      </c>
    </row>
    <row r="161" spans="1:6" ht="15.75" customHeight="1" x14ac:dyDescent="0.35">
      <c r="A161" s="7">
        <v>44967</v>
      </c>
      <c r="B161" s="8"/>
      <c r="C161" s="8">
        <f>'Fev 23 '!N11</f>
        <v>63</v>
      </c>
      <c r="D161" s="8"/>
      <c r="E161" s="8">
        <f>221.02+46.91 +43.05+10.06+1.59</f>
        <v>322.63</v>
      </c>
      <c r="F161" s="9" t="s">
        <v>2437</v>
      </c>
    </row>
    <row r="162" spans="1:6" ht="15.75" customHeight="1" x14ac:dyDescent="0.35">
      <c r="A162" s="7">
        <v>44968</v>
      </c>
      <c r="B162" s="8"/>
      <c r="C162" s="8">
        <f>'Fev 23 '!N12</f>
        <v>267.12000000000012</v>
      </c>
      <c r="D162" s="8"/>
      <c r="E162" s="8"/>
      <c r="F162" s="9"/>
    </row>
    <row r="163" spans="1:6" ht="15.75" customHeight="1" x14ac:dyDescent="0.35">
      <c r="A163" s="7">
        <v>44969</v>
      </c>
      <c r="B163" s="8"/>
      <c r="C163" s="8">
        <f>'Fev 23 '!N13</f>
        <v>150.67999999999995</v>
      </c>
      <c r="D163" s="8"/>
      <c r="E163" s="8"/>
      <c r="F163" s="9"/>
    </row>
    <row r="164" spans="1:6" ht="15.75" customHeight="1" x14ac:dyDescent="0.35">
      <c r="A164" s="7">
        <v>44970</v>
      </c>
      <c r="B164" s="8"/>
      <c r="C164" s="8">
        <f>'Fev 23 '!N14</f>
        <v>0</v>
      </c>
      <c r="D164" s="1"/>
      <c r="E164" s="8"/>
      <c r="F164" s="9"/>
    </row>
    <row r="165" spans="1:6" ht="15.75" customHeight="1" x14ac:dyDescent="0.35">
      <c r="A165" s="7">
        <v>44971</v>
      </c>
      <c r="B165" s="8"/>
      <c r="C165" s="8">
        <f>'Fev 23 '!N15</f>
        <v>175.67999999999995</v>
      </c>
      <c r="D165" s="8"/>
      <c r="E165" s="8">
        <v>4.78</v>
      </c>
      <c r="F165" s="9" t="s">
        <v>2435</v>
      </c>
    </row>
    <row r="166" spans="1:6" ht="15.75" customHeight="1" x14ac:dyDescent="0.35">
      <c r="A166" s="7">
        <v>44972</v>
      </c>
      <c r="B166" s="12">
        <v>1330</v>
      </c>
      <c r="C166" s="8">
        <f>'Fev 23 '!N16</f>
        <v>72.199999999999989</v>
      </c>
      <c r="D166" s="8"/>
      <c r="E166" s="8">
        <v>45</v>
      </c>
      <c r="F166" s="9" t="s">
        <v>2438</v>
      </c>
    </row>
    <row r="167" spans="1:6" ht="15.75" customHeight="1" x14ac:dyDescent="0.35">
      <c r="A167" s="7">
        <v>44973</v>
      </c>
      <c r="B167" s="8"/>
      <c r="C167" s="8">
        <f>'Fev 23 '!N17</f>
        <v>54.699999999999989</v>
      </c>
      <c r="D167" s="8"/>
      <c r="E167" s="8">
        <f>151.32</f>
        <v>151.32</v>
      </c>
      <c r="F167" s="9" t="s">
        <v>2439</v>
      </c>
    </row>
    <row r="168" spans="1:6" ht="15.75" customHeight="1" x14ac:dyDescent="0.35">
      <c r="A168" s="7">
        <v>44974</v>
      </c>
      <c r="B168" s="8"/>
      <c r="C168" s="8">
        <f>'Fev 23 '!N18</f>
        <v>179.10000000000002</v>
      </c>
      <c r="D168" s="8"/>
      <c r="E168" s="8"/>
      <c r="F168" s="9"/>
    </row>
    <row r="169" spans="1:6" ht="15.75" customHeight="1" x14ac:dyDescent="0.35">
      <c r="A169" s="7">
        <v>44975</v>
      </c>
      <c r="B169" s="8"/>
      <c r="C169" s="8">
        <f>'Fev 23 '!N19</f>
        <v>278.10000000000002</v>
      </c>
      <c r="D169" s="8"/>
      <c r="E169" s="8"/>
      <c r="F169" s="9"/>
    </row>
    <row r="170" spans="1:6" ht="15.75" customHeight="1" x14ac:dyDescent="0.35">
      <c r="A170" s="7">
        <v>44976</v>
      </c>
      <c r="B170" s="8"/>
      <c r="C170" s="8">
        <f>'Fev 23 '!N20</f>
        <v>215.89999999999998</v>
      </c>
      <c r="D170" s="8"/>
      <c r="E170" s="8">
        <f>14.95</f>
        <v>14.95</v>
      </c>
      <c r="F170" s="9" t="s">
        <v>2440</v>
      </c>
    </row>
    <row r="171" spans="1:6" ht="15.75" customHeight="1" x14ac:dyDescent="0.35">
      <c r="A171" s="7">
        <v>44977</v>
      </c>
      <c r="B171" s="8"/>
      <c r="C171" s="8">
        <f>'Fev 23 '!N21</f>
        <v>0</v>
      </c>
      <c r="D171" s="8"/>
      <c r="E171" s="8"/>
      <c r="F171" s="9"/>
    </row>
    <row r="172" spans="1:6" ht="15.75" customHeight="1" x14ac:dyDescent="0.35">
      <c r="A172" s="7">
        <v>44978</v>
      </c>
      <c r="B172" s="8"/>
      <c r="C172" s="8">
        <f>'Fev 23 '!N22</f>
        <v>215.19999999999993</v>
      </c>
      <c r="D172" s="8"/>
      <c r="E172" s="8"/>
      <c r="F172" s="9"/>
    </row>
    <row r="173" spans="1:6" ht="15.75" customHeight="1" x14ac:dyDescent="0.35">
      <c r="A173" s="7">
        <v>44979</v>
      </c>
      <c r="B173" s="8"/>
      <c r="C173" s="8">
        <f>'Fev 23 '!N23</f>
        <v>110.10000000000002</v>
      </c>
      <c r="D173" s="8"/>
      <c r="E173" s="8">
        <f>129.3+ 445</f>
        <v>574.29999999999995</v>
      </c>
      <c r="F173" s="9" t="s">
        <v>2441</v>
      </c>
    </row>
    <row r="174" spans="1:6" ht="15.75" customHeight="1" x14ac:dyDescent="0.35">
      <c r="A174" s="7">
        <v>44980</v>
      </c>
      <c r="B174" s="8"/>
      <c r="C174" s="8">
        <f>'Fev 23 '!N24</f>
        <v>29.5</v>
      </c>
      <c r="D174" s="8"/>
      <c r="E174" s="8"/>
      <c r="F174" s="9"/>
    </row>
    <row r="175" spans="1:6" ht="15.75" customHeight="1" x14ac:dyDescent="0.35">
      <c r="A175" s="7">
        <v>44981</v>
      </c>
      <c r="B175" s="8"/>
      <c r="C175" s="8">
        <f>'Fev 23 '!N25</f>
        <v>118.19999999999999</v>
      </c>
      <c r="D175" s="8"/>
      <c r="E175" s="8">
        <f>218</f>
        <v>218</v>
      </c>
      <c r="F175" s="9" t="s">
        <v>2421</v>
      </c>
    </row>
    <row r="176" spans="1:6" ht="15.75" customHeight="1" x14ac:dyDescent="0.35">
      <c r="A176" s="7">
        <v>44982</v>
      </c>
      <c r="B176" s="8"/>
      <c r="C176" s="8">
        <f>'Fev 23 '!N26</f>
        <v>111.48000000000002</v>
      </c>
      <c r="D176" s="8"/>
      <c r="E176" s="8"/>
      <c r="F176" s="9"/>
    </row>
    <row r="177" spans="1:6" ht="15.75" customHeight="1" x14ac:dyDescent="0.35">
      <c r="A177" s="7">
        <v>44983</v>
      </c>
      <c r="B177" s="8"/>
      <c r="C177" s="8">
        <f>'Fev 23 '!N27</f>
        <v>230.69999999999982</v>
      </c>
      <c r="D177" s="8"/>
      <c r="E177" s="8"/>
      <c r="F177" s="9"/>
    </row>
    <row r="178" spans="1:6" ht="15.75" customHeight="1" x14ac:dyDescent="0.35">
      <c r="A178" s="7">
        <v>44984</v>
      </c>
      <c r="B178" s="8"/>
      <c r="C178" s="8">
        <f>'Fev 23 '!N28</f>
        <v>0</v>
      </c>
      <c r="D178" s="8"/>
      <c r="E178" s="8"/>
      <c r="F178" s="9"/>
    </row>
    <row r="179" spans="1:6" ht="15.75" customHeight="1" x14ac:dyDescent="0.35">
      <c r="A179" s="7">
        <v>44985</v>
      </c>
      <c r="B179" s="8"/>
      <c r="C179" s="8">
        <f>'Fev 23 '!N29</f>
        <v>82.500000000000028</v>
      </c>
      <c r="D179" s="8"/>
      <c r="E179" s="8"/>
      <c r="F179" s="9"/>
    </row>
    <row r="180" spans="1:6" ht="15.75" customHeight="1" x14ac:dyDescent="0.35">
      <c r="A180" s="14"/>
      <c r="B180" s="15"/>
      <c r="C180" s="15"/>
      <c r="D180" s="15"/>
      <c r="E180" s="15"/>
      <c r="F180" s="16"/>
    </row>
    <row r="181" spans="1:6" ht="15.75" customHeight="1" x14ac:dyDescent="0.35">
      <c r="A181" s="7">
        <v>44986</v>
      </c>
      <c r="B181" s="8"/>
      <c r="C181" s="8">
        <f>'Mar 23'!N2</f>
        <v>54.300000000000011</v>
      </c>
      <c r="D181" s="8"/>
      <c r="E181" s="8"/>
      <c r="F181" s="9"/>
    </row>
    <row r="182" spans="1:6" ht="15.75" customHeight="1" x14ac:dyDescent="0.35">
      <c r="A182" s="7">
        <v>44987</v>
      </c>
      <c r="B182" s="8"/>
      <c r="C182" s="8">
        <f>'Mar 23'!N3</f>
        <v>21.399999999999977</v>
      </c>
      <c r="D182" s="8"/>
      <c r="E182" s="8">
        <f>91.43</f>
        <v>91.43</v>
      </c>
      <c r="F182" s="9" t="s">
        <v>2442</v>
      </c>
    </row>
    <row r="183" spans="1:6" ht="15.75" customHeight="1" x14ac:dyDescent="0.35">
      <c r="A183" s="7">
        <v>44988</v>
      </c>
      <c r="B183" s="8"/>
      <c r="C183" s="8">
        <f>'Mar 23'!N4</f>
        <v>88.699999999999989</v>
      </c>
      <c r="D183" s="8"/>
      <c r="E183" s="8">
        <f>22.75+44</f>
        <v>66.75</v>
      </c>
      <c r="F183" s="9" t="s">
        <v>2443</v>
      </c>
    </row>
    <row r="184" spans="1:6" ht="15.75" customHeight="1" x14ac:dyDescent="0.35">
      <c r="A184" s="7">
        <v>44989</v>
      </c>
      <c r="B184" s="8"/>
      <c r="C184" s="8">
        <f>'Mar 23'!N5</f>
        <v>410.02</v>
      </c>
      <c r="D184" s="8"/>
      <c r="E184" s="8"/>
      <c r="F184" s="9"/>
    </row>
    <row r="185" spans="1:6" ht="15.75" customHeight="1" x14ac:dyDescent="0.35">
      <c r="A185" s="7">
        <v>44990</v>
      </c>
      <c r="B185" s="8"/>
      <c r="C185" s="8">
        <f>'Mar 23'!N6</f>
        <v>66.140000000000043</v>
      </c>
      <c r="D185" s="8"/>
      <c r="E185" s="8"/>
      <c r="F185" s="9"/>
    </row>
    <row r="186" spans="1:6" ht="15.75" customHeight="1" x14ac:dyDescent="0.35">
      <c r="A186" s="7">
        <v>44991</v>
      </c>
      <c r="B186" s="8"/>
      <c r="C186" s="8">
        <f>'Mar 23'!N7</f>
        <v>0</v>
      </c>
      <c r="D186" s="8"/>
      <c r="E186" s="8"/>
      <c r="F186" s="9"/>
    </row>
    <row r="187" spans="1:6" ht="15.75" customHeight="1" x14ac:dyDescent="0.35">
      <c r="A187" s="7">
        <v>44992</v>
      </c>
      <c r="B187" s="8"/>
      <c r="C187" s="8">
        <f>'Mar 23'!N8</f>
        <v>94.6</v>
      </c>
      <c r="D187" s="8"/>
      <c r="E187" s="8">
        <f>206.13</f>
        <v>206.13</v>
      </c>
      <c r="F187" s="9" t="s">
        <v>2444</v>
      </c>
    </row>
    <row r="188" spans="1:6" ht="15.75" customHeight="1" x14ac:dyDescent="0.35">
      <c r="A188" s="7">
        <v>44993</v>
      </c>
      <c r="B188" s="8"/>
      <c r="C188" s="8" t="e">
        <f>'Mar 23'!N9</f>
        <v>#REF!</v>
      </c>
      <c r="D188" s="8"/>
      <c r="E188" s="8">
        <f>102.18+7.85+37.73 + 16.66</f>
        <v>164.42</v>
      </c>
      <c r="F188" s="9" t="s">
        <v>2445</v>
      </c>
    </row>
    <row r="189" spans="1:6" ht="15.75" customHeight="1" x14ac:dyDescent="0.35">
      <c r="A189" s="7">
        <v>44994</v>
      </c>
      <c r="B189" s="8"/>
      <c r="C189" s="8">
        <f>'Mar 23'!N10</f>
        <v>19.900000000000006</v>
      </c>
      <c r="D189" s="8"/>
      <c r="E189" s="8"/>
      <c r="F189" s="9"/>
    </row>
    <row r="190" spans="1:6" ht="15.75" customHeight="1" x14ac:dyDescent="0.35">
      <c r="A190" s="7">
        <v>44995</v>
      </c>
      <c r="B190" s="8"/>
      <c r="C190" s="8">
        <f>'Mar 23'!N11</f>
        <v>26.800000000000011</v>
      </c>
      <c r="D190" s="8"/>
      <c r="E190" s="1">
        <f>5.36</f>
        <v>5.36</v>
      </c>
      <c r="F190" s="9" t="s">
        <v>2417</v>
      </c>
    </row>
    <row r="191" spans="1:6" ht="15.75" customHeight="1" x14ac:dyDescent="0.35">
      <c r="A191" s="7">
        <v>44996</v>
      </c>
      <c r="B191" s="8"/>
      <c r="C191" s="8">
        <f>'Mar 23'!N12</f>
        <v>228.61</v>
      </c>
      <c r="D191" s="8"/>
      <c r="E191" s="8">
        <f>3.07</f>
        <v>3.07</v>
      </c>
      <c r="F191" s="9" t="s">
        <v>2417</v>
      </c>
    </row>
    <row r="192" spans="1:6" ht="15.75" customHeight="1" x14ac:dyDescent="0.35">
      <c r="A192" s="7">
        <v>44997</v>
      </c>
      <c r="B192" s="8"/>
      <c r="C192" s="8">
        <f>'Mar 23'!N13</f>
        <v>405.5</v>
      </c>
      <c r="D192" s="8"/>
      <c r="E192" s="8"/>
      <c r="F192" s="9"/>
    </row>
    <row r="193" spans="1:6" ht="15.75" customHeight="1" x14ac:dyDescent="0.35">
      <c r="A193" s="7">
        <v>44998</v>
      </c>
      <c r="B193" s="12">
        <v>1010</v>
      </c>
      <c r="C193" s="8">
        <f>'Mar 23'!N14</f>
        <v>0</v>
      </c>
      <c r="D193" s="8"/>
      <c r="E193" s="8">
        <f>(216.79+126.69+92.07)+(198.08)</f>
        <v>633.63</v>
      </c>
      <c r="F193" s="9" t="s">
        <v>2446</v>
      </c>
    </row>
    <row r="194" spans="1:6" ht="15.75" customHeight="1" x14ac:dyDescent="0.35">
      <c r="A194" s="7">
        <v>44999</v>
      </c>
      <c r="B194" s="8"/>
      <c r="C194" s="8">
        <f>'Mar 23'!N15</f>
        <v>73.200000000000045</v>
      </c>
      <c r="D194" s="8"/>
      <c r="E194" s="8">
        <f>58.25+69</f>
        <v>127.25</v>
      </c>
      <c r="F194" s="9" t="s">
        <v>2447</v>
      </c>
    </row>
    <row r="195" spans="1:6" ht="15.75" customHeight="1" x14ac:dyDescent="0.35">
      <c r="A195" s="7">
        <v>45000</v>
      </c>
      <c r="B195" s="8"/>
      <c r="C195" s="8">
        <f>'Mar 23'!N16</f>
        <v>90.62</v>
      </c>
      <c r="D195" s="8"/>
      <c r="E195" s="8">
        <f>189.83 + 25</f>
        <v>214.83</v>
      </c>
      <c r="F195" s="9" t="s">
        <v>2448</v>
      </c>
    </row>
    <row r="196" spans="1:6" ht="15.75" customHeight="1" x14ac:dyDescent="0.35">
      <c r="A196" s="7">
        <v>45001</v>
      </c>
      <c r="B196" s="8"/>
      <c r="C196" s="8">
        <f>'Mar 23'!N17</f>
        <v>49.599999999999994</v>
      </c>
      <c r="D196" s="8"/>
      <c r="E196" s="8">
        <f>2.38</f>
        <v>2.38</v>
      </c>
      <c r="F196" s="9" t="s">
        <v>2417</v>
      </c>
    </row>
    <row r="197" spans="1:6" ht="15.75" customHeight="1" x14ac:dyDescent="0.35">
      <c r="A197" s="7">
        <v>45002</v>
      </c>
      <c r="B197" s="8"/>
      <c r="C197" s="8" t="e">
        <f>'Mar 23'!N18</f>
        <v>#REF!</v>
      </c>
      <c r="D197" s="8"/>
      <c r="E197" s="8">
        <f>38.96 + 3.7 + 141</f>
        <v>183.66</v>
      </c>
      <c r="F197" s="9" t="s">
        <v>2449</v>
      </c>
    </row>
    <row r="198" spans="1:6" ht="15.75" customHeight="1" x14ac:dyDescent="0.35">
      <c r="A198" s="7">
        <v>45003</v>
      </c>
      <c r="B198" s="8"/>
      <c r="C198" s="8" t="e">
        <f>'Mar 23'!N19</f>
        <v>#REF!</v>
      </c>
      <c r="D198" s="8"/>
      <c r="E198" s="8"/>
      <c r="F198" s="9"/>
    </row>
    <row r="199" spans="1:6" ht="15.75" customHeight="1" x14ac:dyDescent="0.35">
      <c r="A199" s="7">
        <v>45004</v>
      </c>
      <c r="B199" s="8"/>
      <c r="C199" s="8">
        <f>'Mar 23'!N20</f>
        <v>308.02999999999997</v>
      </c>
      <c r="D199" s="8"/>
      <c r="E199" s="8">
        <f>9.96</f>
        <v>9.9600000000000009</v>
      </c>
      <c r="F199" s="9" t="s">
        <v>2417</v>
      </c>
    </row>
    <row r="200" spans="1:6" ht="15.75" customHeight="1" x14ac:dyDescent="0.35">
      <c r="A200" s="7">
        <v>45005</v>
      </c>
      <c r="B200" s="8"/>
      <c r="C200" s="8">
        <f>'Mar 23'!N21</f>
        <v>0</v>
      </c>
      <c r="D200" s="8"/>
      <c r="E200" s="8"/>
      <c r="F200" s="9"/>
    </row>
    <row r="201" spans="1:6" ht="15.75" customHeight="1" x14ac:dyDescent="0.35">
      <c r="A201" s="7">
        <v>45006</v>
      </c>
      <c r="B201" s="8"/>
      <c r="C201" s="8">
        <f>'Mar 23'!N22</f>
        <v>120.82</v>
      </c>
      <c r="D201" s="8"/>
      <c r="E201" s="8">
        <f>47.38</f>
        <v>47.38</v>
      </c>
      <c r="F201" s="9" t="s">
        <v>2450</v>
      </c>
    </row>
    <row r="202" spans="1:6" ht="15.75" customHeight="1" x14ac:dyDescent="0.35">
      <c r="A202" s="7">
        <v>45007</v>
      </c>
      <c r="B202" s="8"/>
      <c r="C202" s="8">
        <f>'Mar 23'!N23</f>
        <v>149.42000000000002</v>
      </c>
      <c r="D202" s="8"/>
      <c r="E202" s="8"/>
      <c r="F202" s="9"/>
    </row>
    <row r="203" spans="1:6" ht="15.75" customHeight="1" x14ac:dyDescent="0.35">
      <c r="A203" s="7">
        <v>45008</v>
      </c>
      <c r="B203" s="8"/>
      <c r="C203" s="8">
        <f>'Mar 23'!N24</f>
        <v>26.699999999999989</v>
      </c>
      <c r="D203" s="8"/>
      <c r="E203" s="8"/>
      <c r="F203" s="9"/>
    </row>
    <row r="204" spans="1:6" ht="15.75" customHeight="1" x14ac:dyDescent="0.35">
      <c r="A204" s="7">
        <v>45009</v>
      </c>
      <c r="B204" s="8"/>
      <c r="C204" s="8">
        <f>'Mar 23'!N25</f>
        <v>213.36</v>
      </c>
      <c r="D204" s="8"/>
      <c r="E204" s="8"/>
      <c r="F204" s="9"/>
    </row>
    <row r="205" spans="1:6" ht="15.75" customHeight="1" x14ac:dyDescent="0.35">
      <c r="A205" s="7">
        <v>45010</v>
      </c>
      <c r="B205" s="8"/>
      <c r="C205" s="8">
        <f>'Mar 23'!N26</f>
        <v>189.38</v>
      </c>
      <c r="D205" s="8"/>
      <c r="E205" s="8"/>
      <c r="F205" s="9"/>
    </row>
    <row r="206" spans="1:6" ht="15.75" customHeight="1" x14ac:dyDescent="0.35">
      <c r="A206" s="7">
        <v>45011</v>
      </c>
      <c r="B206" s="8"/>
      <c r="C206" s="8">
        <f>'Mar 23'!N27</f>
        <v>372.20000000000005</v>
      </c>
      <c r="D206" s="8"/>
      <c r="E206" s="8"/>
      <c r="F206" s="9"/>
    </row>
    <row r="207" spans="1:6" ht="15.75" customHeight="1" x14ac:dyDescent="0.35">
      <c r="A207" s="7">
        <v>45012</v>
      </c>
      <c r="B207" s="8"/>
      <c r="C207" s="8">
        <f>'Mar 23'!N28</f>
        <v>0</v>
      </c>
      <c r="D207" s="8"/>
      <c r="E207" s="8"/>
      <c r="F207" s="9"/>
    </row>
    <row r="208" spans="1:6" ht="15.75" customHeight="1" x14ac:dyDescent="0.35">
      <c r="A208" s="7">
        <v>45013</v>
      </c>
      <c r="B208" s="8"/>
      <c r="C208" s="8">
        <f>'Mar 23'!N29</f>
        <v>117.19999999999999</v>
      </c>
      <c r="D208" s="8"/>
      <c r="E208" s="8">
        <f>3.14</f>
        <v>3.14</v>
      </c>
      <c r="F208" s="9" t="s">
        <v>2417</v>
      </c>
    </row>
    <row r="209" spans="1:26" ht="15.75" customHeight="1" x14ac:dyDescent="0.35">
      <c r="A209" s="7">
        <v>45014</v>
      </c>
      <c r="B209" s="13">
        <v>1445</v>
      </c>
      <c r="C209" s="8">
        <f>'Mar 23'!N30</f>
        <v>113.80000000000001</v>
      </c>
      <c r="D209" s="8"/>
      <c r="E209" s="8">
        <f>1.6 + 34.8</f>
        <v>36.4</v>
      </c>
      <c r="F209" s="9" t="s">
        <v>2451</v>
      </c>
    </row>
    <row r="210" spans="1:26" ht="15.75" customHeight="1" x14ac:dyDescent="0.35">
      <c r="A210" s="7">
        <v>45015</v>
      </c>
      <c r="B210" s="8"/>
      <c r="C210" s="8">
        <f>'Mar 23'!N31</f>
        <v>62.199999999999989</v>
      </c>
      <c r="D210" s="8"/>
      <c r="E210" s="8"/>
      <c r="F210" s="9"/>
    </row>
    <row r="211" spans="1:26" ht="15.75" customHeight="1" x14ac:dyDescent="0.35">
      <c r="A211" s="7">
        <v>45016</v>
      </c>
      <c r="B211" s="8"/>
      <c r="C211" s="8">
        <f>'Mar 23'!N32</f>
        <v>145</v>
      </c>
      <c r="D211" s="8"/>
      <c r="E211" s="8">
        <f>4.98</f>
        <v>4.9800000000000004</v>
      </c>
      <c r="F211" s="9"/>
    </row>
    <row r="212" spans="1:26" ht="15.75" customHeight="1" x14ac:dyDescent="0.35">
      <c r="A212" s="14"/>
      <c r="B212" s="15"/>
      <c r="C212" s="15"/>
      <c r="D212" s="15"/>
      <c r="E212" s="15"/>
      <c r="F212" s="16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35">
      <c r="A213" s="7">
        <v>45017</v>
      </c>
      <c r="B213" s="8"/>
      <c r="C213" s="8">
        <f>'Abril 23'!N2</f>
        <v>145</v>
      </c>
      <c r="D213" s="8"/>
      <c r="E213" s="8"/>
      <c r="F213" s="9"/>
    </row>
    <row r="214" spans="1:26" ht="15.75" customHeight="1" x14ac:dyDescent="0.35">
      <c r="A214" s="7">
        <v>45018</v>
      </c>
      <c r="B214" s="8"/>
      <c r="C214" s="8">
        <f>'Abril 23'!N3</f>
        <v>587.99999999999977</v>
      </c>
      <c r="D214" s="8"/>
      <c r="E214" s="8"/>
      <c r="F214" s="9"/>
    </row>
    <row r="215" spans="1:26" ht="15.75" customHeight="1" x14ac:dyDescent="0.35">
      <c r="A215" s="7">
        <v>45019</v>
      </c>
      <c r="B215" s="8"/>
      <c r="C215" s="8">
        <f>'Abril 23'!N4</f>
        <v>0</v>
      </c>
      <c r="D215" s="8"/>
      <c r="E215" s="8"/>
      <c r="F215" s="9"/>
    </row>
    <row r="216" spans="1:26" ht="15.75" customHeight="1" x14ac:dyDescent="0.35">
      <c r="A216" s="7">
        <v>45020</v>
      </c>
      <c r="B216" s="8"/>
      <c r="C216" s="8">
        <f>'Abril 23'!N5</f>
        <v>240</v>
      </c>
      <c r="D216" s="8"/>
      <c r="E216" s="8"/>
      <c r="F216" s="9"/>
    </row>
    <row r="217" spans="1:26" ht="15.75" customHeight="1" x14ac:dyDescent="0.35">
      <c r="A217" s="7">
        <v>45021</v>
      </c>
      <c r="B217" s="8"/>
      <c r="C217" s="8">
        <f>'Abril 23'!N6</f>
        <v>418</v>
      </c>
      <c r="D217" s="8"/>
      <c r="E217" s="8"/>
      <c r="F217" s="9"/>
    </row>
    <row r="218" spans="1:26" ht="15.75" customHeight="1" x14ac:dyDescent="0.35">
      <c r="A218" s="7">
        <v>45022</v>
      </c>
      <c r="B218" s="8"/>
      <c r="C218" s="8">
        <f>'Abril 23'!N7</f>
        <v>429.09999999999991</v>
      </c>
      <c r="D218" s="8"/>
      <c r="E218" s="8"/>
      <c r="F218" s="9"/>
    </row>
    <row r="219" spans="1:26" ht="15.75" customHeight="1" x14ac:dyDescent="0.35">
      <c r="A219" s="7">
        <v>45023</v>
      </c>
      <c r="B219" s="8"/>
      <c r="C219" s="8">
        <f>'Abril 23'!N8</f>
        <v>429.79999999999995</v>
      </c>
      <c r="D219" s="8"/>
      <c r="E219" s="8"/>
      <c r="F219" s="9"/>
    </row>
    <row r="220" spans="1:26" ht="15.75" customHeight="1" x14ac:dyDescent="0.35">
      <c r="A220" s="7">
        <v>45024</v>
      </c>
      <c r="B220" s="8"/>
      <c r="C220" s="8">
        <f>'Abril 23'!N9</f>
        <v>358.70000000000005</v>
      </c>
      <c r="D220" s="8"/>
      <c r="E220" s="8"/>
      <c r="F220" s="9"/>
    </row>
    <row r="221" spans="1:26" ht="15.75" customHeight="1" x14ac:dyDescent="0.35">
      <c r="A221" s="7">
        <v>45025</v>
      </c>
      <c r="B221" s="8"/>
      <c r="C221" s="8">
        <f>'Abril 23'!N10</f>
        <v>123.29999999999995</v>
      </c>
      <c r="D221" s="8"/>
      <c r="E221" s="8"/>
      <c r="F221" s="9"/>
    </row>
    <row r="222" spans="1:26" ht="15.75" customHeight="1" x14ac:dyDescent="0.35">
      <c r="A222" s="7">
        <v>45026</v>
      </c>
      <c r="B222" s="13">
        <v>3015</v>
      </c>
      <c r="C222" s="8">
        <f>'Abril 23'!N11</f>
        <v>0</v>
      </c>
      <c r="D222" s="8"/>
      <c r="E222" s="8"/>
      <c r="F222" s="9"/>
    </row>
    <row r="223" spans="1:26" ht="15.75" customHeight="1" x14ac:dyDescent="0.35">
      <c r="A223" s="7">
        <v>45027</v>
      </c>
      <c r="B223" s="8"/>
      <c r="C223" s="8">
        <f>'Abril 23'!N12</f>
        <v>208.19999999999993</v>
      </c>
      <c r="D223" s="8"/>
      <c r="E223" s="8"/>
      <c r="F223" s="9"/>
    </row>
    <row r="224" spans="1:26" ht="15.75" customHeight="1" x14ac:dyDescent="0.35">
      <c r="A224" s="7">
        <v>45028</v>
      </c>
      <c r="B224" s="8"/>
      <c r="C224" s="8">
        <f>'Abril 23'!N13</f>
        <v>151.57999999999998</v>
      </c>
      <c r="D224" s="8"/>
      <c r="E224" s="8">
        <f>162.69</f>
        <v>162.69</v>
      </c>
      <c r="F224" s="9" t="s">
        <v>2452</v>
      </c>
    </row>
    <row r="225" spans="1:6" ht="15.75" customHeight="1" x14ac:dyDescent="0.35">
      <c r="A225" s="7">
        <v>45029</v>
      </c>
      <c r="B225" s="8"/>
      <c r="C225" s="8">
        <f>'Abril 23'!N14</f>
        <v>227.8</v>
      </c>
      <c r="D225" s="8"/>
      <c r="E225" s="8">
        <f>75.89</f>
        <v>75.89</v>
      </c>
      <c r="F225" s="9" t="s">
        <v>2453</v>
      </c>
    </row>
    <row r="226" spans="1:6" ht="15.75" customHeight="1" x14ac:dyDescent="0.35">
      <c r="A226" s="7">
        <v>45030</v>
      </c>
      <c r="B226" s="8"/>
      <c r="C226" s="8">
        <f>'Abril 23'!N15</f>
        <v>79.5</v>
      </c>
      <c r="D226" s="8"/>
      <c r="E226" s="8">
        <f>70.77</f>
        <v>70.77</v>
      </c>
      <c r="F226" s="9" t="s">
        <v>2454</v>
      </c>
    </row>
    <row r="227" spans="1:6" ht="15.75" customHeight="1" x14ac:dyDescent="0.35">
      <c r="A227" s="7">
        <v>45031</v>
      </c>
      <c r="B227" s="8"/>
      <c r="C227" s="8">
        <f>'Abril 23'!N16</f>
        <v>323.89999999999986</v>
      </c>
      <c r="D227" s="8"/>
      <c r="E227" s="8"/>
      <c r="F227" s="9"/>
    </row>
    <row r="228" spans="1:6" ht="15.75" customHeight="1" x14ac:dyDescent="0.35">
      <c r="A228" s="7">
        <v>45032</v>
      </c>
      <c r="B228" s="8"/>
      <c r="C228" s="8">
        <f>'Abril 23'!N17</f>
        <v>553.41999999999962</v>
      </c>
      <c r="D228" s="8"/>
      <c r="E228" s="8"/>
      <c r="F228" s="9"/>
    </row>
    <row r="229" spans="1:6" ht="15.75" customHeight="1" x14ac:dyDescent="0.35">
      <c r="A229" s="7">
        <v>45033</v>
      </c>
      <c r="B229" s="8"/>
      <c r="C229" s="8">
        <f>'Abril 23'!N18</f>
        <v>0</v>
      </c>
      <c r="D229" s="8"/>
      <c r="E229" s="8"/>
      <c r="F229" s="9"/>
    </row>
    <row r="230" spans="1:6" ht="15.75" customHeight="1" x14ac:dyDescent="0.35">
      <c r="A230" s="7">
        <v>45034</v>
      </c>
      <c r="B230" s="8"/>
      <c r="C230" s="8">
        <f>'Abril 23'!N19</f>
        <v>154.30000000000007</v>
      </c>
      <c r="D230" s="8"/>
      <c r="E230" s="8">
        <v>376.56</v>
      </c>
      <c r="F230" s="9" t="s">
        <v>2455</v>
      </c>
    </row>
    <row r="231" spans="1:6" ht="15.75" customHeight="1" x14ac:dyDescent="0.35">
      <c r="A231" s="7">
        <v>45035</v>
      </c>
      <c r="B231" s="8"/>
      <c r="C231" s="8">
        <f>'Abril 23'!N20</f>
        <v>215.60000000000002</v>
      </c>
      <c r="D231" s="8"/>
      <c r="E231" s="8"/>
      <c r="F231" s="9"/>
    </row>
    <row r="232" spans="1:6" ht="15.75" customHeight="1" x14ac:dyDescent="0.35">
      <c r="A232" s="7">
        <v>45036</v>
      </c>
      <c r="B232" s="8"/>
      <c r="C232" s="8">
        <f>'Abril 23'!N21</f>
        <v>169.40000000000009</v>
      </c>
      <c r="D232" s="8"/>
      <c r="E232" s="8">
        <v>376.14</v>
      </c>
      <c r="F232" s="9" t="s">
        <v>2456</v>
      </c>
    </row>
    <row r="233" spans="1:6" ht="15.75" customHeight="1" x14ac:dyDescent="0.35">
      <c r="A233" s="7">
        <v>45037</v>
      </c>
      <c r="B233" s="8"/>
      <c r="C233" s="8">
        <f>'Abril 23'!N22</f>
        <v>118.22000000000003</v>
      </c>
      <c r="D233" s="8"/>
      <c r="E233" s="8">
        <f>48</f>
        <v>48</v>
      </c>
      <c r="F233" s="9" t="s">
        <v>2421</v>
      </c>
    </row>
    <row r="234" spans="1:6" ht="15.75" customHeight="1" x14ac:dyDescent="0.35">
      <c r="A234" s="7">
        <v>45038</v>
      </c>
      <c r="B234" s="8"/>
      <c r="C234" s="8">
        <f>'Abril 23'!N23</f>
        <v>209.69999999999982</v>
      </c>
      <c r="D234" s="8"/>
      <c r="E234" s="8"/>
      <c r="F234" s="9"/>
    </row>
    <row r="235" spans="1:6" ht="15.75" customHeight="1" x14ac:dyDescent="0.35">
      <c r="A235" s="7">
        <v>45039</v>
      </c>
      <c r="B235" s="8"/>
      <c r="C235" s="8">
        <f>'Abril 23'!N24</f>
        <v>115.59999999999991</v>
      </c>
      <c r="D235" s="8"/>
      <c r="E235" s="8"/>
      <c r="F235" s="9"/>
    </row>
    <row r="236" spans="1:6" ht="15.75" customHeight="1" x14ac:dyDescent="0.35">
      <c r="A236" s="7">
        <v>45040</v>
      </c>
      <c r="B236" s="8"/>
      <c r="C236" s="8">
        <f>'Abril 23'!N25</f>
        <v>0</v>
      </c>
      <c r="D236" s="8"/>
      <c r="E236" s="8"/>
      <c r="F236" s="9"/>
    </row>
    <row r="237" spans="1:6" ht="15.75" customHeight="1" x14ac:dyDescent="0.35">
      <c r="A237" s="7">
        <v>45041</v>
      </c>
      <c r="B237" s="8"/>
      <c r="C237" s="8">
        <f>'Abril 23'!N26</f>
        <v>389.69999999999982</v>
      </c>
      <c r="D237" s="8"/>
      <c r="E237" s="8"/>
      <c r="F237" s="9"/>
    </row>
    <row r="238" spans="1:6" ht="15.75" customHeight="1" x14ac:dyDescent="0.35">
      <c r="A238" s="7">
        <v>45042</v>
      </c>
      <c r="B238" s="13">
        <v>1805</v>
      </c>
      <c r="C238" s="8">
        <f>'Abril 23'!N27</f>
        <v>141.75</v>
      </c>
      <c r="D238" s="8"/>
      <c r="E238" s="8"/>
      <c r="F238" s="9"/>
    </row>
    <row r="239" spans="1:6" ht="15.75" customHeight="1" x14ac:dyDescent="0.35">
      <c r="A239" s="7">
        <v>45043</v>
      </c>
      <c r="B239" s="1"/>
      <c r="C239" s="8">
        <f>'Abril 23'!N28</f>
        <v>187.29999999999995</v>
      </c>
      <c r="D239" s="8"/>
      <c r="E239" s="8">
        <f>69.74</f>
        <v>69.739999999999995</v>
      </c>
      <c r="F239" s="9" t="s">
        <v>2457</v>
      </c>
    </row>
    <row r="240" spans="1:6" ht="15.75" customHeight="1" x14ac:dyDescent="0.35">
      <c r="A240" s="7">
        <v>45044</v>
      </c>
      <c r="B240" s="8"/>
      <c r="C240" s="8">
        <f>'Abril 23'!N29</f>
        <v>160</v>
      </c>
      <c r="D240" s="8"/>
      <c r="E240" s="8">
        <f>44.5</f>
        <v>44.5</v>
      </c>
      <c r="F240" s="9" t="s">
        <v>2458</v>
      </c>
    </row>
    <row r="241" spans="1:6" ht="15.75" customHeight="1" x14ac:dyDescent="0.35">
      <c r="A241" s="7">
        <v>45045</v>
      </c>
      <c r="B241" s="8"/>
      <c r="C241" s="8">
        <f>'Abril 23'!N30</f>
        <v>272.70000000000005</v>
      </c>
      <c r="D241" s="8"/>
      <c r="E241" s="8">
        <f>4.33+7.36</f>
        <v>11.690000000000001</v>
      </c>
      <c r="F241" s="9" t="s">
        <v>2417</v>
      </c>
    </row>
    <row r="242" spans="1:6" ht="15.75" customHeight="1" x14ac:dyDescent="0.35">
      <c r="A242" s="7">
        <v>45046</v>
      </c>
      <c r="B242" s="12" t="s">
        <v>2459</v>
      </c>
      <c r="C242" s="8">
        <f>'Abril 23'!N31</f>
        <v>393.3599999999999</v>
      </c>
      <c r="D242" s="8"/>
      <c r="E242" s="8">
        <f>18.98 + 17.53</f>
        <v>36.510000000000005</v>
      </c>
      <c r="F242" s="9" t="s">
        <v>2460</v>
      </c>
    </row>
    <row r="243" spans="1:6" ht="15.75" customHeight="1" x14ac:dyDescent="0.35">
      <c r="A243" s="14"/>
      <c r="B243" s="15"/>
      <c r="C243" s="15"/>
      <c r="D243" s="15"/>
      <c r="E243" s="15"/>
      <c r="F243" s="16"/>
    </row>
    <row r="244" spans="1:6" ht="15.75" customHeight="1" x14ac:dyDescent="0.35">
      <c r="A244" s="7">
        <v>45047</v>
      </c>
      <c r="B244" s="8"/>
      <c r="C244" s="8">
        <f>'Maio 23'!N2</f>
        <v>0</v>
      </c>
      <c r="D244" s="8"/>
      <c r="E244" s="8"/>
      <c r="F244" s="9"/>
    </row>
    <row r="245" spans="1:6" ht="15.75" customHeight="1" x14ac:dyDescent="0.35">
      <c r="A245" s="7">
        <v>45048</v>
      </c>
      <c r="B245" s="8"/>
      <c r="C245" s="8">
        <f>'Maio 23'!N3</f>
        <v>329.59999999999991</v>
      </c>
      <c r="D245" s="8"/>
      <c r="E245" s="8">
        <f>193.04+42.76</f>
        <v>235.79999999999998</v>
      </c>
      <c r="F245" s="9" t="s">
        <v>2461</v>
      </c>
    </row>
    <row r="246" spans="1:6" ht="15.75" customHeight="1" x14ac:dyDescent="0.35">
      <c r="A246" s="7">
        <v>45049</v>
      </c>
      <c r="B246" s="8"/>
      <c r="C246" s="8">
        <f>'Maio 23'!N4</f>
        <v>50.600000000000023</v>
      </c>
      <c r="D246" s="8"/>
      <c r="E246" s="8">
        <f>49.2+283.72</f>
        <v>332.92</v>
      </c>
      <c r="F246" s="9" t="s">
        <v>2462</v>
      </c>
    </row>
    <row r="247" spans="1:6" ht="15.75" customHeight="1" x14ac:dyDescent="0.35">
      <c r="A247" s="7">
        <v>45050</v>
      </c>
      <c r="B247" s="8"/>
      <c r="C247" s="8">
        <f>'Maio 23'!N5</f>
        <v>97.000000000000057</v>
      </c>
      <c r="D247" s="8"/>
      <c r="E247" s="8">
        <f>64.69+11.96</f>
        <v>76.650000000000006</v>
      </c>
      <c r="F247" s="9" t="s">
        <v>2463</v>
      </c>
    </row>
    <row r="248" spans="1:6" ht="15.75" customHeight="1" x14ac:dyDescent="0.35">
      <c r="A248" s="7">
        <v>45051</v>
      </c>
      <c r="B248" s="8"/>
      <c r="C248" s="8">
        <f>'Maio 23'!N6</f>
        <v>199.94000000000005</v>
      </c>
      <c r="D248" s="8"/>
      <c r="E248" s="8">
        <f>59.24+58.58+32+1.28+146.93</f>
        <v>298.02999999999997</v>
      </c>
      <c r="F248" s="9" t="s">
        <v>2464</v>
      </c>
    </row>
    <row r="249" spans="1:6" ht="15.75" customHeight="1" x14ac:dyDescent="0.35">
      <c r="A249" s="7">
        <v>45052</v>
      </c>
      <c r="B249" s="8"/>
      <c r="C249" s="8">
        <f>'Maio 23'!N7</f>
        <v>409.20000000000005</v>
      </c>
      <c r="D249" s="8"/>
      <c r="E249" s="8"/>
      <c r="F249" s="9"/>
    </row>
    <row r="250" spans="1:6" ht="15.75" customHeight="1" x14ac:dyDescent="0.35">
      <c r="A250" s="7">
        <v>45053</v>
      </c>
      <c r="B250" s="8"/>
      <c r="C250" s="8">
        <f>'Maio 23'!N8</f>
        <v>375.39999999999986</v>
      </c>
      <c r="D250" s="8"/>
      <c r="E250" s="8">
        <f>2.28</f>
        <v>2.2799999999999998</v>
      </c>
      <c r="F250" s="9" t="s">
        <v>2417</v>
      </c>
    </row>
    <row r="251" spans="1:6" ht="15.75" customHeight="1" x14ac:dyDescent="0.35">
      <c r="A251" s="7">
        <v>45054</v>
      </c>
      <c r="B251" s="8"/>
      <c r="C251" s="8">
        <f>'Maio 23'!N9</f>
        <v>0</v>
      </c>
      <c r="D251" s="8"/>
      <c r="E251" s="8">
        <f>23.7</f>
        <v>23.7</v>
      </c>
      <c r="F251" s="9" t="s">
        <v>2465</v>
      </c>
    </row>
    <row r="252" spans="1:6" ht="15.75" customHeight="1" x14ac:dyDescent="0.35">
      <c r="A252" s="7">
        <v>45055</v>
      </c>
      <c r="B252" s="8"/>
      <c r="C252" s="8">
        <f>'Maio 23'!N10</f>
        <v>137.69999999999999</v>
      </c>
      <c r="D252" s="8"/>
      <c r="E252" s="8">
        <f>393.67+10.48</f>
        <v>404.15000000000003</v>
      </c>
      <c r="F252" s="9" t="s">
        <v>2466</v>
      </c>
    </row>
    <row r="253" spans="1:6" ht="15.75" customHeight="1" x14ac:dyDescent="0.35">
      <c r="A253" s="7">
        <v>45056</v>
      </c>
      <c r="B253" s="8"/>
      <c r="C253" s="8">
        <f>'Maio 23'!N11</f>
        <v>81.589999999999975</v>
      </c>
      <c r="D253" s="8"/>
      <c r="E253" s="8"/>
      <c r="F253" s="9"/>
    </row>
    <row r="254" spans="1:6" ht="15.75" customHeight="1" x14ac:dyDescent="0.35">
      <c r="A254" s="7">
        <v>45057</v>
      </c>
      <c r="B254" s="8"/>
      <c r="C254" s="8">
        <f>'Maio 23'!N12</f>
        <v>97.799999999999955</v>
      </c>
      <c r="D254" s="8"/>
      <c r="E254" s="8">
        <f>32+68.65+50+6.95+32.63</f>
        <v>190.23</v>
      </c>
      <c r="F254" s="9" t="s">
        <v>2467</v>
      </c>
    </row>
    <row r="255" spans="1:6" ht="15.75" customHeight="1" x14ac:dyDescent="0.35">
      <c r="A255" s="7">
        <v>45058</v>
      </c>
      <c r="B255" s="8"/>
      <c r="C255" s="8">
        <f>'Maio 23'!N13</f>
        <v>143.60000000000002</v>
      </c>
      <c r="D255" s="8"/>
      <c r="E255" s="8">
        <f>21.79+12+30.7</f>
        <v>64.489999999999995</v>
      </c>
      <c r="F255" s="9" t="s">
        <v>2468</v>
      </c>
    </row>
    <row r="256" spans="1:6" ht="15.75" customHeight="1" x14ac:dyDescent="0.35">
      <c r="A256" s="7">
        <v>45059</v>
      </c>
      <c r="B256" s="8"/>
      <c r="C256" s="8">
        <f>'Maio 23'!N14</f>
        <v>365.61000000000013</v>
      </c>
      <c r="D256" s="8"/>
      <c r="E256" s="8">
        <f>1.35</f>
        <v>1.35</v>
      </c>
      <c r="F256" s="9" t="s">
        <v>2417</v>
      </c>
    </row>
    <row r="257" spans="1:6" ht="15.75" customHeight="1" x14ac:dyDescent="0.35">
      <c r="A257" s="7">
        <v>45060</v>
      </c>
      <c r="B257" s="8"/>
      <c r="C257" s="8">
        <f>'Maio 23'!N15</f>
        <v>404.19999999999982</v>
      </c>
      <c r="D257" s="8"/>
      <c r="E257" s="8"/>
      <c r="F257" s="9"/>
    </row>
    <row r="258" spans="1:6" ht="15.75" customHeight="1" x14ac:dyDescent="0.35">
      <c r="A258" s="7">
        <v>45061</v>
      </c>
      <c r="B258" s="8"/>
      <c r="C258" s="8">
        <f>'Maio 23'!N16</f>
        <v>84.600000000000023</v>
      </c>
      <c r="D258" s="8"/>
      <c r="E258" s="8"/>
      <c r="F258" s="9"/>
    </row>
    <row r="259" spans="1:6" ht="15.75" customHeight="1" x14ac:dyDescent="0.35">
      <c r="A259" s="7">
        <v>45062</v>
      </c>
      <c r="B259" s="8"/>
      <c r="C259" s="8">
        <f>'Maio 23'!N17</f>
        <v>197.2</v>
      </c>
      <c r="D259" s="8"/>
      <c r="E259" s="8">
        <f>34.46</f>
        <v>34.46</v>
      </c>
      <c r="F259" s="9" t="s">
        <v>2469</v>
      </c>
    </row>
    <row r="260" spans="1:6" ht="15.75" customHeight="1" x14ac:dyDescent="0.35">
      <c r="A260" s="7">
        <v>45063</v>
      </c>
      <c r="B260" s="8"/>
      <c r="C260" s="8">
        <f>'Maio 23'!N18</f>
        <v>210.39999999999986</v>
      </c>
      <c r="D260" s="8"/>
      <c r="E260" s="8">
        <f>48+494+0.61+0.39</f>
        <v>543</v>
      </c>
      <c r="F260" s="9" t="s">
        <v>2470</v>
      </c>
    </row>
    <row r="261" spans="1:6" ht="15.75" customHeight="1" x14ac:dyDescent="0.35">
      <c r="A261" s="7">
        <v>45064</v>
      </c>
      <c r="B261" s="8"/>
      <c r="C261" s="8">
        <f>'Maio 23'!N19</f>
        <v>109.90000000000009</v>
      </c>
      <c r="D261" s="8"/>
      <c r="E261" s="8">
        <f>43.86+35.05+6.16</f>
        <v>85.07</v>
      </c>
      <c r="F261" s="9" t="s">
        <v>2471</v>
      </c>
    </row>
    <row r="262" spans="1:6" ht="15.75" customHeight="1" x14ac:dyDescent="0.35">
      <c r="A262" s="7">
        <v>45065</v>
      </c>
      <c r="B262" s="8"/>
      <c r="C262" s="8">
        <f>'Maio 23'!N20</f>
        <v>130.49999999999977</v>
      </c>
      <c r="D262" s="8"/>
      <c r="E262" s="8"/>
      <c r="F262" s="9"/>
    </row>
    <row r="263" spans="1:6" ht="15.75" customHeight="1" x14ac:dyDescent="0.35">
      <c r="A263" s="7">
        <v>45066</v>
      </c>
      <c r="B263" s="8"/>
      <c r="C263" s="8">
        <f>'Maio 23'!N21</f>
        <v>253.29999999999995</v>
      </c>
      <c r="D263" s="8"/>
      <c r="E263" s="8">
        <f>10.99</f>
        <v>10.99</v>
      </c>
      <c r="F263" s="9" t="s">
        <v>2472</v>
      </c>
    </row>
    <row r="264" spans="1:6" ht="15.75" customHeight="1" x14ac:dyDescent="0.35">
      <c r="A264" s="7">
        <v>45067</v>
      </c>
      <c r="B264" s="8"/>
      <c r="C264" s="8">
        <f>'Maio 23'!N22</f>
        <v>406.58000000000015</v>
      </c>
      <c r="D264" s="8"/>
      <c r="E264" s="8"/>
      <c r="F264" s="9"/>
    </row>
    <row r="265" spans="1:6" ht="15.75" customHeight="1" x14ac:dyDescent="0.35">
      <c r="A265" s="7">
        <v>45068</v>
      </c>
      <c r="B265" s="13">
        <v>1790</v>
      </c>
      <c r="C265" s="8">
        <f>'Maio 23'!N23</f>
        <v>98.199999999999989</v>
      </c>
      <c r="D265" s="8"/>
      <c r="E265" s="8"/>
      <c r="F265" s="9"/>
    </row>
    <row r="266" spans="1:6" ht="15.75" customHeight="1" x14ac:dyDescent="0.35">
      <c r="A266" s="7">
        <v>45069</v>
      </c>
      <c r="B266" s="8"/>
      <c r="C266" s="8">
        <f>'Maio 23'!N24</f>
        <v>205.55999999999995</v>
      </c>
      <c r="D266" s="8"/>
      <c r="E266" s="8">
        <f>1.13</f>
        <v>1.1299999999999999</v>
      </c>
      <c r="F266" s="9" t="s">
        <v>2417</v>
      </c>
    </row>
    <row r="267" spans="1:6" ht="15.75" customHeight="1" x14ac:dyDescent="0.35">
      <c r="A267" s="7">
        <v>45070</v>
      </c>
      <c r="B267" s="8"/>
      <c r="C267" s="8">
        <f>'Maio 23'!N25</f>
        <v>151.69999999999999</v>
      </c>
      <c r="D267" s="8"/>
      <c r="E267" s="8"/>
      <c r="F267" s="9"/>
    </row>
    <row r="268" spans="1:6" ht="15.75" customHeight="1" x14ac:dyDescent="0.35">
      <c r="A268" s="7">
        <v>45071</v>
      </c>
      <c r="B268" s="8"/>
      <c r="C268" s="8">
        <f>'Maio 23'!N26</f>
        <v>111.60000000000002</v>
      </c>
      <c r="D268" s="8"/>
      <c r="E268" s="8">
        <f>7.98</f>
        <v>7.98</v>
      </c>
      <c r="F268" s="9" t="s">
        <v>2473</v>
      </c>
    </row>
    <row r="269" spans="1:6" ht="15.75" customHeight="1" x14ac:dyDescent="0.35">
      <c r="A269" s="7">
        <v>45072</v>
      </c>
      <c r="B269" s="8"/>
      <c r="C269" s="8">
        <f>'Maio 23'!N27</f>
        <v>251.75000000000011</v>
      </c>
      <c r="D269" s="8"/>
      <c r="E269" s="8">
        <f>22.5+64+96.95</f>
        <v>183.45</v>
      </c>
      <c r="F269" s="9" t="s">
        <v>2474</v>
      </c>
    </row>
    <row r="270" spans="1:6" ht="15.75" customHeight="1" x14ac:dyDescent="0.35">
      <c r="A270" s="7">
        <v>45073</v>
      </c>
      <c r="B270" s="8"/>
      <c r="C270" s="8">
        <f>'Maio 23'!N28</f>
        <v>245.70000000000005</v>
      </c>
      <c r="D270" s="8"/>
      <c r="E270" s="8"/>
      <c r="F270" s="9"/>
    </row>
    <row r="271" spans="1:6" ht="15.75" customHeight="1" x14ac:dyDescent="0.35">
      <c r="A271" s="7">
        <v>45074</v>
      </c>
      <c r="B271" s="8"/>
      <c r="C271" s="8">
        <f>'Maio 23'!N29</f>
        <v>120.5</v>
      </c>
      <c r="D271" s="8"/>
      <c r="E271" s="8"/>
      <c r="F271" s="9"/>
    </row>
    <row r="272" spans="1:6" ht="15.75" customHeight="1" x14ac:dyDescent="0.35">
      <c r="A272" s="7">
        <v>45075</v>
      </c>
      <c r="B272" s="8"/>
      <c r="C272" s="8">
        <f>'Maio 23'!N30</f>
        <v>90.68</v>
      </c>
      <c r="D272" s="8"/>
      <c r="E272" s="8">
        <f>24</f>
        <v>24</v>
      </c>
      <c r="F272" s="9" t="s">
        <v>2475</v>
      </c>
    </row>
    <row r="273" spans="1:6" ht="15.75" customHeight="1" x14ac:dyDescent="0.35">
      <c r="A273" s="7">
        <v>45076</v>
      </c>
      <c r="B273" s="8"/>
      <c r="C273" s="8">
        <f>'Maio 23'!N31</f>
        <v>226.80000000000007</v>
      </c>
      <c r="D273" s="8"/>
      <c r="E273" s="8">
        <f>102.32+34.01</f>
        <v>136.32999999999998</v>
      </c>
      <c r="F273" s="9" t="s">
        <v>2476</v>
      </c>
    </row>
    <row r="274" spans="1:6" ht="15.75" customHeight="1" x14ac:dyDescent="0.35">
      <c r="A274" s="7">
        <v>45077</v>
      </c>
      <c r="B274" s="8"/>
      <c r="C274" s="8">
        <f>'Maio 23'!N32</f>
        <v>156.20000000000005</v>
      </c>
      <c r="D274" s="8"/>
      <c r="E274" s="8">
        <f>66.64+31.98</f>
        <v>98.62</v>
      </c>
      <c r="F274" s="9" t="s">
        <v>2477</v>
      </c>
    </row>
    <row r="275" spans="1:6" ht="15.75" customHeight="1" x14ac:dyDescent="0.35">
      <c r="A275" s="14"/>
      <c r="B275" s="15" t="s">
        <v>2377</v>
      </c>
      <c r="C275" s="15"/>
      <c r="D275" s="15"/>
      <c r="E275" s="15"/>
      <c r="F275" s="16"/>
    </row>
    <row r="276" spans="1:6" ht="15.75" customHeight="1" x14ac:dyDescent="0.35">
      <c r="A276" s="7">
        <v>45078</v>
      </c>
      <c r="B276" s="8"/>
      <c r="C276" s="8">
        <f>'Jun 23 '!N2</f>
        <v>145.83999999999992</v>
      </c>
      <c r="D276" s="8"/>
      <c r="E276" s="8">
        <f>27.8+15+16.83</f>
        <v>59.629999999999995</v>
      </c>
      <c r="F276" s="9" t="s">
        <v>2478</v>
      </c>
    </row>
    <row r="277" spans="1:6" ht="15.75" customHeight="1" x14ac:dyDescent="0.35">
      <c r="A277" s="7">
        <v>45079</v>
      </c>
      <c r="B277" s="8"/>
      <c r="C277" s="8">
        <f>'Jun 23 '!N3</f>
        <v>273</v>
      </c>
      <c r="D277" s="8"/>
      <c r="E277" s="8"/>
      <c r="F277" s="9"/>
    </row>
    <row r="278" spans="1:6" ht="15.75" customHeight="1" x14ac:dyDescent="0.35">
      <c r="A278" s="7">
        <v>45080</v>
      </c>
      <c r="B278" s="8"/>
      <c r="C278" s="8">
        <f>'Jun 23 '!N4</f>
        <v>320.60000000000014</v>
      </c>
      <c r="D278" s="8"/>
      <c r="E278" s="8"/>
      <c r="F278" s="9"/>
    </row>
    <row r="279" spans="1:6" ht="15.75" customHeight="1" x14ac:dyDescent="0.35">
      <c r="A279" s="7">
        <v>45081</v>
      </c>
      <c r="B279" s="8"/>
      <c r="C279" s="8">
        <f>'Jun 23 '!N5</f>
        <v>359.82000000000016</v>
      </c>
      <c r="D279" s="8"/>
      <c r="E279" s="8"/>
      <c r="F279" s="9"/>
    </row>
    <row r="280" spans="1:6" ht="15.75" customHeight="1" x14ac:dyDescent="0.35">
      <c r="A280" s="7">
        <v>45082</v>
      </c>
      <c r="B280" s="8"/>
      <c r="C280" s="8">
        <f>'Jun 23 '!N6</f>
        <v>131.60000000000002</v>
      </c>
      <c r="D280" s="8"/>
      <c r="E280" s="8"/>
      <c r="F280" s="9"/>
    </row>
    <row r="281" spans="1:6" ht="15.75" customHeight="1" x14ac:dyDescent="0.35">
      <c r="A281" s="7">
        <v>45083</v>
      </c>
      <c r="B281" s="8"/>
      <c r="C281" s="8">
        <f>'Jun 23 '!N7</f>
        <v>135.69999999999993</v>
      </c>
      <c r="D281" s="8"/>
      <c r="E281" s="8">
        <f>33.15+ 232.79</f>
        <v>265.94</v>
      </c>
      <c r="F281" s="9" t="s">
        <v>2479</v>
      </c>
    </row>
    <row r="282" spans="1:6" ht="15.75" customHeight="1" x14ac:dyDescent="0.35">
      <c r="A282" s="7">
        <v>45084</v>
      </c>
      <c r="B282" s="13">
        <v>2515</v>
      </c>
      <c r="C282" s="8">
        <f>'Jun 23 '!N8</f>
        <v>88.799999999999955</v>
      </c>
      <c r="D282" s="8"/>
      <c r="E282" s="8">
        <f>63.37</f>
        <v>63.37</v>
      </c>
      <c r="F282" s="9" t="s">
        <v>2480</v>
      </c>
    </row>
    <row r="283" spans="1:6" ht="15.75" customHeight="1" x14ac:dyDescent="0.35">
      <c r="A283" s="7">
        <v>45085</v>
      </c>
      <c r="B283" s="8"/>
      <c r="C283" s="8">
        <f>'Jun 23 '!N9</f>
        <v>119.39999999999998</v>
      </c>
      <c r="D283" s="8"/>
      <c r="E283" s="8"/>
      <c r="F283" s="9"/>
    </row>
    <row r="284" spans="1:6" ht="15.75" customHeight="1" x14ac:dyDescent="0.35">
      <c r="A284" s="7">
        <v>45086</v>
      </c>
      <c r="B284" s="8"/>
      <c r="C284" s="8">
        <f>'Jun 23 '!N10</f>
        <v>273.89999999999986</v>
      </c>
      <c r="D284" s="8"/>
      <c r="E284" s="8">
        <f>17.4+19.86 +20.98</f>
        <v>58.239999999999995</v>
      </c>
      <c r="F284" s="9" t="s">
        <v>2481</v>
      </c>
    </row>
    <row r="285" spans="1:6" ht="15.75" customHeight="1" x14ac:dyDescent="0.35">
      <c r="A285" s="7">
        <v>45087</v>
      </c>
      <c r="B285" s="8"/>
      <c r="C285" s="8">
        <f>'Jun 23 '!N11</f>
        <v>321.19999999999982</v>
      </c>
      <c r="D285" s="8"/>
      <c r="E285" s="8">
        <f>17.97</f>
        <v>17.97</v>
      </c>
      <c r="F285" s="9" t="s">
        <v>2482</v>
      </c>
    </row>
    <row r="286" spans="1:6" ht="15.75" customHeight="1" x14ac:dyDescent="0.35">
      <c r="A286" s="7">
        <v>45088</v>
      </c>
      <c r="B286" s="8"/>
      <c r="C286" s="8">
        <f>'Jun 23 '!N12</f>
        <v>319.89999999999986</v>
      </c>
      <c r="D286" s="8"/>
      <c r="E286" s="8"/>
      <c r="F286" s="9"/>
    </row>
    <row r="287" spans="1:6" ht="15.75" customHeight="1" x14ac:dyDescent="0.35">
      <c r="A287" s="7">
        <v>45089</v>
      </c>
      <c r="B287" s="8"/>
      <c r="C287" s="8">
        <f>'Jun 23 '!N13</f>
        <v>108.90000000000009</v>
      </c>
      <c r="D287" s="8"/>
      <c r="E287" s="8"/>
      <c r="F287" s="9"/>
    </row>
    <row r="288" spans="1:6" ht="15.75" customHeight="1" x14ac:dyDescent="0.35">
      <c r="A288" s="7">
        <v>45090</v>
      </c>
      <c r="B288" s="8"/>
      <c r="C288" s="8">
        <f>'Jun 23 '!N14</f>
        <v>165.00000000000011</v>
      </c>
      <c r="D288" s="8"/>
      <c r="E288" s="8">
        <f>30.09</f>
        <v>30.09</v>
      </c>
      <c r="F288" s="9" t="s">
        <v>2483</v>
      </c>
    </row>
    <row r="289" spans="1:6" ht="15.75" customHeight="1" x14ac:dyDescent="0.35">
      <c r="A289" s="7">
        <v>45091</v>
      </c>
      <c r="B289" s="8"/>
      <c r="C289" s="8">
        <f>'Jun 23 '!N15</f>
        <v>145.39999999999998</v>
      </c>
      <c r="D289" s="8"/>
      <c r="E289" s="8">
        <f>64+349.91</f>
        <v>413.91</v>
      </c>
      <c r="F289" s="9" t="s">
        <v>2484</v>
      </c>
    </row>
    <row r="290" spans="1:6" ht="15.75" customHeight="1" x14ac:dyDescent="0.35">
      <c r="A290" s="7">
        <v>45092</v>
      </c>
      <c r="B290" s="8"/>
      <c r="C290" s="8">
        <f>'Jun 23 '!N16</f>
        <v>230.89999999999998</v>
      </c>
      <c r="D290" s="8"/>
      <c r="E290" s="8">
        <f>20.94+3.41</f>
        <v>24.35</v>
      </c>
      <c r="F290" s="9" t="s">
        <v>2417</v>
      </c>
    </row>
    <row r="291" spans="1:6" ht="15.75" customHeight="1" x14ac:dyDescent="0.35">
      <c r="A291" s="7">
        <v>45093</v>
      </c>
      <c r="B291" s="8"/>
      <c r="C291" s="8">
        <f>'Jun 23 '!N17</f>
        <v>280.59999999999991</v>
      </c>
      <c r="D291" s="8"/>
      <c r="E291" s="8"/>
      <c r="F291" s="9"/>
    </row>
    <row r="292" spans="1:6" ht="15.75" customHeight="1" x14ac:dyDescent="0.35">
      <c r="A292" s="7">
        <v>45094</v>
      </c>
      <c r="B292" s="8"/>
      <c r="C292" s="8">
        <f>'Jun 23 '!N18</f>
        <v>350.5</v>
      </c>
      <c r="D292" s="8"/>
      <c r="E292" s="8">
        <f>45.65</f>
        <v>45.65</v>
      </c>
      <c r="F292" s="9" t="s">
        <v>2485</v>
      </c>
    </row>
    <row r="293" spans="1:6" ht="15.75" customHeight="1" x14ac:dyDescent="0.35">
      <c r="A293" s="7">
        <v>45095</v>
      </c>
      <c r="B293" s="8"/>
      <c r="C293" s="8">
        <f>'Jun 23 '!N19</f>
        <v>380.69999999999982</v>
      </c>
      <c r="D293" s="8"/>
      <c r="E293" s="8">
        <f>47.44</f>
        <v>47.44</v>
      </c>
      <c r="F293" s="9" t="s">
        <v>2486</v>
      </c>
    </row>
    <row r="294" spans="1:6" ht="15.75" customHeight="1" x14ac:dyDescent="0.35">
      <c r="A294" s="7">
        <v>45096</v>
      </c>
      <c r="B294" s="13">
        <v>1815</v>
      </c>
      <c r="C294" s="8">
        <f>'Jun 23 '!N20</f>
        <v>151.69999999999999</v>
      </c>
      <c r="D294" s="8"/>
      <c r="E294" s="8"/>
      <c r="F294" s="9"/>
    </row>
    <row r="295" spans="1:6" ht="15.75" customHeight="1" x14ac:dyDescent="0.35">
      <c r="A295" s="7">
        <v>45097</v>
      </c>
      <c r="B295" s="8"/>
      <c r="C295" s="8">
        <f>'Jun 23 '!N21</f>
        <v>150.5200000000001</v>
      </c>
      <c r="D295" s="8"/>
      <c r="E295" s="8">
        <f>67.98+7.67+15.34+16</f>
        <v>106.99000000000001</v>
      </c>
      <c r="F295" s="9" t="s">
        <v>2487</v>
      </c>
    </row>
    <row r="296" spans="1:6" ht="15.75" customHeight="1" x14ac:dyDescent="0.35">
      <c r="A296" s="7">
        <v>45098</v>
      </c>
      <c r="B296" s="8"/>
      <c r="C296" s="8">
        <f>'Jun 23 '!N22</f>
        <v>195.68000000000006</v>
      </c>
      <c r="D296" s="8"/>
      <c r="E296" s="8">
        <f>21+383.89+10.97</f>
        <v>415.86</v>
      </c>
      <c r="F296" s="9" t="s">
        <v>2488</v>
      </c>
    </row>
    <row r="297" spans="1:6" ht="15.75" customHeight="1" x14ac:dyDescent="0.35">
      <c r="A297" s="7">
        <v>45099</v>
      </c>
      <c r="B297" s="8"/>
      <c r="C297" s="8">
        <f>'Jun 23 '!N23</f>
        <v>214.70000000000005</v>
      </c>
      <c r="D297" s="8"/>
      <c r="E297" s="8"/>
      <c r="F297" s="9"/>
    </row>
    <row r="298" spans="1:6" ht="15.75" customHeight="1" x14ac:dyDescent="0.35">
      <c r="A298" s="7">
        <v>45100</v>
      </c>
      <c r="B298" s="8"/>
      <c r="C298" s="8">
        <f>'Jun 23 '!N24</f>
        <v>315.79999999999995</v>
      </c>
      <c r="D298" s="8"/>
      <c r="E298" s="8">
        <f>32</f>
        <v>32</v>
      </c>
      <c r="F298" s="9" t="s">
        <v>2421</v>
      </c>
    </row>
    <row r="299" spans="1:6" ht="15.75" customHeight="1" x14ac:dyDescent="0.35">
      <c r="A299" s="7">
        <v>45101</v>
      </c>
      <c r="B299" s="8"/>
      <c r="C299" s="8">
        <f>'Jun 23 '!N25</f>
        <v>609.17000000000007</v>
      </c>
      <c r="D299" s="8"/>
      <c r="E299" s="8"/>
      <c r="F299" s="9"/>
    </row>
    <row r="300" spans="1:6" ht="15.75" customHeight="1" x14ac:dyDescent="0.35">
      <c r="A300" s="7">
        <v>45102</v>
      </c>
      <c r="B300" s="8"/>
      <c r="C300" s="8">
        <f>'Jun 23 '!N26</f>
        <v>642.70000000000027</v>
      </c>
      <c r="D300" s="8"/>
      <c r="E300" s="8"/>
      <c r="F300" s="9"/>
    </row>
    <row r="301" spans="1:6" ht="15.75" customHeight="1" x14ac:dyDescent="0.35">
      <c r="A301" s="7">
        <v>45103</v>
      </c>
      <c r="B301" s="12">
        <v>1725</v>
      </c>
      <c r="C301" s="8">
        <f>'Jun 23 '!N27</f>
        <v>277.5</v>
      </c>
      <c r="D301" s="8"/>
      <c r="E301" s="8"/>
      <c r="F301" s="9"/>
    </row>
    <row r="302" spans="1:6" ht="15.75" customHeight="1" x14ac:dyDescent="0.35">
      <c r="A302" s="7">
        <v>45104</v>
      </c>
      <c r="B302" s="8"/>
      <c r="C302" s="8">
        <f>'Jun 23 '!N28</f>
        <v>404.39999999999986</v>
      </c>
      <c r="D302" s="8"/>
      <c r="E302" s="8">
        <f>5.48+4.12</f>
        <v>9.6000000000000014</v>
      </c>
      <c r="F302" s="9" t="s">
        <v>2417</v>
      </c>
    </row>
    <row r="303" spans="1:6" ht="15.75" customHeight="1" x14ac:dyDescent="0.35">
      <c r="A303" s="7">
        <v>45105</v>
      </c>
      <c r="B303" s="8"/>
      <c r="C303" s="8">
        <f>'Jun 23 '!N29</f>
        <v>354</v>
      </c>
      <c r="D303" s="8"/>
      <c r="E303" s="8"/>
      <c r="F303" s="9"/>
    </row>
    <row r="304" spans="1:6" ht="15.75" customHeight="1" x14ac:dyDescent="0.35">
      <c r="A304" s="7">
        <v>45106</v>
      </c>
      <c r="B304" s="8"/>
      <c r="C304" s="8">
        <f>'Jun 23 '!N30</f>
        <v>288.60000000000002</v>
      </c>
      <c r="D304" s="8"/>
      <c r="E304" s="8">
        <f>0.94</f>
        <v>0.94</v>
      </c>
      <c r="F304" s="9" t="s">
        <v>2417</v>
      </c>
    </row>
    <row r="305" spans="1:6" ht="15.75" customHeight="1" x14ac:dyDescent="0.35">
      <c r="A305" s="7">
        <v>45107</v>
      </c>
      <c r="B305" s="8"/>
      <c r="C305" s="8">
        <f>'Jun 23 '!N31</f>
        <v>302.53999999999996</v>
      </c>
      <c r="D305" s="8"/>
      <c r="E305" s="8">
        <f>2.6</f>
        <v>2.6</v>
      </c>
      <c r="F305" s="9" t="s">
        <v>2489</v>
      </c>
    </row>
    <row r="306" spans="1:6" ht="15.75" customHeight="1" x14ac:dyDescent="0.35">
      <c r="A306" s="14"/>
      <c r="B306" s="15" t="s">
        <v>2378</v>
      </c>
      <c r="C306" s="15"/>
      <c r="D306" s="15"/>
      <c r="E306" s="15"/>
      <c r="F306" s="16"/>
    </row>
    <row r="307" spans="1:6" ht="15.75" customHeight="1" x14ac:dyDescent="0.35">
      <c r="A307" s="7">
        <v>45108</v>
      </c>
      <c r="B307" s="8"/>
      <c r="C307" s="8">
        <f>'Jul 23'!N2</f>
        <v>389.40000000000009</v>
      </c>
      <c r="D307" s="8"/>
      <c r="E307" s="8">
        <f>80.5</f>
        <v>80.5</v>
      </c>
      <c r="F307" s="9" t="s">
        <v>2490</v>
      </c>
    </row>
    <row r="308" spans="1:6" ht="15.75" customHeight="1" x14ac:dyDescent="0.35">
      <c r="A308" s="7">
        <v>45109</v>
      </c>
      <c r="B308" s="8"/>
      <c r="C308" s="8">
        <f>'Jul 23'!N3</f>
        <v>382.59999999999945</v>
      </c>
      <c r="D308" s="8"/>
      <c r="E308" s="8">
        <v>44</v>
      </c>
      <c r="F308" s="9" t="s">
        <v>2491</v>
      </c>
    </row>
    <row r="309" spans="1:6" ht="15.75" customHeight="1" x14ac:dyDescent="0.35">
      <c r="A309" s="7">
        <v>45110</v>
      </c>
      <c r="B309" s="8"/>
      <c r="C309" s="8">
        <f>'Jul 23'!N4</f>
        <v>291.09999999999991</v>
      </c>
      <c r="D309" s="8"/>
      <c r="E309" s="8"/>
      <c r="F309" s="9"/>
    </row>
    <row r="310" spans="1:6" ht="15.75" customHeight="1" x14ac:dyDescent="0.35">
      <c r="A310" s="7">
        <v>45111</v>
      </c>
      <c r="B310" s="8"/>
      <c r="C310" s="8">
        <f>'Jul 23'!N5</f>
        <v>273</v>
      </c>
      <c r="D310" s="8"/>
      <c r="E310" s="8"/>
      <c r="F310" s="9"/>
    </row>
    <row r="311" spans="1:6" ht="15.75" customHeight="1" x14ac:dyDescent="0.35">
      <c r="A311" s="7">
        <v>45112</v>
      </c>
      <c r="B311" s="12">
        <v>2825</v>
      </c>
      <c r="C311" s="8">
        <f>'Jul 23'!N6</f>
        <v>259.27</v>
      </c>
      <c r="D311" s="8"/>
      <c r="E311" s="8">
        <v>42.9</v>
      </c>
      <c r="F311" s="9" t="s">
        <v>2492</v>
      </c>
    </row>
    <row r="312" spans="1:6" ht="15.75" customHeight="1" x14ac:dyDescent="0.35">
      <c r="A312" s="7">
        <v>45113</v>
      </c>
      <c r="B312" s="8"/>
      <c r="C312" s="8">
        <f>'Jul 23'!N7</f>
        <v>300.44000000000005</v>
      </c>
      <c r="D312" s="8"/>
      <c r="E312" s="8"/>
      <c r="F312" s="9"/>
    </row>
    <row r="313" spans="1:6" ht="15.75" customHeight="1" x14ac:dyDescent="0.35">
      <c r="A313" s="7">
        <v>45114</v>
      </c>
      <c r="B313" s="8"/>
      <c r="C313" s="8">
        <f>'Jul 23'!N8</f>
        <v>441.87000000000012</v>
      </c>
      <c r="D313" s="8"/>
      <c r="E313" s="8">
        <f>69.73+82</f>
        <v>151.73000000000002</v>
      </c>
      <c r="F313" s="9" t="s">
        <v>2493</v>
      </c>
    </row>
    <row r="314" spans="1:6" ht="15.75" customHeight="1" x14ac:dyDescent="0.35">
      <c r="A314" s="7">
        <v>45115</v>
      </c>
      <c r="B314" s="8"/>
      <c r="C314" s="8">
        <f>'Jul 23'!N9</f>
        <v>548.03</v>
      </c>
      <c r="D314" s="8"/>
      <c r="E314" s="8">
        <v>97.56</v>
      </c>
      <c r="F314" s="9" t="s">
        <v>2494</v>
      </c>
    </row>
    <row r="315" spans="1:6" ht="15.75" customHeight="1" x14ac:dyDescent="0.35">
      <c r="A315" s="7">
        <v>45116</v>
      </c>
      <c r="B315" s="8"/>
      <c r="C315" s="8">
        <f>'Jul 23'!N10</f>
        <v>412.09999999999991</v>
      </c>
      <c r="D315" s="8"/>
      <c r="E315" s="8"/>
      <c r="F315" s="9"/>
    </row>
    <row r="316" spans="1:6" ht="15.75" customHeight="1" x14ac:dyDescent="0.35">
      <c r="A316" s="7">
        <v>45117</v>
      </c>
      <c r="B316" s="8"/>
      <c r="C316" s="8">
        <f>'Jul 23'!N11</f>
        <v>335.68000000000006</v>
      </c>
      <c r="D316" s="8"/>
      <c r="E316" s="8"/>
      <c r="F316" s="9"/>
    </row>
    <row r="317" spans="1:6" ht="15.75" customHeight="1" x14ac:dyDescent="0.35">
      <c r="A317" s="7">
        <v>45118</v>
      </c>
      <c r="B317" s="8"/>
      <c r="C317" s="8">
        <f>'Jul 23'!N12</f>
        <v>311.20000000000005</v>
      </c>
      <c r="D317" s="8"/>
      <c r="E317" s="8">
        <f>317+9.66</f>
        <v>326.66000000000003</v>
      </c>
      <c r="F317" s="9" t="s">
        <v>2495</v>
      </c>
    </row>
    <row r="318" spans="1:6" ht="15.75" customHeight="1" x14ac:dyDescent="0.35">
      <c r="A318" s="7">
        <v>45119</v>
      </c>
      <c r="B318" s="8"/>
      <c r="C318" s="8">
        <f>'Jul 23'!N13</f>
        <v>263.87000000000012</v>
      </c>
      <c r="D318" s="8"/>
      <c r="E318" s="8">
        <f>24+32</f>
        <v>56</v>
      </c>
      <c r="F318" s="9" t="s">
        <v>2496</v>
      </c>
    </row>
    <row r="319" spans="1:6" ht="15.75" customHeight="1" x14ac:dyDescent="0.35">
      <c r="A319" s="7">
        <v>45120</v>
      </c>
      <c r="B319" s="12">
        <v>2185</v>
      </c>
      <c r="C319" s="8">
        <f>'Jul 23'!N14</f>
        <v>227.22000000000003</v>
      </c>
      <c r="D319" s="8"/>
      <c r="E319" s="8">
        <v>16</v>
      </c>
      <c r="F319" s="9" t="s">
        <v>2421</v>
      </c>
    </row>
    <row r="320" spans="1:6" ht="15.75" customHeight="1" x14ac:dyDescent="0.35">
      <c r="A320" s="7">
        <v>45121</v>
      </c>
      <c r="B320" s="8"/>
      <c r="C320" s="8">
        <f>'Jul 23'!N15</f>
        <v>237.71999999999991</v>
      </c>
      <c r="D320" s="8"/>
      <c r="E320" s="8">
        <f>431.44+49.42 +6.51</f>
        <v>487.37</v>
      </c>
      <c r="F320" s="9" t="s">
        <v>2497</v>
      </c>
    </row>
    <row r="321" spans="1:6" ht="15.75" customHeight="1" x14ac:dyDescent="0.35">
      <c r="A321" s="7">
        <v>45122</v>
      </c>
      <c r="B321" s="8"/>
      <c r="C321" s="8">
        <f>'Jul 23'!N16</f>
        <v>265.87000000000012</v>
      </c>
      <c r="D321" s="8"/>
      <c r="E321" s="8"/>
      <c r="F321" s="9"/>
    </row>
    <row r="322" spans="1:6" ht="15.75" customHeight="1" x14ac:dyDescent="0.35">
      <c r="A322" s="7">
        <v>45123</v>
      </c>
      <c r="B322" s="8"/>
      <c r="C322" s="8">
        <f>'Jul 23'!N17</f>
        <v>304.72000000000003</v>
      </c>
      <c r="D322" s="8"/>
      <c r="E322" s="8"/>
      <c r="F322" s="9"/>
    </row>
    <row r="323" spans="1:6" ht="15.75" customHeight="1" x14ac:dyDescent="0.35">
      <c r="A323" s="7">
        <v>45124</v>
      </c>
      <c r="B323" s="8"/>
      <c r="C323" s="8">
        <f>'Jul 23'!N18</f>
        <v>473.59999999999991</v>
      </c>
      <c r="D323" s="8"/>
      <c r="E323" s="8">
        <f>24.76</f>
        <v>24.76</v>
      </c>
      <c r="F323" s="9" t="s">
        <v>2420</v>
      </c>
    </row>
    <row r="324" spans="1:6" ht="15.75" customHeight="1" x14ac:dyDescent="0.35">
      <c r="A324" s="7">
        <v>45125</v>
      </c>
      <c r="B324" s="8"/>
      <c r="C324" s="8">
        <f>'Jul 23'!N19</f>
        <v>407.59999999999991</v>
      </c>
      <c r="D324" s="8"/>
      <c r="E324" s="8">
        <f>2.18+10.59</f>
        <v>12.77</v>
      </c>
      <c r="F324" s="9" t="s">
        <v>2498</v>
      </c>
    </row>
    <row r="325" spans="1:6" ht="15.75" customHeight="1" x14ac:dyDescent="0.35">
      <c r="A325" s="7">
        <v>45126</v>
      </c>
      <c r="B325" s="12">
        <v>1390</v>
      </c>
      <c r="C325" s="8">
        <f>'Jul 23'!N20</f>
        <v>214.5</v>
      </c>
      <c r="D325" s="8"/>
      <c r="E325" s="8"/>
      <c r="F325" s="9"/>
    </row>
    <row r="326" spans="1:6" ht="15.75" customHeight="1" x14ac:dyDescent="0.35">
      <c r="A326" s="7">
        <v>45127</v>
      </c>
      <c r="B326" s="8"/>
      <c r="C326" s="8">
        <f>'Jul 23'!N21</f>
        <v>250.89999999999998</v>
      </c>
      <c r="D326" s="8"/>
      <c r="E326" s="8"/>
      <c r="F326" s="9"/>
    </row>
    <row r="327" spans="1:6" ht="15.75" customHeight="1" x14ac:dyDescent="0.35">
      <c r="A327" s="7">
        <v>45128</v>
      </c>
      <c r="B327" s="8"/>
      <c r="C327" s="8">
        <f>'Jul 23'!N22</f>
        <v>282.59999999999991</v>
      </c>
      <c r="D327" s="8"/>
      <c r="E327" s="8">
        <f>40.9</f>
        <v>40.9</v>
      </c>
      <c r="F327" s="9" t="s">
        <v>2499</v>
      </c>
    </row>
    <row r="328" spans="1:6" ht="15.75" customHeight="1" x14ac:dyDescent="0.35">
      <c r="A328" s="7">
        <v>45129</v>
      </c>
      <c r="B328" s="8"/>
      <c r="C328" s="8">
        <f>'Jul 23'!N23</f>
        <v>314.74000000000024</v>
      </c>
      <c r="D328" s="8"/>
      <c r="E328" s="8"/>
      <c r="F328" s="9"/>
    </row>
    <row r="329" spans="1:6" ht="15.75" customHeight="1" x14ac:dyDescent="0.35">
      <c r="A329" s="7">
        <v>45130</v>
      </c>
      <c r="B329" s="8"/>
      <c r="C329" s="8">
        <f>'Jul 23'!N24</f>
        <v>522</v>
      </c>
      <c r="D329" s="8"/>
      <c r="E329" s="8">
        <f>1.61</f>
        <v>1.61</v>
      </c>
      <c r="F329" s="9" t="s">
        <v>2417</v>
      </c>
    </row>
    <row r="330" spans="1:6" ht="15.75" customHeight="1" x14ac:dyDescent="0.35">
      <c r="A330" s="7">
        <v>45131</v>
      </c>
      <c r="B330" s="8"/>
      <c r="C330" s="8">
        <f>'Jul 23'!N25</f>
        <v>387.69999999999993</v>
      </c>
      <c r="D330" s="8"/>
      <c r="E330" s="8"/>
      <c r="F330" s="9"/>
    </row>
    <row r="331" spans="1:6" ht="15.75" customHeight="1" x14ac:dyDescent="0.35">
      <c r="A331" s="7">
        <v>45132</v>
      </c>
      <c r="B331" s="8"/>
      <c r="C331" s="8">
        <f>'Jul 23'!N26</f>
        <v>249.72000000000025</v>
      </c>
      <c r="D331" s="8"/>
      <c r="E331" s="8">
        <f>84.4+81</f>
        <v>165.4</v>
      </c>
      <c r="F331" s="17" t="s">
        <v>2500</v>
      </c>
    </row>
    <row r="332" spans="1:6" ht="15.75" customHeight="1" x14ac:dyDescent="0.35">
      <c r="A332" s="7">
        <v>45133</v>
      </c>
      <c r="B332" s="12">
        <v>2030</v>
      </c>
      <c r="C332" s="8">
        <f>'Jul 23'!N27</f>
        <v>409.59999999999991</v>
      </c>
      <c r="D332" s="8"/>
      <c r="E332" s="8">
        <f>1.88</f>
        <v>1.88</v>
      </c>
      <c r="F332" s="9" t="s">
        <v>2417</v>
      </c>
    </row>
    <row r="333" spans="1:6" ht="15.75" customHeight="1" x14ac:dyDescent="0.35">
      <c r="A333" s="7">
        <v>45134</v>
      </c>
      <c r="B333" s="8"/>
      <c r="C333" s="8">
        <f>'Jul 23'!N28</f>
        <v>176.20000000000027</v>
      </c>
      <c r="D333" s="8"/>
      <c r="E333" s="8"/>
      <c r="F333" s="9"/>
    </row>
    <row r="334" spans="1:6" ht="15.75" customHeight="1" x14ac:dyDescent="0.35">
      <c r="A334" s="7">
        <v>45135</v>
      </c>
      <c r="B334" s="8"/>
      <c r="C334" s="8">
        <f>'Jul 23'!N29</f>
        <v>244.51999999999998</v>
      </c>
      <c r="D334" s="8"/>
      <c r="E334" s="8"/>
      <c r="F334" s="9"/>
    </row>
    <row r="335" spans="1:6" ht="15.75" customHeight="1" x14ac:dyDescent="0.35">
      <c r="A335" s="7">
        <v>45136</v>
      </c>
      <c r="B335" s="8"/>
      <c r="C335" s="8">
        <f>'Jul 23'!N30</f>
        <v>614.29999999999995</v>
      </c>
      <c r="D335" s="8"/>
      <c r="E335" s="8"/>
      <c r="F335" s="9"/>
    </row>
    <row r="336" spans="1:6" ht="15.75" customHeight="1" x14ac:dyDescent="0.35">
      <c r="A336" s="7">
        <v>45137</v>
      </c>
      <c r="B336" s="8"/>
      <c r="C336" s="8">
        <f>'Jul 23'!N31</f>
        <v>515.80000000000018</v>
      </c>
      <c r="D336" s="8"/>
      <c r="E336" s="8"/>
      <c r="F336" s="9"/>
    </row>
    <row r="337" spans="1:6" ht="15.75" customHeight="1" x14ac:dyDescent="0.35">
      <c r="A337" s="7">
        <v>45138</v>
      </c>
      <c r="B337" s="12">
        <v>1365</v>
      </c>
      <c r="C337" s="8">
        <f>'Jul 23'!N32</f>
        <v>204.90000000000009</v>
      </c>
      <c r="D337" s="8"/>
      <c r="E337" s="8">
        <f>47.8+34.2+295+20</f>
        <v>397</v>
      </c>
      <c r="F337" s="9" t="s">
        <v>2501</v>
      </c>
    </row>
    <row r="338" spans="1:6" ht="15.75" customHeight="1" x14ac:dyDescent="0.35">
      <c r="A338" s="14"/>
      <c r="B338" s="15" t="s">
        <v>2502</v>
      </c>
      <c r="C338" s="15"/>
      <c r="D338" s="15"/>
      <c r="E338" s="15"/>
      <c r="F338" s="16"/>
    </row>
    <row r="339" spans="1:6" ht="15.75" customHeight="1" x14ac:dyDescent="0.35">
      <c r="A339" s="7">
        <v>45139</v>
      </c>
      <c r="B339" s="8"/>
      <c r="C339" s="8">
        <f>'Ago 23'!N2</f>
        <v>330.20000000000005</v>
      </c>
      <c r="D339" s="8"/>
      <c r="E339" s="8">
        <f>329.9</f>
        <v>329.9</v>
      </c>
      <c r="F339" s="9" t="s">
        <v>2503</v>
      </c>
    </row>
    <row r="340" spans="1:6" ht="15.75" customHeight="1" x14ac:dyDescent="0.35">
      <c r="A340" s="7">
        <v>45140</v>
      </c>
      <c r="B340" s="8"/>
      <c r="C340" s="8">
        <f>'Ago 23'!N3</f>
        <v>199.07999999999993</v>
      </c>
      <c r="D340" s="8"/>
      <c r="E340" s="8">
        <v>99.98</v>
      </c>
      <c r="F340" s="9" t="s">
        <v>2504</v>
      </c>
    </row>
    <row r="341" spans="1:6" ht="15.75" customHeight="1" x14ac:dyDescent="0.35">
      <c r="A341" s="7">
        <v>45141</v>
      </c>
      <c r="B341" s="8"/>
      <c r="C341" s="8">
        <f>'Ago 23'!N4</f>
        <v>234.5</v>
      </c>
      <c r="D341" s="8"/>
      <c r="E341" s="8">
        <v>334.25</v>
      </c>
      <c r="F341" s="9" t="s">
        <v>2505</v>
      </c>
    </row>
    <row r="342" spans="1:6" ht="15.75" customHeight="1" x14ac:dyDescent="0.35">
      <c r="A342" s="7">
        <v>45142</v>
      </c>
      <c r="B342" s="8"/>
      <c r="C342" s="8">
        <f>'Ago 23'!N5</f>
        <v>360.72</v>
      </c>
      <c r="D342" s="8"/>
      <c r="E342" s="8">
        <f>170.6</f>
        <v>170.6</v>
      </c>
      <c r="F342" s="2" t="s">
        <v>2506</v>
      </c>
    </row>
    <row r="343" spans="1:6" ht="15.75" customHeight="1" x14ac:dyDescent="0.35">
      <c r="A343" s="7">
        <v>45143</v>
      </c>
      <c r="B343" s="8"/>
      <c r="C343" s="8">
        <f>'Ago 23'!N6</f>
        <v>492.02</v>
      </c>
      <c r="D343" s="8"/>
      <c r="E343" s="8">
        <v>169</v>
      </c>
      <c r="F343" s="9" t="s">
        <v>2507</v>
      </c>
    </row>
    <row r="344" spans="1:6" ht="15.75" customHeight="1" x14ac:dyDescent="0.35">
      <c r="A344" s="7">
        <v>45144</v>
      </c>
      <c r="B344" s="1"/>
      <c r="C344" s="8">
        <f>'Ago 23'!N7</f>
        <v>537.20000000000027</v>
      </c>
      <c r="D344" s="8"/>
      <c r="E344" s="8"/>
      <c r="F344" s="9"/>
    </row>
    <row r="345" spans="1:6" ht="15.75" customHeight="1" x14ac:dyDescent="0.35">
      <c r="A345" s="7">
        <v>45145</v>
      </c>
      <c r="B345" s="1"/>
      <c r="C345" s="8">
        <f>'Ago 23'!N8</f>
        <v>641.59999999999991</v>
      </c>
      <c r="D345" s="8"/>
      <c r="E345" s="8">
        <f>58.56</f>
        <v>58.56</v>
      </c>
      <c r="F345" s="9" t="s">
        <v>2486</v>
      </c>
    </row>
    <row r="346" spans="1:6" ht="15.75" customHeight="1" x14ac:dyDescent="0.35">
      <c r="A346" s="7">
        <v>45146</v>
      </c>
      <c r="B346" s="12">
        <f>1180+75+175</f>
        <v>1430</v>
      </c>
      <c r="C346" s="8">
        <f>'Ago 23'!N9</f>
        <v>510</v>
      </c>
      <c r="D346" s="8"/>
      <c r="E346" s="8">
        <f>366.95 + 42.44</f>
        <v>409.39</v>
      </c>
      <c r="F346" s="9" t="s">
        <v>2508</v>
      </c>
    </row>
    <row r="347" spans="1:6" ht="15.75" customHeight="1" x14ac:dyDescent="0.35">
      <c r="A347" s="7">
        <v>45147</v>
      </c>
      <c r="B347" s="8"/>
      <c r="C347" s="8">
        <f>'Ago 23'!N10</f>
        <v>377.50000000000023</v>
      </c>
      <c r="D347" s="8"/>
      <c r="E347" s="8"/>
      <c r="F347" s="9"/>
    </row>
    <row r="348" spans="1:6" ht="15.75" customHeight="1" x14ac:dyDescent="0.35">
      <c r="A348" s="7">
        <v>45148</v>
      </c>
      <c r="B348" s="8"/>
      <c r="C348" s="8">
        <f>'Ago 23'!N11</f>
        <v>375.10000000000014</v>
      </c>
      <c r="D348" s="8"/>
      <c r="E348" s="8">
        <f>56.74</f>
        <v>56.74</v>
      </c>
      <c r="F348" s="9" t="s">
        <v>2509</v>
      </c>
    </row>
    <row r="349" spans="1:6" ht="15.75" customHeight="1" x14ac:dyDescent="0.35">
      <c r="A349" s="7">
        <v>45149</v>
      </c>
      <c r="B349" s="8"/>
      <c r="C349" s="8">
        <f>'Ago 23'!N12</f>
        <v>461.53999999999974</v>
      </c>
      <c r="D349" s="8"/>
      <c r="E349" s="8">
        <f>79.96</f>
        <v>79.959999999999994</v>
      </c>
      <c r="F349" s="9" t="s">
        <v>2417</v>
      </c>
    </row>
    <row r="350" spans="1:6" ht="15.75" customHeight="1" x14ac:dyDescent="0.35">
      <c r="A350" s="7">
        <v>45150</v>
      </c>
      <c r="B350" s="8"/>
      <c r="C350" s="8">
        <f>'Ago 23'!N13</f>
        <v>470.60000000000014</v>
      </c>
      <c r="D350" s="8"/>
      <c r="E350" s="8">
        <f>49.63</f>
        <v>49.63</v>
      </c>
      <c r="F350" s="9" t="s">
        <v>2510</v>
      </c>
    </row>
    <row r="351" spans="1:6" ht="15.75" customHeight="1" x14ac:dyDescent="0.35">
      <c r="A351" s="7">
        <v>45151</v>
      </c>
      <c r="B351" s="8"/>
      <c r="C351" s="8">
        <f>'Ago 23'!N14</f>
        <v>386.15999999999985</v>
      </c>
      <c r="D351" s="8"/>
      <c r="E351" s="8">
        <f>7.18</f>
        <v>7.18</v>
      </c>
      <c r="F351" s="9" t="s">
        <v>2417</v>
      </c>
    </row>
    <row r="352" spans="1:6" ht="15.75" customHeight="1" x14ac:dyDescent="0.35">
      <c r="A352" s="7">
        <v>45152</v>
      </c>
      <c r="B352" s="8"/>
      <c r="C352" s="8">
        <f>'Ago 23'!N15</f>
        <v>346.5</v>
      </c>
      <c r="D352" s="8"/>
      <c r="E352" s="8">
        <f>505.23</f>
        <v>505.23</v>
      </c>
      <c r="F352" s="9" t="s">
        <v>2511</v>
      </c>
    </row>
    <row r="353" spans="1:6" ht="15.75" customHeight="1" x14ac:dyDescent="0.35">
      <c r="A353" s="7">
        <v>45153</v>
      </c>
      <c r="B353" s="12">
        <v>1990</v>
      </c>
      <c r="C353" s="8">
        <f>'Ago 23'!N16</f>
        <v>588.55999999999995</v>
      </c>
      <c r="D353" s="8"/>
      <c r="E353" s="8">
        <f>120+82.68+36.95</f>
        <v>239.63</v>
      </c>
      <c r="F353" s="9" t="s">
        <v>2512</v>
      </c>
    </row>
    <row r="354" spans="1:6" ht="15.75" customHeight="1" x14ac:dyDescent="0.35">
      <c r="A354" s="7">
        <v>45154</v>
      </c>
      <c r="B354" s="8"/>
      <c r="C354" s="8">
        <f>'Ago 23'!N17</f>
        <v>226.20000000000005</v>
      </c>
      <c r="D354" s="8"/>
      <c r="E354" s="8">
        <f>20.2</f>
        <v>20.2</v>
      </c>
      <c r="F354" s="9" t="s">
        <v>2510</v>
      </c>
    </row>
    <row r="355" spans="1:6" ht="15.75" customHeight="1" x14ac:dyDescent="0.35">
      <c r="A355" s="7">
        <v>45155</v>
      </c>
      <c r="B355" s="8"/>
      <c r="C355" s="8">
        <f>'Ago 23'!N18</f>
        <v>267.09999999999991</v>
      </c>
      <c r="D355" s="8"/>
      <c r="E355" s="8">
        <f>79.5</f>
        <v>79.5</v>
      </c>
      <c r="F355" s="9" t="s">
        <v>2513</v>
      </c>
    </row>
    <row r="356" spans="1:6" ht="15.75" customHeight="1" x14ac:dyDescent="0.35">
      <c r="A356" s="7">
        <v>45156</v>
      </c>
      <c r="B356" s="8"/>
      <c r="C356" s="8">
        <f>'Ago 23'!N19</f>
        <v>387.20000000000005</v>
      </c>
      <c r="D356" s="8"/>
      <c r="E356" s="8"/>
      <c r="F356" s="9"/>
    </row>
    <row r="357" spans="1:6" ht="15.75" customHeight="1" x14ac:dyDescent="0.35">
      <c r="A357" s="7">
        <v>45157</v>
      </c>
      <c r="B357" s="8"/>
      <c r="C357" s="8">
        <f>'Ago 23'!N20</f>
        <v>362.35000000000014</v>
      </c>
      <c r="D357" s="8"/>
      <c r="E357" s="8">
        <f>29.52 +72.2+(34.91+78.6) + 195.22</f>
        <v>410.45</v>
      </c>
      <c r="F357" s="9" t="s">
        <v>2514</v>
      </c>
    </row>
    <row r="358" spans="1:6" ht="15.75" customHeight="1" x14ac:dyDescent="0.35">
      <c r="A358" s="7">
        <v>45158</v>
      </c>
      <c r="B358" s="8"/>
      <c r="C358" s="8">
        <f>'Ago 23'!N21</f>
        <v>482.60000000000014</v>
      </c>
      <c r="D358" s="8"/>
      <c r="E358" s="8"/>
      <c r="F358" s="9"/>
    </row>
    <row r="359" spans="1:6" ht="15.75" customHeight="1" x14ac:dyDescent="0.35">
      <c r="A359" s="7">
        <v>45159</v>
      </c>
      <c r="B359" s="12">
        <v>1810</v>
      </c>
      <c r="C359" s="8">
        <f>'Ago 23'!N22</f>
        <v>548.81999999999994</v>
      </c>
      <c r="D359" s="8"/>
      <c r="E359" s="8"/>
      <c r="F359" s="9"/>
    </row>
    <row r="360" spans="1:6" ht="15.75" customHeight="1" x14ac:dyDescent="0.35">
      <c r="A360" s="7">
        <v>45160</v>
      </c>
      <c r="B360" s="8"/>
      <c r="C360" s="8">
        <f>'Ago 23'!N23</f>
        <v>510.83999999999992</v>
      </c>
      <c r="D360" s="8"/>
      <c r="E360" s="8">
        <f>515.93+104.55</f>
        <v>620.4799999999999</v>
      </c>
      <c r="F360" s="9" t="s">
        <v>2515</v>
      </c>
    </row>
    <row r="361" spans="1:6" ht="15.75" customHeight="1" x14ac:dyDescent="0.35">
      <c r="A361" s="7">
        <v>45161</v>
      </c>
      <c r="B361" s="8"/>
      <c r="C361" s="8">
        <f>'Ago 23'!N24</f>
        <v>430.19999999999982</v>
      </c>
      <c r="D361" s="8"/>
      <c r="E361" s="8">
        <f>318.76+32.26</f>
        <v>351.02</v>
      </c>
      <c r="F361" s="9" t="s">
        <v>2516</v>
      </c>
    </row>
    <row r="362" spans="1:6" ht="15.75" customHeight="1" x14ac:dyDescent="0.35">
      <c r="A362" s="7">
        <v>45162</v>
      </c>
      <c r="B362" s="8"/>
      <c r="C362" s="8">
        <f>'Ago 23'!N25</f>
        <v>323.24</v>
      </c>
      <c r="D362" s="8"/>
      <c r="E362" s="8">
        <f>168.73+79.33+8.05</f>
        <v>256.11</v>
      </c>
      <c r="F362" s="9" t="s">
        <v>2517</v>
      </c>
    </row>
    <row r="363" spans="1:6" ht="15.75" customHeight="1" x14ac:dyDescent="0.35">
      <c r="A363" s="7">
        <v>45163</v>
      </c>
      <c r="B363" s="8"/>
      <c r="C363" s="8">
        <f>'Ago 23'!N26</f>
        <v>353.70000000000005</v>
      </c>
      <c r="D363" s="8"/>
      <c r="E363" s="8">
        <f>47.88</f>
        <v>47.88</v>
      </c>
      <c r="F363" s="9" t="s">
        <v>2518</v>
      </c>
    </row>
    <row r="364" spans="1:6" ht="15.75" customHeight="1" x14ac:dyDescent="0.35">
      <c r="A364" s="7">
        <v>45164</v>
      </c>
      <c r="B364" s="8"/>
      <c r="C364" s="8">
        <f>'Ago 23'!N27</f>
        <v>426.24</v>
      </c>
      <c r="D364" s="8"/>
      <c r="E364" s="8">
        <f>2.14</f>
        <v>2.14</v>
      </c>
      <c r="F364" s="9" t="s">
        <v>2518</v>
      </c>
    </row>
    <row r="365" spans="1:6" ht="15.75" customHeight="1" x14ac:dyDescent="0.35">
      <c r="A365" s="7">
        <v>45165</v>
      </c>
      <c r="B365" s="8"/>
      <c r="C365" s="8">
        <f>'Ago 23'!N28</f>
        <v>392.98</v>
      </c>
      <c r="D365" s="8"/>
      <c r="E365" s="8">
        <f>39.8+42.7+27.8+29.2</f>
        <v>139.5</v>
      </c>
      <c r="F365" s="9" t="s">
        <v>2519</v>
      </c>
    </row>
    <row r="366" spans="1:6" ht="15.75" customHeight="1" x14ac:dyDescent="0.35">
      <c r="A366" s="7">
        <v>45166</v>
      </c>
      <c r="B366" s="8"/>
      <c r="C366" s="8">
        <f>'Ago 23'!N29</f>
        <v>208.89999999999998</v>
      </c>
      <c r="D366" s="8"/>
      <c r="E366" s="8"/>
      <c r="F366" s="9"/>
    </row>
    <row r="367" spans="1:6" ht="15.75" customHeight="1" x14ac:dyDescent="0.35">
      <c r="A367" s="7">
        <v>45167</v>
      </c>
      <c r="B367" s="8"/>
      <c r="C367" s="8">
        <f>'Ago 23'!N30</f>
        <v>340.68000000000006</v>
      </c>
      <c r="D367" s="8"/>
      <c r="E367" s="8"/>
      <c r="F367" s="9"/>
    </row>
    <row r="368" spans="1:6" ht="15.75" customHeight="1" x14ac:dyDescent="0.35">
      <c r="A368" s="7">
        <v>45168</v>
      </c>
      <c r="B368" s="8"/>
      <c r="C368" s="8">
        <f>'Ago 23'!N31</f>
        <v>303.00000000000011</v>
      </c>
      <c r="D368" s="8"/>
      <c r="E368" s="8"/>
      <c r="F368" s="9"/>
    </row>
    <row r="369" spans="1:8" ht="15.75" customHeight="1" x14ac:dyDescent="0.35">
      <c r="A369" s="7">
        <v>45169</v>
      </c>
      <c r="B369" s="8"/>
      <c r="C369" s="8">
        <f>'Ago 23'!N32</f>
        <v>396.88000000000011</v>
      </c>
      <c r="D369" s="8"/>
      <c r="E369" s="8"/>
      <c r="F369" s="9"/>
    </row>
    <row r="370" spans="1:8" ht="15.75" customHeight="1" x14ac:dyDescent="0.35">
      <c r="A370" s="14"/>
      <c r="B370" s="67" t="s">
        <v>2520</v>
      </c>
      <c r="C370" s="67"/>
      <c r="D370" s="67"/>
      <c r="E370" s="67"/>
      <c r="F370" s="68"/>
      <c r="H370" s="2" t="s">
        <v>2521</v>
      </c>
    </row>
    <row r="371" spans="1:8" ht="15.75" customHeight="1" x14ac:dyDescent="0.35">
      <c r="A371" s="69">
        <v>45170</v>
      </c>
      <c r="B371" s="18"/>
      <c r="C371" s="19">
        <f>'Set 23'!N2</f>
        <v>323.76</v>
      </c>
      <c r="D371" s="18"/>
      <c r="E371" s="19">
        <f>1.99</f>
        <v>1.99</v>
      </c>
      <c r="F371" s="20" t="s">
        <v>2417</v>
      </c>
      <c r="H371" s="2" t="s">
        <v>2522</v>
      </c>
    </row>
    <row r="372" spans="1:8" ht="15.75" customHeight="1" x14ac:dyDescent="0.35">
      <c r="A372" s="69">
        <v>45171</v>
      </c>
      <c r="B372" s="18"/>
      <c r="C372" s="19">
        <f>'Set 23'!N3</f>
        <v>390.79999999999995</v>
      </c>
      <c r="D372" s="18"/>
      <c r="E372" s="19"/>
      <c r="F372" s="20"/>
    </row>
    <row r="373" spans="1:8" ht="15.75" customHeight="1" x14ac:dyDescent="0.35">
      <c r="A373" s="69">
        <v>45172</v>
      </c>
      <c r="B373" s="18"/>
      <c r="C373" s="19">
        <f>'Set 23'!N4</f>
        <v>250.08000000000015</v>
      </c>
      <c r="D373" s="18"/>
      <c r="E373" s="19">
        <f>6.01</f>
        <v>6.01</v>
      </c>
      <c r="F373" s="20" t="s">
        <v>2417</v>
      </c>
    </row>
    <row r="374" spans="1:8" ht="15.75" customHeight="1" x14ac:dyDescent="0.35">
      <c r="A374" s="69">
        <v>45173</v>
      </c>
      <c r="B374" s="21">
        <v>3780</v>
      </c>
      <c r="C374" s="19">
        <f>'Set 23'!N5</f>
        <v>94.100000000000023</v>
      </c>
      <c r="D374" s="18"/>
      <c r="E374" s="19">
        <f>7.33</f>
        <v>7.33</v>
      </c>
      <c r="F374" s="20" t="s">
        <v>2417</v>
      </c>
    </row>
    <row r="375" spans="1:8" ht="15.75" customHeight="1" x14ac:dyDescent="0.35">
      <c r="A375" s="69">
        <v>45174</v>
      </c>
      <c r="B375" s="18"/>
      <c r="C375" s="19">
        <f>'Set 23'!N6</f>
        <v>241.10000000000002</v>
      </c>
      <c r="D375" s="18"/>
      <c r="E375" s="19">
        <v>241.04</v>
      </c>
      <c r="F375" s="20" t="s">
        <v>2523</v>
      </c>
    </row>
    <row r="376" spans="1:8" ht="15.75" customHeight="1" x14ac:dyDescent="0.35">
      <c r="A376" s="69">
        <v>45175</v>
      </c>
      <c r="B376" s="18"/>
      <c r="C376" s="19">
        <f>'Set 23'!N7</f>
        <v>306.5</v>
      </c>
      <c r="D376" s="18"/>
      <c r="E376" s="18"/>
      <c r="F376" s="20"/>
    </row>
    <row r="377" spans="1:8" ht="15.75" customHeight="1" x14ac:dyDescent="0.35">
      <c r="A377" s="69">
        <v>45176</v>
      </c>
      <c r="B377" s="18"/>
      <c r="C377" s="19">
        <f>'Set 23'!N8</f>
        <v>232.5</v>
      </c>
      <c r="D377" s="18"/>
      <c r="E377" s="19"/>
      <c r="F377" s="20"/>
    </row>
    <row r="378" spans="1:8" ht="15.75" customHeight="1" x14ac:dyDescent="0.35">
      <c r="A378" s="69">
        <v>45177</v>
      </c>
      <c r="B378" s="18"/>
      <c r="C378" s="19">
        <f>'Set 23'!N9</f>
        <v>263.60000000000014</v>
      </c>
      <c r="D378" s="18"/>
      <c r="E378" s="19">
        <v>65.400000000000006</v>
      </c>
      <c r="F378" s="20" t="s">
        <v>2486</v>
      </c>
    </row>
    <row r="379" spans="1:8" ht="15.75" customHeight="1" x14ac:dyDescent="0.35">
      <c r="A379" s="69">
        <v>45178</v>
      </c>
      <c r="B379" s="18"/>
      <c r="C379" s="19">
        <f>'Set 23'!N10</f>
        <v>610.32000000000062</v>
      </c>
      <c r="D379" s="18"/>
      <c r="E379" s="18">
        <v>17.59</v>
      </c>
      <c r="F379" s="20" t="s">
        <v>2417</v>
      </c>
    </row>
    <row r="380" spans="1:8" ht="15.75" customHeight="1" x14ac:dyDescent="0.35">
      <c r="A380" s="69">
        <v>45179</v>
      </c>
      <c r="B380" s="18"/>
      <c r="C380" s="19">
        <f>'Set 23'!N11</f>
        <v>337.29999999999995</v>
      </c>
      <c r="D380" s="18"/>
      <c r="E380" s="19">
        <f>5.59</f>
        <v>5.59</v>
      </c>
      <c r="F380" s="20" t="s">
        <v>2417</v>
      </c>
    </row>
    <row r="381" spans="1:8" ht="15.75" customHeight="1" x14ac:dyDescent="0.35">
      <c r="A381" s="69">
        <v>45180</v>
      </c>
      <c r="B381" s="21">
        <v>1700</v>
      </c>
      <c r="C381" s="19">
        <f>'Set 23'!N12</f>
        <v>151.19999999999993</v>
      </c>
      <c r="D381" s="18"/>
      <c r="E381" s="19">
        <f>52.29</f>
        <v>52.29</v>
      </c>
      <c r="F381" s="20" t="s">
        <v>2486</v>
      </c>
    </row>
    <row r="382" spans="1:8" ht="15.75" customHeight="1" x14ac:dyDescent="0.35">
      <c r="A382" s="69">
        <v>45181</v>
      </c>
      <c r="B382" s="18"/>
      <c r="C382" s="19">
        <f>'Set 23'!N13</f>
        <v>190.89999999999964</v>
      </c>
      <c r="D382" s="18"/>
      <c r="E382" s="19">
        <f>420.57+56.43</f>
        <v>477</v>
      </c>
      <c r="F382" s="20" t="s">
        <v>2524</v>
      </c>
    </row>
    <row r="383" spans="1:8" ht="15.75" customHeight="1" x14ac:dyDescent="0.35">
      <c r="A383" s="69">
        <v>45182</v>
      </c>
      <c r="B383" s="18"/>
      <c r="C383" s="19">
        <f>'Set 23'!N14</f>
        <v>342.79999999999995</v>
      </c>
      <c r="D383" s="18"/>
      <c r="E383" s="19">
        <f>(9.68*3)+36.11+25.2</f>
        <v>90.350000000000009</v>
      </c>
      <c r="F383" s="20" t="s">
        <v>2525</v>
      </c>
    </row>
    <row r="384" spans="1:8" ht="15.75" customHeight="1" x14ac:dyDescent="0.35">
      <c r="A384" s="69">
        <v>45183</v>
      </c>
      <c r="B384" s="18"/>
      <c r="C384" s="19">
        <f>'Set 23'!N15</f>
        <v>449.61999999999989</v>
      </c>
      <c r="D384" s="18"/>
      <c r="E384" s="19">
        <f>223.26+275.84</f>
        <v>499.09999999999997</v>
      </c>
      <c r="F384" s="20" t="s">
        <v>2526</v>
      </c>
    </row>
    <row r="385" spans="1:6" ht="15.75" customHeight="1" x14ac:dyDescent="0.35">
      <c r="A385" s="69">
        <v>45184</v>
      </c>
      <c r="B385" s="18"/>
      <c r="C385" s="19">
        <f>'Set 23'!N16</f>
        <v>227.10000000000002</v>
      </c>
      <c r="D385" s="18"/>
      <c r="E385" s="19">
        <f>64.83+25.07</f>
        <v>89.9</v>
      </c>
      <c r="F385" s="20" t="s">
        <v>2527</v>
      </c>
    </row>
    <row r="386" spans="1:6" ht="15.75" customHeight="1" x14ac:dyDescent="0.35">
      <c r="A386" s="69">
        <v>45185</v>
      </c>
      <c r="B386" s="18"/>
      <c r="C386" s="19">
        <f>'Set 23'!N17</f>
        <v>385.89999999999986</v>
      </c>
      <c r="D386" s="18"/>
      <c r="E386" s="19">
        <f>18.27</f>
        <v>18.27</v>
      </c>
      <c r="F386" s="20" t="s">
        <v>2417</v>
      </c>
    </row>
    <row r="387" spans="1:6" ht="15.75" customHeight="1" x14ac:dyDescent="0.35">
      <c r="A387" s="69">
        <v>45186</v>
      </c>
      <c r="B387" s="18"/>
      <c r="C387" s="19">
        <f>'Set 23'!N18</f>
        <v>216.10000000000002</v>
      </c>
      <c r="D387" s="18"/>
      <c r="E387" s="19"/>
      <c r="F387" s="20"/>
    </row>
    <row r="388" spans="1:6" ht="15.75" customHeight="1" x14ac:dyDescent="0.35">
      <c r="A388" s="69">
        <v>45187</v>
      </c>
      <c r="B388" s="18"/>
      <c r="C388" s="19">
        <f>'Set 23'!N19</f>
        <v>153.19999999999993</v>
      </c>
      <c r="D388" s="18"/>
      <c r="E388" s="18"/>
      <c r="F388" s="20"/>
    </row>
    <row r="389" spans="1:6" ht="15.75" customHeight="1" x14ac:dyDescent="0.35">
      <c r="A389" s="69">
        <v>45188</v>
      </c>
      <c r="B389" s="21">
        <v>1050</v>
      </c>
      <c r="C389" s="19">
        <f>'Set 23'!N20</f>
        <v>155.10000000000002</v>
      </c>
      <c r="D389" s="18"/>
      <c r="E389" s="19">
        <f>94.1</f>
        <v>94.1</v>
      </c>
      <c r="F389" s="20" t="s">
        <v>2528</v>
      </c>
    </row>
    <row r="390" spans="1:6" ht="15.75" customHeight="1" x14ac:dyDescent="0.35">
      <c r="A390" s="69">
        <v>45189</v>
      </c>
      <c r="B390" s="18"/>
      <c r="C390" s="19">
        <f>'Set 23'!N21</f>
        <v>117.30000000000001</v>
      </c>
      <c r="D390" s="18"/>
      <c r="E390" s="18">
        <f>426.81 + 346.94</f>
        <v>773.75</v>
      </c>
      <c r="F390" s="20" t="s">
        <v>2529</v>
      </c>
    </row>
    <row r="391" spans="1:6" ht="15.75" customHeight="1" x14ac:dyDescent="0.35">
      <c r="A391" s="69">
        <v>45190</v>
      </c>
      <c r="B391" s="18"/>
      <c r="C391" s="19">
        <f>'Set 23'!N22</f>
        <v>66.899999999999977</v>
      </c>
      <c r="D391" s="18"/>
      <c r="E391" s="18">
        <f>9.78</f>
        <v>9.7799999999999994</v>
      </c>
      <c r="F391" s="20" t="s">
        <v>2417</v>
      </c>
    </row>
    <row r="392" spans="1:6" ht="15.75" customHeight="1" x14ac:dyDescent="0.35">
      <c r="A392" s="69">
        <v>45191</v>
      </c>
      <c r="B392" s="18"/>
      <c r="C392" s="19">
        <f>'Set 23'!N23</f>
        <v>245.05999999999995</v>
      </c>
      <c r="D392" s="18"/>
      <c r="E392" s="19"/>
      <c r="F392" s="20"/>
    </row>
    <row r="393" spans="1:6" ht="15.75" customHeight="1" x14ac:dyDescent="0.35">
      <c r="A393" s="69">
        <v>45192</v>
      </c>
      <c r="B393" s="18"/>
      <c r="C393" s="19">
        <f>'Set 23'!N24</f>
        <v>454.39999999999986</v>
      </c>
      <c r="D393" s="18"/>
      <c r="E393" s="19">
        <f>5.37</f>
        <v>5.37</v>
      </c>
      <c r="F393" s="20" t="s">
        <v>2417</v>
      </c>
    </row>
    <row r="394" spans="1:6" ht="15.75" customHeight="1" x14ac:dyDescent="0.35">
      <c r="A394" s="69">
        <v>45193</v>
      </c>
      <c r="B394" s="18"/>
      <c r="C394" s="19">
        <f>'Set 23'!N25</f>
        <v>356.74</v>
      </c>
      <c r="D394" s="18"/>
      <c r="E394" s="18">
        <f>26.57</f>
        <v>26.57</v>
      </c>
      <c r="F394" s="20" t="s">
        <v>2530</v>
      </c>
    </row>
    <row r="395" spans="1:6" ht="15.75" customHeight="1" x14ac:dyDescent="0.35">
      <c r="A395" s="69">
        <v>45194</v>
      </c>
      <c r="B395" s="18"/>
      <c r="C395" s="19">
        <f>'Set 23'!N26</f>
        <v>113.49999999999989</v>
      </c>
      <c r="D395" s="18"/>
      <c r="E395" s="18">
        <f>9.66*3</f>
        <v>28.98</v>
      </c>
      <c r="F395" s="20" t="s">
        <v>2531</v>
      </c>
    </row>
    <row r="396" spans="1:6" ht="15.75" customHeight="1" x14ac:dyDescent="0.35">
      <c r="A396" s="69">
        <v>45195</v>
      </c>
      <c r="B396" s="18"/>
      <c r="C396" s="19">
        <f>'Set 23'!N27</f>
        <v>137.09999999999991</v>
      </c>
      <c r="D396" s="18"/>
      <c r="E396" s="18"/>
      <c r="F396" s="20"/>
    </row>
    <row r="397" spans="1:6" ht="15.75" customHeight="1" x14ac:dyDescent="0.35">
      <c r="A397" s="69">
        <v>45196</v>
      </c>
      <c r="B397" s="18"/>
      <c r="C397" s="19">
        <f>'Set 23'!N28</f>
        <v>226.24000000000012</v>
      </c>
      <c r="D397" s="18"/>
      <c r="E397" s="18"/>
      <c r="F397" s="20"/>
    </row>
    <row r="398" spans="1:6" ht="15.75" customHeight="1" x14ac:dyDescent="0.35">
      <c r="A398" s="69">
        <v>45197</v>
      </c>
      <c r="B398" s="18"/>
      <c r="C398" s="19">
        <f>'Set 23'!N29</f>
        <v>182.60000000000002</v>
      </c>
      <c r="D398" s="18"/>
      <c r="E398" s="18">
        <f>7.01</f>
        <v>7.01</v>
      </c>
      <c r="F398" s="20" t="s">
        <v>2417</v>
      </c>
    </row>
    <row r="399" spans="1:6" ht="15.75" customHeight="1" x14ac:dyDescent="0.35">
      <c r="A399" s="69">
        <v>45198</v>
      </c>
      <c r="B399" s="21">
        <f>600+405</f>
        <v>1005</v>
      </c>
      <c r="C399" s="19">
        <f>'Set 23'!N30</f>
        <v>158.79999999999995</v>
      </c>
      <c r="D399" s="18"/>
      <c r="E399" s="18"/>
      <c r="F399" s="20"/>
    </row>
    <row r="400" spans="1:6" ht="15.75" customHeight="1" x14ac:dyDescent="0.35">
      <c r="A400" s="69">
        <v>45199</v>
      </c>
      <c r="B400" s="18"/>
      <c r="C400" s="19">
        <f>'Set 23'!N31</f>
        <v>975.59999999999991</v>
      </c>
      <c r="D400" s="18"/>
      <c r="E400" s="18"/>
      <c r="F400" s="20"/>
    </row>
    <row r="401" spans="1:6" ht="15.75" customHeight="1" x14ac:dyDescent="0.35">
      <c r="A401" s="14"/>
      <c r="B401" s="67" t="s">
        <v>2532</v>
      </c>
      <c r="C401" s="67"/>
      <c r="D401" s="67"/>
      <c r="E401" s="67"/>
      <c r="F401" s="68"/>
    </row>
    <row r="402" spans="1:6" ht="15.75" customHeight="1" x14ac:dyDescent="0.35">
      <c r="A402" s="69">
        <v>45200</v>
      </c>
      <c r="B402" s="18"/>
      <c r="C402" s="19">
        <f>'Out 23'!N2</f>
        <v>518.79999999999973</v>
      </c>
      <c r="D402" s="18"/>
      <c r="E402" s="19"/>
      <c r="F402" s="20"/>
    </row>
    <row r="403" spans="1:6" ht="15.75" customHeight="1" x14ac:dyDescent="0.35">
      <c r="A403" s="69">
        <v>45201</v>
      </c>
      <c r="B403" s="21">
        <v>1655</v>
      </c>
      <c r="C403" s="19">
        <f>'Out 23'!N3</f>
        <v>145.39999999999998</v>
      </c>
      <c r="D403" s="18"/>
      <c r="E403" s="19">
        <f>79.8</f>
        <v>79.8</v>
      </c>
      <c r="F403" s="20" t="s">
        <v>2417</v>
      </c>
    </row>
    <row r="404" spans="1:6" ht="15.75" customHeight="1" x14ac:dyDescent="0.35">
      <c r="A404" s="69">
        <v>45202</v>
      </c>
      <c r="B404" s="18"/>
      <c r="C404" s="19">
        <f>'Out 23'!N4</f>
        <v>144.59999999999997</v>
      </c>
      <c r="D404" s="18"/>
      <c r="E404" s="19">
        <f>143.32</f>
        <v>143.32</v>
      </c>
      <c r="F404" s="20" t="s">
        <v>2533</v>
      </c>
    </row>
    <row r="405" spans="1:6" ht="15.75" customHeight="1" x14ac:dyDescent="0.35">
      <c r="A405" s="69">
        <v>45203</v>
      </c>
      <c r="B405" s="18"/>
      <c r="C405" s="19">
        <f>'Out 23'!N5</f>
        <v>71.100000000000136</v>
      </c>
      <c r="D405" s="18"/>
      <c r="E405" s="19">
        <f>5.88+118.92</f>
        <v>124.8</v>
      </c>
      <c r="F405" s="20" t="s">
        <v>2534</v>
      </c>
    </row>
    <row r="406" spans="1:6" ht="15.75" customHeight="1" x14ac:dyDescent="0.35">
      <c r="A406" s="69">
        <v>45204</v>
      </c>
      <c r="B406" s="18"/>
      <c r="C406" s="19">
        <f>'Out 23'!N6</f>
        <v>316.19999999999982</v>
      </c>
      <c r="D406" s="18"/>
      <c r="E406" s="19"/>
      <c r="F406" s="20"/>
    </row>
    <row r="407" spans="1:6" ht="15.75" customHeight="1" x14ac:dyDescent="0.35">
      <c r="A407" s="69">
        <v>45205</v>
      </c>
      <c r="B407" s="18"/>
      <c r="C407" s="19">
        <f>'Out 23'!N7</f>
        <v>299.09999999999991</v>
      </c>
      <c r="D407" s="18"/>
      <c r="E407" s="18"/>
      <c r="F407" s="20"/>
    </row>
    <row r="408" spans="1:6" ht="15.75" customHeight="1" x14ac:dyDescent="0.35">
      <c r="A408" s="69">
        <v>45206</v>
      </c>
      <c r="B408" s="18"/>
      <c r="C408" s="19">
        <f>'Out 23'!N8</f>
        <v>628.19999999999982</v>
      </c>
      <c r="D408" s="18"/>
      <c r="E408" s="19"/>
      <c r="F408" s="20"/>
    </row>
    <row r="409" spans="1:6" ht="15.75" customHeight="1" x14ac:dyDescent="0.35">
      <c r="A409" s="69">
        <v>45207</v>
      </c>
      <c r="B409" s="18"/>
      <c r="C409" s="19">
        <f>'Out 23'!N9</f>
        <v>370.29999999999995</v>
      </c>
      <c r="D409" s="18"/>
      <c r="E409" s="19"/>
      <c r="F409" s="20"/>
    </row>
    <row r="410" spans="1:6" ht="15.75" customHeight="1" x14ac:dyDescent="0.35">
      <c r="A410" s="69">
        <v>45208</v>
      </c>
      <c r="B410" s="21">
        <v>1630</v>
      </c>
      <c r="C410" s="19">
        <f>'Out 23'!N10</f>
        <v>244.39999999999998</v>
      </c>
      <c r="D410" s="18"/>
      <c r="E410" s="18">
        <f>76.32</f>
        <v>76.319999999999993</v>
      </c>
      <c r="F410" s="20" t="s">
        <v>2535</v>
      </c>
    </row>
    <row r="411" spans="1:6" ht="15.75" customHeight="1" x14ac:dyDescent="0.35">
      <c r="A411" s="69">
        <v>45209</v>
      </c>
      <c r="B411" s="18"/>
      <c r="C411" s="19">
        <f>'Out 23'!N11</f>
        <v>164.20000000000005</v>
      </c>
      <c r="D411" s="18"/>
      <c r="E411" s="19">
        <f>34.21</f>
        <v>34.21</v>
      </c>
      <c r="F411" s="20" t="s">
        <v>2536</v>
      </c>
    </row>
    <row r="412" spans="1:6" ht="15.75" customHeight="1" x14ac:dyDescent="0.35">
      <c r="A412" s="69">
        <v>45210</v>
      </c>
      <c r="B412" s="18"/>
      <c r="C412" s="19">
        <f>'Out 23'!N12</f>
        <v>229.56000000000006</v>
      </c>
      <c r="D412" s="18"/>
      <c r="E412" s="19"/>
      <c r="F412" s="20"/>
    </row>
    <row r="413" spans="1:6" ht="15.75" customHeight="1" x14ac:dyDescent="0.35">
      <c r="A413" s="69">
        <v>45211</v>
      </c>
      <c r="B413" s="18"/>
      <c r="C413" s="19">
        <f>'Out 23'!N13</f>
        <v>185.79999999999995</v>
      </c>
      <c r="D413" s="18"/>
      <c r="E413" s="19"/>
      <c r="F413" s="20"/>
    </row>
    <row r="414" spans="1:6" ht="15.75" customHeight="1" x14ac:dyDescent="0.35">
      <c r="A414" s="69">
        <v>45212</v>
      </c>
      <c r="B414" s="18"/>
      <c r="C414" s="19">
        <f>'Out 23'!N14</f>
        <v>185</v>
      </c>
      <c r="D414" s="18"/>
      <c r="E414" s="19">
        <f>6.12</f>
        <v>6.12</v>
      </c>
      <c r="F414" s="20" t="s">
        <v>2435</v>
      </c>
    </row>
    <row r="415" spans="1:6" ht="15.75" customHeight="1" x14ac:dyDescent="0.35">
      <c r="A415" s="69">
        <v>45213</v>
      </c>
      <c r="B415" s="18"/>
      <c r="C415" s="19">
        <f>'Out 23'!N15</f>
        <v>596.60000000000014</v>
      </c>
      <c r="D415" s="18"/>
      <c r="E415" s="19"/>
      <c r="F415" s="20"/>
    </row>
    <row r="416" spans="1:6" ht="15.75" customHeight="1" x14ac:dyDescent="0.35">
      <c r="A416" s="69">
        <v>45214</v>
      </c>
      <c r="B416" s="18"/>
      <c r="C416" s="19">
        <f>'Out 23'!N16</f>
        <v>95.899999999999977</v>
      </c>
      <c r="D416" s="18"/>
      <c r="E416" s="19"/>
      <c r="F416" s="20"/>
    </row>
    <row r="417" spans="1:7" ht="15.75" customHeight="1" x14ac:dyDescent="0.35">
      <c r="A417" s="69">
        <v>45215</v>
      </c>
      <c r="B417" s="21">
        <v>1580</v>
      </c>
      <c r="C417" s="19">
        <f>'Out 23'!N17</f>
        <v>58.500000000000028</v>
      </c>
      <c r="D417" s="18"/>
      <c r="E417" s="19">
        <f>4.38</f>
        <v>4.38</v>
      </c>
      <c r="F417" s="20" t="s">
        <v>2417</v>
      </c>
    </row>
    <row r="418" spans="1:7" ht="15.75" customHeight="1" x14ac:dyDescent="0.35">
      <c r="A418" s="69">
        <v>45216</v>
      </c>
      <c r="B418" s="18"/>
      <c r="C418" s="19">
        <f>'Out 23'!N18</f>
        <v>40.5</v>
      </c>
      <c r="D418" s="18"/>
      <c r="E418" s="19">
        <f>141.6</f>
        <v>141.6</v>
      </c>
      <c r="F418" s="20" t="s">
        <v>2537</v>
      </c>
    </row>
    <row r="419" spans="1:7" ht="15.75" customHeight="1" x14ac:dyDescent="0.35">
      <c r="A419" s="69">
        <v>45217</v>
      </c>
      <c r="B419" s="18"/>
      <c r="C419" s="19">
        <f>'Out 23'!N19</f>
        <v>62.019999999999996</v>
      </c>
      <c r="D419" s="18"/>
      <c r="E419" s="18">
        <f>361.01+18.4+5.32+38</f>
        <v>422.72999999999996</v>
      </c>
      <c r="F419" s="20" t="s">
        <v>2538</v>
      </c>
      <c r="G419" t="s">
        <v>2539</v>
      </c>
    </row>
    <row r="420" spans="1:7" ht="15.75" customHeight="1" x14ac:dyDescent="0.35">
      <c r="A420" s="69">
        <v>45218</v>
      </c>
      <c r="B420" s="18"/>
      <c r="C420" s="19">
        <f>'Out 23'!N20</f>
        <v>43.400000000000006</v>
      </c>
      <c r="D420" s="18"/>
      <c r="E420" s="19">
        <f>32</f>
        <v>32</v>
      </c>
      <c r="F420" s="20" t="s">
        <v>2540</v>
      </c>
    </row>
    <row r="421" spans="1:7" ht="15.75" customHeight="1" x14ac:dyDescent="0.35">
      <c r="A421" s="69">
        <v>45219</v>
      </c>
      <c r="B421" s="18"/>
      <c r="C421" s="19">
        <f>'Out 23'!N21</f>
        <v>51</v>
      </c>
      <c r="D421" s="18"/>
      <c r="E421" s="18">
        <f>2.25+6.05+45.82+32.97+32.74</f>
        <v>119.83000000000001</v>
      </c>
      <c r="F421" s="20" t="s">
        <v>2541</v>
      </c>
    </row>
    <row r="422" spans="1:7" ht="15.75" customHeight="1" x14ac:dyDescent="0.35">
      <c r="A422" s="69">
        <v>45220</v>
      </c>
      <c r="B422" s="18"/>
      <c r="C422" s="19">
        <f>'Out 23'!N22</f>
        <v>277.61000000000013</v>
      </c>
      <c r="D422" s="18"/>
      <c r="E422" s="18">
        <f>2.68</f>
        <v>2.68</v>
      </c>
      <c r="F422" s="20" t="s">
        <v>2417</v>
      </c>
    </row>
    <row r="423" spans="1:7" ht="15.75" customHeight="1" x14ac:dyDescent="0.35">
      <c r="A423" s="69">
        <v>45221</v>
      </c>
      <c r="B423" s="18"/>
      <c r="C423" s="19">
        <f>'Out 23'!N23</f>
        <v>254.98000000000002</v>
      </c>
      <c r="D423" s="18"/>
      <c r="E423" s="19"/>
      <c r="F423" s="20"/>
    </row>
    <row r="424" spans="1:7" ht="15.75" customHeight="1" x14ac:dyDescent="0.35">
      <c r="A424" s="69">
        <v>45222</v>
      </c>
      <c r="B424" s="18"/>
      <c r="C424" s="19">
        <f>'Out 23'!N24</f>
        <v>0</v>
      </c>
      <c r="D424" s="18"/>
      <c r="E424" s="19">
        <f>49.4</f>
        <v>49.4</v>
      </c>
      <c r="F424" s="20" t="s">
        <v>2542</v>
      </c>
    </row>
    <row r="425" spans="1:7" ht="15.75" customHeight="1" x14ac:dyDescent="0.35">
      <c r="A425" s="69">
        <v>45223</v>
      </c>
      <c r="B425" s="18"/>
      <c r="C425" s="19">
        <f>'Out 23'!N25</f>
        <v>0</v>
      </c>
      <c r="D425" s="18"/>
      <c r="E425" s="18"/>
      <c r="F425" s="20"/>
    </row>
    <row r="426" spans="1:7" ht="15.75" customHeight="1" x14ac:dyDescent="0.35">
      <c r="A426" s="69">
        <v>45224</v>
      </c>
      <c r="B426" s="18"/>
      <c r="C426" s="19">
        <f>'Out 23'!N26</f>
        <v>0</v>
      </c>
      <c r="D426" s="18"/>
      <c r="E426" s="18">
        <v>227.55</v>
      </c>
      <c r="F426" s="20" t="s">
        <v>2543</v>
      </c>
    </row>
    <row r="427" spans="1:7" ht="15.75" customHeight="1" x14ac:dyDescent="0.35">
      <c r="A427" s="69">
        <v>45225</v>
      </c>
      <c r="B427" s="18"/>
      <c r="C427" s="19">
        <f>'Out 23'!N27</f>
        <v>78.399999999999977</v>
      </c>
      <c r="D427" s="18"/>
      <c r="E427" s="18">
        <f>296.48</f>
        <v>296.48</v>
      </c>
      <c r="F427" s="20" t="s">
        <v>2544</v>
      </c>
    </row>
    <row r="428" spans="1:7" ht="15.75" customHeight="1" x14ac:dyDescent="0.35">
      <c r="A428" s="69">
        <v>45226</v>
      </c>
      <c r="B428" s="18"/>
      <c r="C428" s="19">
        <f>'Out 23'!N28</f>
        <v>159.32999999999998</v>
      </c>
      <c r="D428" s="18"/>
      <c r="E428" s="18">
        <f>5.58</f>
        <v>5.58</v>
      </c>
      <c r="F428" s="20" t="s">
        <v>2417</v>
      </c>
    </row>
    <row r="429" spans="1:7" ht="15.75" customHeight="1" x14ac:dyDescent="0.35">
      <c r="A429" s="69">
        <v>45227</v>
      </c>
      <c r="B429" s="18"/>
      <c r="C429" s="19">
        <f>'Out 23'!N29</f>
        <v>25.300000000000068</v>
      </c>
      <c r="D429" s="18"/>
      <c r="E429" s="18"/>
      <c r="F429" s="20"/>
    </row>
    <row r="430" spans="1:7" ht="15.75" customHeight="1" x14ac:dyDescent="0.35">
      <c r="A430" s="69">
        <v>45228</v>
      </c>
      <c r="B430" s="18"/>
      <c r="C430" s="19">
        <f>'Out 23'!N30</f>
        <v>98.980000000000018</v>
      </c>
      <c r="D430" s="18"/>
      <c r="E430" s="18"/>
      <c r="F430" s="20"/>
    </row>
    <row r="431" spans="1:7" ht="15.75" customHeight="1" x14ac:dyDescent="0.35">
      <c r="A431" s="69">
        <v>45229</v>
      </c>
      <c r="B431" s="18"/>
      <c r="C431" s="19">
        <f>'Out 23'!N31</f>
        <v>40.099999999999994</v>
      </c>
      <c r="D431" s="18"/>
      <c r="E431" s="18"/>
      <c r="F431" s="20"/>
    </row>
    <row r="432" spans="1:7" ht="15.75" customHeight="1" x14ac:dyDescent="0.35">
      <c r="A432" s="69">
        <v>45230</v>
      </c>
      <c r="B432" s="18"/>
      <c r="C432" s="19">
        <f>'Out 23'!N32</f>
        <v>69.600000000000023</v>
      </c>
      <c r="D432" s="18"/>
      <c r="E432" s="18">
        <f>137.69</f>
        <v>137.69</v>
      </c>
      <c r="F432" s="20" t="s">
        <v>2545</v>
      </c>
    </row>
    <row r="433" spans="1:6" ht="15.75" customHeight="1" x14ac:dyDescent="0.35">
      <c r="A433" s="14"/>
      <c r="B433" s="67" t="s">
        <v>2546</v>
      </c>
      <c r="C433" s="67"/>
      <c r="D433" s="67"/>
      <c r="E433" s="67"/>
      <c r="F433" s="68"/>
    </row>
    <row r="434" spans="1:6" ht="15.75" customHeight="1" x14ac:dyDescent="0.35">
      <c r="A434" s="69">
        <v>45231</v>
      </c>
      <c r="B434" s="18"/>
      <c r="C434" s="19">
        <f>'Nov 23'!N2</f>
        <v>112.77999999999997</v>
      </c>
      <c r="D434" s="18"/>
      <c r="E434" s="19">
        <f>170.04</f>
        <v>170.04</v>
      </c>
      <c r="F434" s="20" t="s">
        <v>2547</v>
      </c>
    </row>
    <row r="435" spans="1:6" ht="15.75" customHeight="1" x14ac:dyDescent="0.35">
      <c r="A435" s="69">
        <v>45232</v>
      </c>
      <c r="B435" s="18"/>
      <c r="C435" s="19">
        <f>'Nov 23'!N3</f>
        <v>4.8000000000000114</v>
      </c>
      <c r="D435" s="18"/>
      <c r="E435" s="19">
        <f>5.04+22.42+80.76</f>
        <v>108.22</v>
      </c>
      <c r="F435" s="20" t="s">
        <v>2548</v>
      </c>
    </row>
    <row r="436" spans="1:6" ht="15.75" customHeight="1" x14ac:dyDescent="0.35">
      <c r="A436" s="69">
        <v>45233</v>
      </c>
      <c r="B436" s="18"/>
      <c r="C436" s="19">
        <f>'Nov 23'!N4</f>
        <v>77</v>
      </c>
      <c r="D436" s="18"/>
      <c r="E436" s="19">
        <f>21.94</f>
        <v>21.94</v>
      </c>
      <c r="F436" s="20" t="s">
        <v>2549</v>
      </c>
    </row>
    <row r="437" spans="1:6" ht="15.75" customHeight="1" x14ac:dyDescent="0.35">
      <c r="A437" s="69">
        <v>45234</v>
      </c>
      <c r="B437" s="18"/>
      <c r="C437" s="19">
        <f>'Nov 23'!N5</f>
        <v>276.96000000000004</v>
      </c>
      <c r="D437" s="18"/>
      <c r="E437" s="19">
        <v>77.760000000000005</v>
      </c>
      <c r="F437" s="20" t="s">
        <v>2550</v>
      </c>
    </row>
    <row r="438" spans="1:6" ht="15.75" customHeight="1" x14ac:dyDescent="0.35">
      <c r="A438" s="69">
        <v>45235</v>
      </c>
      <c r="B438" s="18"/>
      <c r="C438" s="19">
        <f>'Nov 23'!N6</f>
        <v>116.15999999999997</v>
      </c>
      <c r="D438" s="18"/>
      <c r="E438" s="19"/>
      <c r="F438" s="20"/>
    </row>
    <row r="439" spans="1:6" ht="15.75" customHeight="1" x14ac:dyDescent="0.35">
      <c r="A439" s="69">
        <v>45236</v>
      </c>
      <c r="B439" s="18"/>
      <c r="C439" s="19">
        <f>'Nov 23'!N7</f>
        <v>29.400000000000006</v>
      </c>
      <c r="D439" s="18"/>
      <c r="E439" s="18">
        <v>244.82</v>
      </c>
      <c r="F439" s="20" t="s">
        <v>2551</v>
      </c>
    </row>
    <row r="440" spans="1:6" ht="15.75" customHeight="1" x14ac:dyDescent="0.35">
      <c r="A440" s="69">
        <v>45237</v>
      </c>
      <c r="B440" s="18"/>
      <c r="C440" s="19">
        <f>'Nov 23'!N8</f>
        <v>24.800000000000011</v>
      </c>
      <c r="D440" s="18"/>
      <c r="E440" s="19"/>
      <c r="F440" s="20"/>
    </row>
    <row r="441" spans="1:6" ht="15.75" customHeight="1" x14ac:dyDescent="0.35">
      <c r="A441" s="69">
        <v>45238</v>
      </c>
      <c r="B441" s="18"/>
      <c r="C441" s="19">
        <f>'Nov 23'!N9</f>
        <v>11.800000000000011</v>
      </c>
      <c r="D441" s="18"/>
      <c r="E441" s="19"/>
      <c r="F441" s="20"/>
    </row>
    <row r="442" spans="1:6" ht="15.75" customHeight="1" x14ac:dyDescent="0.35">
      <c r="A442" s="69">
        <v>45239</v>
      </c>
      <c r="B442" s="18"/>
      <c r="C442" s="19">
        <f>'Nov 23'!N10</f>
        <v>34.900000000000034</v>
      </c>
      <c r="D442" s="18"/>
      <c r="E442" s="18">
        <f>38.16</f>
        <v>38.159999999999997</v>
      </c>
      <c r="F442" s="20" t="s">
        <v>2552</v>
      </c>
    </row>
    <row r="443" spans="1:6" ht="15.75" customHeight="1" x14ac:dyDescent="0.35">
      <c r="A443" s="69">
        <v>45240</v>
      </c>
      <c r="B443" s="18"/>
      <c r="C443" s="19">
        <f>'Nov 23'!N11</f>
        <v>49.350000000000023</v>
      </c>
      <c r="D443" s="18"/>
      <c r="E443" s="19"/>
      <c r="F443" s="20"/>
    </row>
    <row r="444" spans="1:6" ht="15.75" customHeight="1" x14ac:dyDescent="0.35">
      <c r="A444" s="69">
        <v>45241</v>
      </c>
      <c r="B444" s="18"/>
      <c r="C444" s="19">
        <f>'Nov 23'!N12</f>
        <v>182.20000000000005</v>
      </c>
      <c r="D444" s="18"/>
      <c r="E444" s="19"/>
      <c r="F444" s="20"/>
    </row>
    <row r="445" spans="1:6" ht="15.75" customHeight="1" x14ac:dyDescent="0.35">
      <c r="A445" s="69">
        <v>45242</v>
      </c>
      <c r="B445" s="18"/>
      <c r="C445" s="19">
        <f>'Nov 23'!N13</f>
        <v>79.5</v>
      </c>
      <c r="D445" s="18"/>
      <c r="E445" s="19"/>
      <c r="F445" s="20"/>
    </row>
    <row r="446" spans="1:6" ht="15.75" customHeight="1" x14ac:dyDescent="0.35">
      <c r="A446" s="69">
        <v>45243</v>
      </c>
      <c r="B446" s="18"/>
      <c r="C446" s="19">
        <f>'Nov 23'!N14</f>
        <v>53.800000000000011</v>
      </c>
      <c r="D446" s="18"/>
      <c r="E446" s="19">
        <f>180.4</f>
        <v>180.4</v>
      </c>
      <c r="F446" s="20" t="s">
        <v>2553</v>
      </c>
    </row>
    <row r="447" spans="1:6" ht="15.75" customHeight="1" x14ac:dyDescent="0.35">
      <c r="A447" s="69">
        <v>45244</v>
      </c>
      <c r="B447" s="18"/>
      <c r="C447" s="19">
        <f>'Nov 23'!N15</f>
        <v>23.599999999999994</v>
      </c>
      <c r="D447" s="18"/>
      <c r="E447" s="19">
        <f>46.82+31.52+0.39+142.9</f>
        <v>221.63</v>
      </c>
      <c r="F447" s="20" t="s">
        <v>2554</v>
      </c>
    </row>
    <row r="448" spans="1:6" ht="15.75" customHeight="1" x14ac:dyDescent="0.35">
      <c r="A448" s="69">
        <v>45245</v>
      </c>
      <c r="B448" s="18"/>
      <c r="C448" s="19">
        <f>'Nov 23'!N16</f>
        <v>51.599999999999966</v>
      </c>
      <c r="D448" s="18"/>
      <c r="E448" s="19">
        <f>202.53</f>
        <v>202.53</v>
      </c>
      <c r="F448" s="20" t="s">
        <v>2555</v>
      </c>
    </row>
    <row r="449" spans="1:6" ht="15.75" customHeight="1" x14ac:dyDescent="0.35">
      <c r="A449" s="69">
        <v>45246</v>
      </c>
      <c r="B449" s="18"/>
      <c r="C449" s="19">
        <f>'Nov 23'!N17</f>
        <v>34.140000000000015</v>
      </c>
      <c r="D449" s="18"/>
      <c r="E449" s="19">
        <f>18+78.05+12.26</f>
        <v>108.31</v>
      </c>
      <c r="F449" s="20" t="s">
        <v>2556</v>
      </c>
    </row>
    <row r="450" spans="1:6" ht="15.75" customHeight="1" x14ac:dyDescent="0.35">
      <c r="A450" s="69">
        <v>45247</v>
      </c>
      <c r="B450" s="18"/>
      <c r="C450" s="19">
        <f>'Nov 23'!N18</f>
        <v>184.15999999999997</v>
      </c>
      <c r="D450" s="18"/>
      <c r="E450" s="19">
        <f>61.8</f>
        <v>61.8</v>
      </c>
      <c r="F450" s="20" t="s">
        <v>2557</v>
      </c>
    </row>
    <row r="451" spans="1:6" ht="15.75" customHeight="1" x14ac:dyDescent="0.35">
      <c r="A451" s="69">
        <v>45248</v>
      </c>
      <c r="B451" s="18"/>
      <c r="C451" s="19">
        <f>'Nov 23'!N19</f>
        <v>198.20000000000005</v>
      </c>
      <c r="D451" s="18"/>
      <c r="E451" s="18">
        <f>16.03</f>
        <v>16.03</v>
      </c>
      <c r="F451" s="20" t="s">
        <v>2417</v>
      </c>
    </row>
    <row r="452" spans="1:6" ht="15.75" customHeight="1" x14ac:dyDescent="0.35">
      <c r="A452" s="69">
        <v>45249</v>
      </c>
      <c r="B452" s="18"/>
      <c r="C452" s="19">
        <f>'Nov 23'!N20</f>
        <v>232.46000000000004</v>
      </c>
      <c r="D452" s="18"/>
      <c r="E452" s="19">
        <f>2.2</f>
        <v>2.2000000000000002</v>
      </c>
      <c r="F452" s="20" t="s">
        <v>2518</v>
      </c>
    </row>
    <row r="453" spans="1:6" ht="15.75" customHeight="1" x14ac:dyDescent="0.35">
      <c r="A453" s="69">
        <v>45250</v>
      </c>
      <c r="B453" s="18"/>
      <c r="C453" s="19">
        <f>'Nov 23'!N21</f>
        <v>96.38</v>
      </c>
      <c r="D453" s="18"/>
      <c r="E453" s="18">
        <f>38.16</f>
        <v>38.159999999999997</v>
      </c>
      <c r="F453" s="20" t="s">
        <v>2558</v>
      </c>
    </row>
    <row r="454" spans="1:6" ht="15.75" customHeight="1" x14ac:dyDescent="0.35">
      <c r="A454" s="69">
        <v>45251</v>
      </c>
      <c r="B454" s="18"/>
      <c r="C454" s="19">
        <f>'Nov 23'!N22</f>
        <v>88.899999999999977</v>
      </c>
      <c r="D454" s="18"/>
      <c r="E454" s="18"/>
      <c r="F454" s="20"/>
    </row>
    <row r="455" spans="1:6" ht="15.75" customHeight="1" x14ac:dyDescent="0.35">
      <c r="A455" s="69">
        <v>45252</v>
      </c>
      <c r="B455" s="18"/>
      <c r="C455" s="19">
        <f>'Nov 23'!N23</f>
        <v>63.300000000000011</v>
      </c>
      <c r="D455" s="18"/>
      <c r="E455" s="19"/>
      <c r="F455" s="20"/>
    </row>
    <row r="456" spans="1:6" ht="15.75" customHeight="1" x14ac:dyDescent="0.35">
      <c r="A456" s="69">
        <v>45253</v>
      </c>
      <c r="B456" s="18"/>
      <c r="C456" s="19">
        <f>'Nov 23'!N24</f>
        <v>102.27999999999997</v>
      </c>
      <c r="D456" s="18"/>
      <c r="E456" s="19">
        <f>26.39</f>
        <v>26.39</v>
      </c>
      <c r="F456" s="20" t="s">
        <v>2518</v>
      </c>
    </row>
    <row r="457" spans="1:6" ht="15.75" customHeight="1" x14ac:dyDescent="0.35">
      <c r="A457" s="69">
        <v>45254</v>
      </c>
      <c r="B457" s="18"/>
      <c r="C457" s="19">
        <f>'Nov 23'!N25</f>
        <v>145.92000000000007</v>
      </c>
      <c r="D457" s="18"/>
      <c r="E457" s="18"/>
      <c r="F457" s="20"/>
    </row>
    <row r="458" spans="1:6" ht="15.75" customHeight="1" x14ac:dyDescent="0.35">
      <c r="A458" s="69">
        <v>45255</v>
      </c>
      <c r="B458" s="18"/>
      <c r="C458" s="19">
        <f>'Nov 23'!N26</f>
        <v>236.40000000000009</v>
      </c>
      <c r="D458" s="18"/>
      <c r="E458" s="18"/>
      <c r="F458" s="20"/>
    </row>
    <row r="459" spans="1:6" ht="15.75" customHeight="1" x14ac:dyDescent="0.35">
      <c r="A459" s="69">
        <v>45256</v>
      </c>
      <c r="B459" s="18"/>
      <c r="C459" s="19">
        <f>'Nov 23'!N27</f>
        <v>105.09999999999991</v>
      </c>
      <c r="D459" s="18"/>
      <c r="E459" s="18"/>
      <c r="F459" s="20"/>
    </row>
    <row r="460" spans="1:6" ht="15.75" customHeight="1" x14ac:dyDescent="0.35">
      <c r="A460" s="69">
        <v>45257</v>
      </c>
      <c r="B460" s="18"/>
      <c r="C460" s="19">
        <f>'Nov 23'!N28</f>
        <v>51.599999999999994</v>
      </c>
      <c r="D460" s="18"/>
      <c r="E460" s="18">
        <f>5.88+38.16</f>
        <v>44.04</v>
      </c>
      <c r="F460" s="20" t="s">
        <v>2559</v>
      </c>
    </row>
    <row r="461" spans="1:6" ht="15.75" customHeight="1" x14ac:dyDescent="0.35">
      <c r="A461" s="69">
        <v>45258</v>
      </c>
      <c r="B461" s="21">
        <v>820</v>
      </c>
      <c r="C461" s="19">
        <f>'Nov 23'!N29</f>
        <v>9.5999999999999943</v>
      </c>
      <c r="D461" s="18"/>
      <c r="E461" s="18">
        <f>37.52</f>
        <v>37.520000000000003</v>
      </c>
      <c r="F461" s="20" t="s">
        <v>2560</v>
      </c>
    </row>
    <row r="462" spans="1:6" ht="15.75" customHeight="1" x14ac:dyDescent="0.35">
      <c r="A462" s="69">
        <v>45259</v>
      </c>
      <c r="B462" s="18"/>
      <c r="C462" s="19">
        <f>'Nov 23'!N30</f>
        <v>6.7999999999999972</v>
      </c>
      <c r="D462" s="18"/>
      <c r="E462" s="18"/>
      <c r="F462" s="20"/>
    </row>
    <row r="463" spans="1:6" ht="15.75" customHeight="1" x14ac:dyDescent="0.35">
      <c r="A463" s="69">
        <v>45260</v>
      </c>
      <c r="B463" s="18"/>
      <c r="C463" s="19">
        <f>'Nov 23'!N31</f>
        <v>55.399999999999977</v>
      </c>
      <c r="D463" s="18"/>
      <c r="E463" s="18"/>
      <c r="F463" s="20"/>
    </row>
    <row r="464" spans="1:6" ht="15.75" customHeight="1" x14ac:dyDescent="0.35">
      <c r="A464" s="69">
        <v>45261</v>
      </c>
      <c r="B464" s="18"/>
      <c r="C464" s="19">
        <f>'Nov 23'!N32</f>
        <v>0</v>
      </c>
      <c r="D464" s="18"/>
      <c r="E464" s="18"/>
      <c r="F464" s="20"/>
    </row>
    <row r="465" spans="1:6" ht="15.75" customHeight="1" x14ac:dyDescent="0.35">
      <c r="A465" s="14"/>
      <c r="B465" s="87">
        <v>45261</v>
      </c>
      <c r="C465" s="67"/>
      <c r="D465" s="67"/>
      <c r="E465" s="67"/>
      <c r="F465" s="68"/>
    </row>
    <row r="466" spans="1:6" ht="15.75" customHeight="1" x14ac:dyDescent="0.35">
      <c r="A466" s="69">
        <v>45261</v>
      </c>
      <c r="B466" s="18"/>
      <c r="C466" s="19">
        <f>'Dez 23'!N2</f>
        <v>62.600000000000023</v>
      </c>
      <c r="D466" s="18"/>
      <c r="E466" s="19"/>
      <c r="F466" s="20"/>
    </row>
    <row r="467" spans="1:6" ht="15.75" customHeight="1" x14ac:dyDescent="0.35">
      <c r="A467" s="69">
        <v>45262</v>
      </c>
      <c r="B467" s="18"/>
      <c r="C467" s="19">
        <f>'Dez 23'!N3</f>
        <v>151.27999999999997</v>
      </c>
      <c r="D467" s="18"/>
      <c r="E467" s="19"/>
      <c r="F467" s="20"/>
    </row>
    <row r="468" spans="1:6" ht="15.75" customHeight="1" x14ac:dyDescent="0.35">
      <c r="A468" s="69">
        <v>45263</v>
      </c>
      <c r="B468" s="18"/>
      <c r="C468" s="19">
        <f>'Dez 23'!N4</f>
        <v>42.100000000000023</v>
      </c>
      <c r="D468" s="18"/>
      <c r="E468" s="19"/>
      <c r="F468" s="20"/>
    </row>
    <row r="469" spans="1:6" ht="15.75" customHeight="1" x14ac:dyDescent="0.35">
      <c r="A469" s="69">
        <v>45264</v>
      </c>
      <c r="B469" s="18"/>
      <c r="C469" s="19">
        <f>'Dez 23'!N5</f>
        <v>41.599999999999994</v>
      </c>
      <c r="D469" s="18"/>
      <c r="E469" s="19"/>
      <c r="F469" s="20"/>
    </row>
    <row r="470" spans="1:6" ht="15.75" customHeight="1" x14ac:dyDescent="0.35">
      <c r="A470" s="69">
        <v>45265</v>
      </c>
      <c r="B470" s="18"/>
      <c r="C470" s="19">
        <f>'Dez 23'!N6</f>
        <v>36.700000000000017</v>
      </c>
      <c r="D470" s="18"/>
      <c r="E470" s="19"/>
      <c r="F470" s="20"/>
    </row>
    <row r="471" spans="1:6" ht="15.75" customHeight="1" x14ac:dyDescent="0.35">
      <c r="A471" s="69">
        <v>45266</v>
      </c>
      <c r="B471" s="18"/>
      <c r="C471" s="19">
        <f>'Dez 23'!N7</f>
        <v>54</v>
      </c>
      <c r="D471" s="18"/>
      <c r="E471" s="18">
        <f>96.56</f>
        <v>96.56</v>
      </c>
      <c r="F471" s="20" t="s">
        <v>2561</v>
      </c>
    </row>
    <row r="472" spans="1:6" ht="15.75" customHeight="1" x14ac:dyDescent="0.35">
      <c r="A472" s="69">
        <v>45267</v>
      </c>
      <c r="B472" s="18"/>
      <c r="C472" s="19">
        <f>'Dez 23'!N8</f>
        <v>0</v>
      </c>
      <c r="D472" s="18"/>
      <c r="E472" s="19">
        <f>61.68</f>
        <v>61.68</v>
      </c>
      <c r="F472" s="20" t="s">
        <v>2562</v>
      </c>
    </row>
    <row r="473" spans="1:6" ht="15.75" customHeight="1" x14ac:dyDescent="0.35">
      <c r="A473" s="69">
        <v>45268</v>
      </c>
      <c r="B473" s="18"/>
      <c r="C473" s="19">
        <f>'Dez 23'!N9</f>
        <v>159.28999999999996</v>
      </c>
      <c r="D473" s="18"/>
      <c r="E473" s="19">
        <f>1.23+26.8+4+3.58+16.03</f>
        <v>51.64</v>
      </c>
      <c r="F473" s="20" t="s">
        <v>2417</v>
      </c>
    </row>
    <row r="474" spans="1:6" ht="15.75" customHeight="1" x14ac:dyDescent="0.35">
      <c r="A474" s="69">
        <v>45269</v>
      </c>
      <c r="B474" s="18"/>
      <c r="C474" s="19">
        <f>'Dez 23'!N10</f>
        <v>203.67999999999995</v>
      </c>
      <c r="D474" s="18"/>
      <c r="E474" s="18"/>
      <c r="F474" s="20"/>
    </row>
    <row r="475" spans="1:6" ht="15.75" customHeight="1" x14ac:dyDescent="0.35">
      <c r="A475" s="69">
        <v>45270</v>
      </c>
      <c r="B475" s="18"/>
      <c r="C475" s="19">
        <f>'Dez 23'!N11</f>
        <v>48.599999999999966</v>
      </c>
      <c r="D475" s="18"/>
      <c r="E475" s="19"/>
      <c r="F475" s="20"/>
    </row>
    <row r="476" spans="1:6" ht="15.75" customHeight="1" x14ac:dyDescent="0.35">
      <c r="A476" s="69">
        <v>45271</v>
      </c>
      <c r="B476" s="18"/>
      <c r="C476" s="19">
        <f>'Dez 23'!N12</f>
        <v>49.599999999999994</v>
      </c>
      <c r="D476" s="18"/>
      <c r="E476" s="19">
        <f>80</f>
        <v>80</v>
      </c>
      <c r="F476" s="85" t="s">
        <v>2563</v>
      </c>
    </row>
    <row r="477" spans="1:6" ht="15.75" customHeight="1" x14ac:dyDescent="0.35">
      <c r="A477" s="69">
        <v>45272</v>
      </c>
      <c r="B477" s="86">
        <v>1090</v>
      </c>
      <c r="C477" s="19">
        <f>'Dez 23'!N13</f>
        <v>25.659999999999997</v>
      </c>
      <c r="D477" s="18"/>
      <c r="E477" s="19"/>
      <c r="F477" s="20"/>
    </row>
    <row r="478" spans="1:6" ht="15.75" customHeight="1" x14ac:dyDescent="0.35">
      <c r="A478" s="69">
        <v>45273</v>
      </c>
      <c r="B478" s="18"/>
      <c r="C478" s="19">
        <f>'Dez 23'!N14</f>
        <v>46.300000000000011</v>
      </c>
      <c r="D478" s="18"/>
      <c r="E478" s="19"/>
      <c r="F478" s="20"/>
    </row>
    <row r="479" spans="1:6" ht="15.75" customHeight="1" x14ac:dyDescent="0.35">
      <c r="A479" s="69">
        <v>45274</v>
      </c>
      <c r="B479" s="18"/>
      <c r="C479" s="19">
        <f>'Dez 23'!N15</f>
        <v>68.199999999999989</v>
      </c>
      <c r="D479" s="18"/>
      <c r="E479" s="19"/>
      <c r="F479" s="20"/>
    </row>
    <row r="480" spans="1:6" ht="15.75" customHeight="1" x14ac:dyDescent="0.35">
      <c r="A480" s="69">
        <v>45275</v>
      </c>
      <c r="B480" s="18"/>
      <c r="C480" s="19">
        <f>'Dez 23'!N16</f>
        <v>152</v>
      </c>
      <c r="D480" s="18"/>
      <c r="E480" s="19"/>
      <c r="F480" s="20"/>
    </row>
    <row r="481" spans="1:6" ht="15.75" customHeight="1" x14ac:dyDescent="0.35">
      <c r="A481" s="69">
        <v>45276</v>
      </c>
      <c r="B481" s="18"/>
      <c r="C481" s="19">
        <f>'Dez 23'!N17</f>
        <v>161.79999999999995</v>
      </c>
      <c r="D481" s="18"/>
      <c r="E481" s="19"/>
      <c r="F481" s="20"/>
    </row>
    <row r="482" spans="1:6" ht="15.75" customHeight="1" x14ac:dyDescent="0.35">
      <c r="A482" s="69">
        <v>45277</v>
      </c>
      <c r="B482" s="18"/>
      <c r="C482" s="19">
        <f>'Dez 23'!N18</f>
        <v>110.80000000000007</v>
      </c>
      <c r="D482" s="18"/>
      <c r="E482" s="19"/>
      <c r="F482" s="20"/>
    </row>
    <row r="483" spans="1:6" ht="15.75" customHeight="1" x14ac:dyDescent="0.35">
      <c r="A483" s="69">
        <v>45278</v>
      </c>
      <c r="B483" s="18"/>
      <c r="C483" s="19">
        <f>'Dez 23'!N19</f>
        <v>44</v>
      </c>
      <c r="D483" s="18"/>
      <c r="E483" s="18">
        <v>289.05</v>
      </c>
      <c r="F483" s="20" t="s">
        <v>2564</v>
      </c>
    </row>
    <row r="484" spans="1:6" ht="15.75" customHeight="1" x14ac:dyDescent="0.35">
      <c r="A484" s="69">
        <v>45279</v>
      </c>
      <c r="B484" s="18"/>
      <c r="C484" s="19">
        <f>'Dez 23'!N20</f>
        <v>23.800000000000011</v>
      </c>
      <c r="D484" s="18"/>
      <c r="E484" s="19">
        <f>61.22</f>
        <v>61.22</v>
      </c>
      <c r="F484" s="20" t="s">
        <v>2565</v>
      </c>
    </row>
    <row r="485" spans="1:6" ht="15.75" customHeight="1" x14ac:dyDescent="0.35">
      <c r="A485" s="69">
        <v>45280</v>
      </c>
      <c r="B485" s="18"/>
      <c r="C485" s="19">
        <f>'Dez 23'!N21</f>
        <v>69.300000000000011</v>
      </c>
      <c r="D485" s="18"/>
      <c r="E485" s="18"/>
      <c r="F485" s="20"/>
    </row>
    <row r="486" spans="1:6" ht="15.75" customHeight="1" x14ac:dyDescent="0.35">
      <c r="A486" s="69">
        <v>45281</v>
      </c>
      <c r="B486" s="18"/>
      <c r="C486" s="19">
        <f>'Dez 23'!N22</f>
        <v>89.199999999999989</v>
      </c>
      <c r="D486" s="18"/>
      <c r="E486" s="18">
        <f>5.88+19.08</f>
        <v>24.959999999999997</v>
      </c>
      <c r="F486" s="20" t="s">
        <v>2566</v>
      </c>
    </row>
    <row r="487" spans="1:6" ht="15.75" customHeight="1" x14ac:dyDescent="0.35">
      <c r="A487" s="69">
        <v>45282</v>
      </c>
      <c r="B487" s="86">
        <v>415</v>
      </c>
      <c r="C487" s="19">
        <f>'Dez 23'!N23</f>
        <v>65.599999999999909</v>
      </c>
      <c r="D487" s="18"/>
      <c r="E487" s="19">
        <f>59.02+19.08+14.22</f>
        <v>92.32</v>
      </c>
      <c r="F487" s="20" t="s">
        <v>2567</v>
      </c>
    </row>
    <row r="488" spans="1:6" ht="15.75" customHeight="1" x14ac:dyDescent="0.35">
      <c r="A488" s="69">
        <v>45283</v>
      </c>
      <c r="B488" s="18"/>
      <c r="C488" s="19">
        <f>'Dez 23'!N24</f>
        <v>118.63999999999999</v>
      </c>
      <c r="D488" s="18"/>
      <c r="E488" s="19">
        <f>9.47</f>
        <v>9.4700000000000006</v>
      </c>
      <c r="F488" s="20" t="s">
        <v>2417</v>
      </c>
    </row>
    <row r="489" spans="1:6" ht="15.75" customHeight="1" x14ac:dyDescent="0.35">
      <c r="A489" s="69">
        <v>45284</v>
      </c>
      <c r="B489" s="18"/>
      <c r="C489" s="19">
        <f>'Dez 23'!N25</f>
        <v>1.0000000000000142</v>
      </c>
      <c r="D489" s="18"/>
      <c r="E489" s="18">
        <f>21.75</f>
        <v>21.75</v>
      </c>
      <c r="F489" s="20" t="s">
        <v>2568</v>
      </c>
    </row>
    <row r="490" spans="1:6" ht="15.75" customHeight="1" x14ac:dyDescent="0.35">
      <c r="A490" s="69">
        <v>45285</v>
      </c>
      <c r="B490" s="18"/>
      <c r="C490" s="19">
        <f>'Dez 23'!N26</f>
        <v>0</v>
      </c>
      <c r="D490" s="18"/>
      <c r="E490" s="18"/>
      <c r="F490" s="20"/>
    </row>
    <row r="491" spans="1:6" ht="15.75" customHeight="1" x14ac:dyDescent="0.35">
      <c r="A491" s="69">
        <v>45286</v>
      </c>
      <c r="B491" s="18"/>
      <c r="C491" s="19">
        <f>'Dez 23'!N27</f>
        <v>68.099999999999966</v>
      </c>
      <c r="D491" s="18"/>
      <c r="E491" s="18"/>
      <c r="F491" s="20"/>
    </row>
    <row r="492" spans="1:6" ht="15.75" customHeight="1" x14ac:dyDescent="0.35">
      <c r="A492" s="69">
        <v>45287</v>
      </c>
      <c r="B492" s="18"/>
      <c r="C492" s="19">
        <f>'Dez 23'!N28</f>
        <v>41.400000000000034</v>
      </c>
      <c r="D492" s="18"/>
      <c r="E492" s="18"/>
      <c r="F492" s="20"/>
    </row>
    <row r="493" spans="1:6" ht="15.75" customHeight="1" x14ac:dyDescent="0.35">
      <c r="A493" s="69">
        <v>45288</v>
      </c>
      <c r="B493" s="18"/>
      <c r="C493" s="19">
        <f>'Dez 23'!N29</f>
        <v>33.5</v>
      </c>
      <c r="D493" s="18"/>
      <c r="E493" s="18">
        <f>10.4</f>
        <v>10.4</v>
      </c>
      <c r="F493" s="20" t="s">
        <v>2569</v>
      </c>
    </row>
    <row r="494" spans="1:6" ht="15.75" customHeight="1" x14ac:dyDescent="0.35">
      <c r="A494" s="69">
        <v>45289</v>
      </c>
      <c r="B494" s="18"/>
      <c r="C494" s="19">
        <f>'Dez 23'!N30</f>
        <v>117.63999999999999</v>
      </c>
      <c r="D494" s="18"/>
      <c r="E494" s="18"/>
      <c r="F494" s="20"/>
    </row>
    <row r="495" spans="1:6" ht="15.75" customHeight="1" x14ac:dyDescent="0.35">
      <c r="A495" s="69">
        <v>45290</v>
      </c>
      <c r="B495" s="18"/>
      <c r="C495" s="19">
        <f>'Dez 23'!N31</f>
        <v>88.299999999999955</v>
      </c>
      <c r="D495" s="18"/>
      <c r="E495" s="18"/>
      <c r="F495" s="20"/>
    </row>
    <row r="496" spans="1:6" ht="15.75" customHeight="1" x14ac:dyDescent="0.35">
      <c r="A496" s="69">
        <v>45291</v>
      </c>
      <c r="B496" s="18"/>
      <c r="C496" s="19">
        <f>'Dez 23'!N32</f>
        <v>34.799999999999955</v>
      </c>
      <c r="D496" s="18"/>
      <c r="E496" s="18"/>
      <c r="F496" s="20"/>
    </row>
    <row r="497" spans="1:6" ht="15.75" customHeight="1" x14ac:dyDescent="0.35">
      <c r="A497" s="14"/>
      <c r="B497" s="87">
        <v>45292</v>
      </c>
      <c r="C497" s="67"/>
      <c r="D497" s="67"/>
      <c r="E497" s="67"/>
      <c r="F497" s="68"/>
    </row>
    <row r="498" spans="1:6" ht="15.75" customHeight="1" x14ac:dyDescent="0.35">
      <c r="A498" s="69">
        <v>45292</v>
      </c>
      <c r="B498" s="18"/>
      <c r="C498" s="19">
        <f>'Jan 24'!N2</f>
        <v>0</v>
      </c>
      <c r="D498" s="18"/>
      <c r="E498" s="19"/>
      <c r="F498" s="20"/>
    </row>
    <row r="499" spans="1:6" ht="15.75" customHeight="1" x14ac:dyDescent="0.35">
      <c r="A499" s="69">
        <v>45293</v>
      </c>
      <c r="B499" s="18"/>
      <c r="C499" s="19">
        <f>'Jan 24'!N3</f>
        <v>79.09</v>
      </c>
      <c r="D499" s="18"/>
      <c r="E499" s="19"/>
      <c r="F499" s="20"/>
    </row>
    <row r="500" spans="1:6" ht="15.75" customHeight="1" x14ac:dyDescent="0.35">
      <c r="A500" s="69">
        <v>45294</v>
      </c>
      <c r="B500" s="18"/>
      <c r="C500" s="19">
        <f>'Jan 24'!N4</f>
        <v>20</v>
      </c>
      <c r="D500" s="18"/>
      <c r="E500" s="19">
        <f>6.02</f>
        <v>6.02</v>
      </c>
      <c r="F500" s="20" t="s">
        <v>2417</v>
      </c>
    </row>
    <row r="501" spans="1:6" ht="15.75" customHeight="1" x14ac:dyDescent="0.35">
      <c r="A501" s="69">
        <v>45295</v>
      </c>
      <c r="B501" s="86">
        <v>500</v>
      </c>
      <c r="C501" s="19">
        <f>'Jan 24'!N5</f>
        <v>21.069999999999993</v>
      </c>
      <c r="D501" s="18"/>
      <c r="E501" s="19">
        <f>19.08+21.94</f>
        <v>41.019999999999996</v>
      </c>
      <c r="F501" s="20" t="s">
        <v>2570</v>
      </c>
    </row>
    <row r="502" spans="1:6" ht="15.75" customHeight="1" x14ac:dyDescent="0.35">
      <c r="A502" s="69">
        <v>45296</v>
      </c>
      <c r="B502" s="18"/>
      <c r="C502" s="19">
        <f>'Jan 24'!N6</f>
        <v>47.599999999999966</v>
      </c>
      <c r="D502" s="18"/>
      <c r="E502" s="19"/>
      <c r="F502" s="20"/>
    </row>
    <row r="503" spans="1:6" ht="15.75" customHeight="1" x14ac:dyDescent="0.35">
      <c r="A503" s="69">
        <v>45297</v>
      </c>
      <c r="B503" s="18"/>
      <c r="C503" s="19">
        <f>'Jan 24'!N7</f>
        <v>217.58000000000004</v>
      </c>
      <c r="D503" s="18"/>
      <c r="E503" s="18"/>
      <c r="F503" s="20"/>
    </row>
    <row r="504" spans="1:6" ht="15.75" customHeight="1" x14ac:dyDescent="0.35">
      <c r="A504" s="69">
        <v>45298</v>
      </c>
      <c r="B504" s="18"/>
      <c r="C504" s="19">
        <f>'Jan 24'!N8</f>
        <v>211.10000000000014</v>
      </c>
      <c r="D504" s="18"/>
      <c r="E504" s="19"/>
      <c r="F504" s="20"/>
    </row>
    <row r="505" spans="1:6" ht="15.75" customHeight="1" x14ac:dyDescent="0.35">
      <c r="A505" s="69">
        <v>45299</v>
      </c>
      <c r="B505" s="18"/>
      <c r="C505" s="19">
        <f>'Jan 24'!N9</f>
        <v>-7.1054273576010019E-15</v>
      </c>
      <c r="D505" s="18"/>
      <c r="E505" s="19"/>
      <c r="F505" s="20"/>
    </row>
    <row r="506" spans="1:6" ht="15.75" customHeight="1" x14ac:dyDescent="0.35">
      <c r="A506" s="69">
        <v>45300</v>
      </c>
      <c r="B506" s="18"/>
      <c r="C506" s="19">
        <f>'Jan 24'!N10</f>
        <v>31.100000000000009</v>
      </c>
      <c r="D506" s="18"/>
      <c r="E506" s="18">
        <f>230.43+6.76+6.06</f>
        <v>243.25</v>
      </c>
      <c r="F506" s="20" t="s">
        <v>2571</v>
      </c>
    </row>
    <row r="507" spans="1:6" ht="15.75" customHeight="1" x14ac:dyDescent="0.35">
      <c r="A507" s="69">
        <v>45301</v>
      </c>
      <c r="B507" s="18"/>
      <c r="C507" s="19">
        <f>'Jan 24'!N11</f>
        <v>27.5</v>
      </c>
      <c r="D507" s="18"/>
      <c r="E507" s="19"/>
      <c r="F507" s="20"/>
    </row>
    <row r="508" spans="1:6" ht="15.75" customHeight="1" x14ac:dyDescent="0.35">
      <c r="A508" s="69">
        <v>45302</v>
      </c>
      <c r="B508" s="18"/>
      <c r="C508" s="19">
        <f>'Jan 24'!N12</f>
        <v>69.799999999999983</v>
      </c>
      <c r="D508" s="18"/>
      <c r="E508" s="19">
        <f>83.32</f>
        <v>83.32</v>
      </c>
      <c r="F508" s="20" t="s">
        <v>2572</v>
      </c>
    </row>
    <row r="509" spans="1:6" ht="15.75" customHeight="1" x14ac:dyDescent="0.35">
      <c r="A509" s="69">
        <v>45303</v>
      </c>
      <c r="B509" s="18"/>
      <c r="C509" s="19">
        <f>'Jan 24'!N13</f>
        <v>42.300000000000068</v>
      </c>
      <c r="D509" s="18"/>
      <c r="E509" s="19"/>
      <c r="F509" s="20"/>
    </row>
    <row r="510" spans="1:6" ht="15.75" customHeight="1" x14ac:dyDescent="0.35">
      <c r="A510" s="69">
        <v>45304</v>
      </c>
      <c r="B510" s="18"/>
      <c r="C510" s="19">
        <f>'Jan 24'!N14</f>
        <v>60.759999999999991</v>
      </c>
      <c r="D510" s="18"/>
      <c r="E510" s="19"/>
      <c r="F510" s="20"/>
    </row>
    <row r="511" spans="1:6" ht="15.75" customHeight="1" x14ac:dyDescent="0.35">
      <c r="A511" s="69">
        <v>45305</v>
      </c>
      <c r="B511" s="18"/>
      <c r="C511" s="19">
        <f>'Jan 24'!N15</f>
        <v>134.80000000000001</v>
      </c>
      <c r="D511" s="18"/>
      <c r="E511" s="19"/>
      <c r="F511" s="20"/>
    </row>
    <row r="512" spans="1:6" ht="15.75" customHeight="1" x14ac:dyDescent="0.35">
      <c r="A512" s="69">
        <v>45306</v>
      </c>
      <c r="B512" s="86">
        <v>535</v>
      </c>
      <c r="C512" s="19">
        <f>'Jan 24'!N16</f>
        <v>4.7999999999999972</v>
      </c>
      <c r="D512" s="18"/>
      <c r="E512" s="19"/>
      <c r="F512" s="20"/>
    </row>
    <row r="513" spans="1:6" ht="15.75" customHeight="1" x14ac:dyDescent="0.35">
      <c r="A513" s="69">
        <v>45307</v>
      </c>
      <c r="B513" s="18"/>
      <c r="C513" s="19">
        <f>'Jan 24'!N17</f>
        <v>47.799999999999983</v>
      </c>
      <c r="D513" s="18"/>
      <c r="E513" s="19">
        <f>36.4</f>
        <v>36.4</v>
      </c>
      <c r="F513" s="20" t="s">
        <v>2573</v>
      </c>
    </row>
    <row r="514" spans="1:6" ht="15.75" customHeight="1" x14ac:dyDescent="0.35">
      <c r="A514" s="69">
        <v>45308</v>
      </c>
      <c r="B514" s="18"/>
      <c r="C514" s="19">
        <f>'Jan 24'!N18</f>
        <v>12.400000000000006</v>
      </c>
      <c r="D514" s="18"/>
      <c r="E514" s="19"/>
      <c r="F514" s="20"/>
    </row>
    <row r="515" spans="1:6" ht="15.75" customHeight="1" x14ac:dyDescent="0.35">
      <c r="A515" s="69">
        <v>45309</v>
      </c>
      <c r="B515" s="18"/>
      <c r="C515" s="19">
        <f>'Jan 24'!N19</f>
        <v>72.199999999999989</v>
      </c>
      <c r="D515" s="18"/>
      <c r="E515" s="18">
        <f>38.16</f>
        <v>38.159999999999997</v>
      </c>
      <c r="F515" s="20" t="s">
        <v>2574</v>
      </c>
    </row>
    <row r="516" spans="1:6" ht="15.75" customHeight="1" x14ac:dyDescent="0.35">
      <c r="A516" s="69">
        <v>45310</v>
      </c>
      <c r="B516" s="18"/>
      <c r="C516" s="19">
        <f>'Jan 24'!N20</f>
        <v>107.5</v>
      </c>
      <c r="D516" s="18"/>
      <c r="E516" s="19">
        <f>7.83</f>
        <v>7.83</v>
      </c>
      <c r="F516" s="20" t="s">
        <v>2417</v>
      </c>
    </row>
    <row r="517" spans="1:6" ht="15.75" customHeight="1" x14ac:dyDescent="0.35">
      <c r="A517" s="69">
        <v>45311</v>
      </c>
      <c r="B517" s="18"/>
      <c r="C517" s="19">
        <f>'Jan 24'!N21</f>
        <v>212.11999999999989</v>
      </c>
      <c r="D517" s="18"/>
      <c r="E517" s="18"/>
      <c r="F517" s="20"/>
    </row>
    <row r="518" spans="1:6" ht="15.75" customHeight="1" x14ac:dyDescent="0.35">
      <c r="A518" s="69">
        <v>45312</v>
      </c>
      <c r="B518" s="18"/>
      <c r="C518" s="19">
        <f>'Jan 24'!N22</f>
        <v>210.44000000000005</v>
      </c>
      <c r="D518" s="18"/>
      <c r="E518" s="18"/>
      <c r="F518" s="20"/>
    </row>
    <row r="519" spans="1:6" ht="15.75" customHeight="1" x14ac:dyDescent="0.35">
      <c r="A519" s="69">
        <v>45313</v>
      </c>
      <c r="B519" s="18"/>
      <c r="C519" s="19">
        <f>'Jan 24'!N23</f>
        <v>23.400000000000006</v>
      </c>
      <c r="D519" s="18"/>
      <c r="E519" s="19">
        <f>7.09</f>
        <v>7.09</v>
      </c>
      <c r="F519" s="20" t="s">
        <v>2417</v>
      </c>
    </row>
    <row r="520" spans="1:6" ht="15.75" customHeight="1" x14ac:dyDescent="0.35">
      <c r="A520" s="69">
        <v>45314</v>
      </c>
      <c r="B520" s="18"/>
      <c r="C520" s="19">
        <f>'Jan 24'!N24</f>
        <v>53.300000000000011</v>
      </c>
      <c r="D520" s="18"/>
      <c r="E520" s="19">
        <f>337.21</f>
        <v>337.21</v>
      </c>
      <c r="F520" s="20" t="s">
        <v>2575</v>
      </c>
    </row>
    <row r="521" spans="1:6" ht="15.75" customHeight="1" x14ac:dyDescent="0.35">
      <c r="A521" s="69">
        <v>45315</v>
      </c>
      <c r="B521" s="18"/>
      <c r="C521" s="19">
        <f>'Jan 24'!N25</f>
        <v>87.199999999999932</v>
      </c>
      <c r="D521" s="18"/>
      <c r="E521" s="18">
        <v>190.51</v>
      </c>
      <c r="F521" s="20" t="s">
        <v>2576</v>
      </c>
    </row>
    <row r="522" spans="1:6" ht="15.75" customHeight="1" x14ac:dyDescent="0.35">
      <c r="A522" s="69">
        <v>45316</v>
      </c>
      <c r="B522" s="18"/>
      <c r="C522" s="19">
        <f>'Jan 24'!N26</f>
        <v>97.399999999999977</v>
      </c>
      <c r="D522" s="18"/>
      <c r="E522" s="18">
        <f>142.9+38.16+6.23</f>
        <v>187.29</v>
      </c>
      <c r="F522" s="20" t="s">
        <v>2577</v>
      </c>
    </row>
    <row r="523" spans="1:6" ht="15.75" customHeight="1" x14ac:dyDescent="0.35">
      <c r="A523" s="69">
        <v>45317</v>
      </c>
      <c r="B523" s="18"/>
      <c r="C523" s="19">
        <f>'Jan 24'!N27</f>
        <v>84.900000000000091</v>
      </c>
      <c r="D523" s="18"/>
      <c r="E523" s="18">
        <f>3.08</f>
        <v>3.08</v>
      </c>
      <c r="F523" s="20" t="s">
        <v>2417</v>
      </c>
    </row>
    <row r="524" spans="1:6" ht="15.75" customHeight="1" x14ac:dyDescent="0.35">
      <c r="A524" s="69">
        <v>45318</v>
      </c>
      <c r="B524" s="18"/>
      <c r="C524" s="19">
        <f>'Jan 24'!N28</f>
        <v>269.70999999999981</v>
      </c>
      <c r="D524" s="18"/>
      <c r="E524" s="18">
        <v>48.35</v>
      </c>
      <c r="F524" s="20" t="s">
        <v>2417</v>
      </c>
    </row>
    <row r="525" spans="1:6" ht="15.75" customHeight="1" x14ac:dyDescent="0.35">
      <c r="A525" s="69">
        <v>45319</v>
      </c>
      <c r="B525" s="18"/>
      <c r="C525" s="19">
        <f>'Jan 24'!N29</f>
        <v>209.70000000000005</v>
      </c>
      <c r="D525" s="18"/>
      <c r="E525" s="18"/>
      <c r="F525" s="20"/>
    </row>
    <row r="526" spans="1:6" ht="15.75" customHeight="1" x14ac:dyDescent="0.35">
      <c r="A526" s="69">
        <v>45320</v>
      </c>
      <c r="B526" s="18"/>
      <c r="C526" s="19">
        <f>'Jan 24'!N30</f>
        <v>71</v>
      </c>
      <c r="D526" s="18"/>
      <c r="E526" s="18">
        <f>200</f>
        <v>200</v>
      </c>
      <c r="F526" s="88" t="s">
        <v>2578</v>
      </c>
    </row>
    <row r="527" spans="1:6" ht="15.75" customHeight="1" x14ac:dyDescent="0.35">
      <c r="A527" s="69">
        <v>45321</v>
      </c>
      <c r="B527" s="86">
        <v>525</v>
      </c>
      <c r="C527" s="19">
        <f>'Jan 24'!N31</f>
        <v>114.40999999999997</v>
      </c>
      <c r="D527" s="18"/>
      <c r="E527" s="18">
        <f>11.4</f>
        <v>11.4</v>
      </c>
      <c r="F527" s="20" t="s">
        <v>2417</v>
      </c>
    </row>
    <row r="528" spans="1:6" ht="15.75" customHeight="1" x14ac:dyDescent="0.35">
      <c r="A528" s="69">
        <v>45322</v>
      </c>
      <c r="B528" s="18"/>
      <c r="C528" s="19">
        <f>'Jan 24'!N32</f>
        <v>81.500000000000057</v>
      </c>
      <c r="D528" s="18"/>
      <c r="E528" s="18"/>
      <c r="F528" s="20"/>
    </row>
    <row r="529" spans="1:6" ht="15.75" customHeight="1" x14ac:dyDescent="0.35">
      <c r="A529" s="14"/>
      <c r="B529" s="87">
        <v>45323</v>
      </c>
      <c r="C529" s="67"/>
      <c r="D529" s="67"/>
      <c r="E529" s="67"/>
      <c r="F529" s="68"/>
    </row>
    <row r="530" spans="1:6" ht="15.75" customHeight="1" x14ac:dyDescent="0.35">
      <c r="A530" s="69">
        <v>45323</v>
      </c>
      <c r="B530" s="18"/>
      <c r="C530" s="19">
        <f>'Fev 24'!N2</f>
        <v>87.600000000000023</v>
      </c>
      <c r="D530" s="18"/>
      <c r="E530" s="19">
        <f>83.32+94.01</f>
        <v>177.32999999999998</v>
      </c>
      <c r="F530" s="20" t="s">
        <v>2579</v>
      </c>
    </row>
    <row r="531" spans="1:6" ht="15.75" customHeight="1" x14ac:dyDescent="0.35">
      <c r="A531" s="69">
        <v>45324</v>
      </c>
      <c r="B531" s="18"/>
      <c r="C531" s="19">
        <f>'Fev 24'!N3</f>
        <v>131.70000000000016</v>
      </c>
      <c r="D531" s="18"/>
      <c r="E531" s="19"/>
      <c r="F531" s="20"/>
    </row>
    <row r="532" spans="1:6" ht="15.75" customHeight="1" x14ac:dyDescent="0.35">
      <c r="A532" s="69">
        <v>45325</v>
      </c>
      <c r="B532" s="18"/>
      <c r="C532" s="19">
        <f>'Fev 24'!N4</f>
        <v>322.38999999999987</v>
      </c>
      <c r="D532" s="18"/>
      <c r="E532" s="19"/>
      <c r="F532" s="20"/>
    </row>
    <row r="533" spans="1:6" ht="15.75" customHeight="1" x14ac:dyDescent="0.35">
      <c r="A533" s="69">
        <v>45326</v>
      </c>
      <c r="B533" s="18"/>
      <c r="C533" s="19">
        <f>'Fev 24'!N5</f>
        <v>289.59999999999991</v>
      </c>
      <c r="D533" s="18"/>
      <c r="E533" s="19"/>
      <c r="F533" s="20"/>
    </row>
    <row r="534" spans="1:6" ht="15.75" customHeight="1" x14ac:dyDescent="0.35">
      <c r="A534" s="69">
        <v>45327</v>
      </c>
      <c r="B534" s="18"/>
      <c r="C534" s="19">
        <f>'Fev 24'!N6</f>
        <v>67.800000000000011</v>
      </c>
      <c r="D534" s="18"/>
      <c r="E534" s="19"/>
      <c r="F534" s="20"/>
    </row>
    <row r="535" spans="1:6" ht="15.75" customHeight="1" x14ac:dyDescent="0.35">
      <c r="A535" s="69">
        <v>45328</v>
      </c>
      <c r="B535" s="18"/>
      <c r="C535" s="19">
        <f>'Fev 24'!N7</f>
        <v>41</v>
      </c>
      <c r="D535" s="18"/>
      <c r="E535" s="18">
        <f>4.96</f>
        <v>4.96</v>
      </c>
      <c r="F535" s="20" t="s">
        <v>2417</v>
      </c>
    </row>
    <row r="536" spans="1:6" ht="15.75" customHeight="1" x14ac:dyDescent="0.35">
      <c r="A536" s="69">
        <v>45329</v>
      </c>
      <c r="B536" s="18"/>
      <c r="C536" s="19">
        <f>'Fev 24'!N8</f>
        <v>12.299999999999997</v>
      </c>
      <c r="D536" s="18"/>
      <c r="E536" s="19"/>
      <c r="F536" s="20"/>
    </row>
    <row r="537" spans="1:6" ht="15.75" customHeight="1" x14ac:dyDescent="0.35">
      <c r="A537" s="69">
        <v>45330</v>
      </c>
      <c r="B537" s="86">
        <v>880</v>
      </c>
      <c r="C537" s="19">
        <f>'Fev 24'!N9</f>
        <v>10.110000000000014</v>
      </c>
      <c r="D537" s="18"/>
      <c r="E537" s="19">
        <f>34.41+38.16</f>
        <v>72.569999999999993</v>
      </c>
      <c r="F537" s="20" t="s">
        <v>2580</v>
      </c>
    </row>
    <row r="538" spans="1:6" ht="15.75" customHeight="1" x14ac:dyDescent="0.35">
      <c r="A538" s="69">
        <v>45331</v>
      </c>
      <c r="B538" s="18"/>
      <c r="C538" s="19">
        <f>'Fev 24'!N10</f>
        <v>19.900000000000006</v>
      </c>
      <c r="D538" s="18"/>
      <c r="E538" s="18"/>
      <c r="F538" s="20"/>
    </row>
    <row r="539" spans="1:6" ht="15.75" customHeight="1" x14ac:dyDescent="0.35">
      <c r="A539" s="69">
        <v>45332</v>
      </c>
      <c r="B539" s="18"/>
      <c r="C539" s="19">
        <f>'Fev 24'!N11</f>
        <v>97.100000000000023</v>
      </c>
      <c r="D539" s="18"/>
      <c r="E539" s="19"/>
      <c r="F539" s="20"/>
    </row>
    <row r="540" spans="1:6" ht="15.75" customHeight="1" x14ac:dyDescent="0.35">
      <c r="A540" s="69">
        <v>45333</v>
      </c>
      <c r="B540" s="18"/>
      <c r="C540" s="19">
        <f>'Fev 24'!N12</f>
        <v>156.09000000000003</v>
      </c>
      <c r="D540" s="18"/>
      <c r="E540" s="19"/>
      <c r="F540" s="20"/>
    </row>
    <row r="541" spans="1:6" ht="15.75" customHeight="1" x14ac:dyDescent="0.35">
      <c r="A541" s="69">
        <v>45334</v>
      </c>
      <c r="B541" s="18"/>
      <c r="C541" s="19">
        <f>'Fev 24'!N13</f>
        <v>179.90000000000009</v>
      </c>
      <c r="D541" s="18"/>
      <c r="E541" s="19">
        <f>80</f>
        <v>80</v>
      </c>
      <c r="F541" s="20" t="s">
        <v>2581</v>
      </c>
    </row>
    <row r="542" spans="1:6" ht="15.75" customHeight="1" x14ac:dyDescent="0.35">
      <c r="A542" s="69">
        <v>45335</v>
      </c>
      <c r="B542" s="18"/>
      <c r="C542" s="19">
        <f>'Fev 24'!N14</f>
        <v>91.799999999999955</v>
      </c>
      <c r="D542" s="18"/>
      <c r="E542" s="19">
        <f>4.89+37.99+9.99</f>
        <v>52.870000000000005</v>
      </c>
      <c r="F542" s="20" t="s">
        <v>2582</v>
      </c>
    </row>
    <row r="543" spans="1:6" ht="15.75" customHeight="1" x14ac:dyDescent="0.35">
      <c r="A543" s="69">
        <v>45336</v>
      </c>
      <c r="B543" s="90">
        <f>470-9.99-37.99</f>
        <v>422.02</v>
      </c>
      <c r="C543" s="19">
        <f>'Fev 24'!N15</f>
        <v>199.39999999999998</v>
      </c>
      <c r="D543" s="18"/>
      <c r="E543" s="19"/>
      <c r="F543" s="20"/>
    </row>
    <row r="544" spans="1:6" ht="15.75" customHeight="1" x14ac:dyDescent="0.35">
      <c r="A544" s="69">
        <v>45337</v>
      </c>
      <c r="B544" s="18"/>
      <c r="C544" s="19">
        <f>'Fev 24'!N16</f>
        <v>100.84000000000003</v>
      </c>
      <c r="D544" s="18"/>
      <c r="E544" s="19">
        <f>38.16</f>
        <v>38.159999999999997</v>
      </c>
      <c r="F544" s="20" t="s">
        <v>2583</v>
      </c>
    </row>
    <row r="545" spans="1:6" ht="15.75" customHeight="1" x14ac:dyDescent="0.35">
      <c r="A545" s="69">
        <v>45338</v>
      </c>
      <c r="B545" s="18"/>
      <c r="C545" s="19">
        <f>'Fev 24'!N17</f>
        <v>104.89999999999998</v>
      </c>
      <c r="D545" s="18"/>
      <c r="E545" s="19">
        <f>113.7</f>
        <v>113.7</v>
      </c>
      <c r="F545" s="20" t="s">
        <v>2584</v>
      </c>
    </row>
    <row r="546" spans="1:6" ht="15.75" customHeight="1" x14ac:dyDescent="0.35">
      <c r="A546" s="69">
        <v>45339</v>
      </c>
      <c r="B546" s="18"/>
      <c r="C546" s="19">
        <f>'Fev 24'!N18</f>
        <v>355.45999999999981</v>
      </c>
      <c r="D546" s="18"/>
      <c r="E546" s="19">
        <f>57.55</f>
        <v>57.55</v>
      </c>
      <c r="F546" s="20" t="s">
        <v>2417</v>
      </c>
    </row>
    <row r="547" spans="1:6" ht="15.75" customHeight="1" x14ac:dyDescent="0.35">
      <c r="A547" s="69">
        <v>45340</v>
      </c>
      <c r="B547" s="18"/>
      <c r="C547" s="19">
        <f>'Fev 24'!N19</f>
        <v>418.68999999999983</v>
      </c>
      <c r="D547" s="18"/>
      <c r="E547" s="18">
        <f>1.6</f>
        <v>1.6</v>
      </c>
      <c r="F547" s="20" t="s">
        <v>2417</v>
      </c>
    </row>
    <row r="548" spans="1:6" ht="15.75" customHeight="1" x14ac:dyDescent="0.35">
      <c r="A548" s="69">
        <v>45341</v>
      </c>
      <c r="B548" s="18"/>
      <c r="C548" s="19">
        <f>'Fev 24'!N20</f>
        <v>115.90000000000009</v>
      </c>
      <c r="D548" s="18"/>
      <c r="E548" s="19">
        <f>207.66</f>
        <v>207.66</v>
      </c>
      <c r="F548" s="20" t="s">
        <v>2585</v>
      </c>
    </row>
    <row r="549" spans="1:6" ht="15.75" customHeight="1" x14ac:dyDescent="0.35">
      <c r="A549" s="69">
        <v>45342</v>
      </c>
      <c r="B549" s="18"/>
      <c r="C549" s="19">
        <f>'Fev 24'!N21</f>
        <v>121.20000000000005</v>
      </c>
      <c r="D549" s="18"/>
      <c r="E549" s="18"/>
      <c r="F549" s="20"/>
    </row>
    <row r="550" spans="1:6" ht="15.75" customHeight="1" x14ac:dyDescent="0.35">
      <c r="A550" s="69">
        <v>45343</v>
      </c>
      <c r="B550" s="18"/>
      <c r="C550" s="19">
        <f>'Fev 24'!N22</f>
        <v>62.699999999999932</v>
      </c>
      <c r="D550" s="18"/>
      <c r="E550" s="18"/>
      <c r="F550" s="20"/>
    </row>
    <row r="551" spans="1:6" ht="15.75" customHeight="1" x14ac:dyDescent="0.35">
      <c r="A551" s="69">
        <v>45344</v>
      </c>
      <c r="B551" s="90">
        <f>760+160</f>
        <v>920</v>
      </c>
      <c r="C551" s="19">
        <f>'Fev 24'!N23</f>
        <v>46.800000000000011</v>
      </c>
      <c r="D551" s="18"/>
      <c r="E551" s="19">
        <f>102.4+40.76</f>
        <v>143.16</v>
      </c>
      <c r="F551" s="20" t="s">
        <v>2586</v>
      </c>
    </row>
    <row r="552" spans="1:6" ht="15.75" customHeight="1" x14ac:dyDescent="0.35">
      <c r="A552" s="69">
        <v>45345</v>
      </c>
      <c r="B552" s="18"/>
      <c r="C552" s="19">
        <f>'Fev 24'!N24</f>
        <v>76.700000000000045</v>
      </c>
      <c r="D552" s="18"/>
      <c r="E552" s="19"/>
      <c r="F552" s="20"/>
    </row>
    <row r="553" spans="1:6" ht="15.75" customHeight="1" x14ac:dyDescent="0.35">
      <c r="A553" s="69">
        <v>45346</v>
      </c>
      <c r="B553" s="18"/>
      <c r="C553" s="19">
        <f>'Fev 24'!N25</f>
        <v>128.86000000000001</v>
      </c>
      <c r="D553" s="18"/>
      <c r="E553" s="18">
        <f>23.92+14.12</f>
        <v>38.04</v>
      </c>
      <c r="F553" s="20" t="s">
        <v>2587</v>
      </c>
    </row>
    <row r="554" spans="1:6" ht="15.75" customHeight="1" x14ac:dyDescent="0.35">
      <c r="A554" s="69">
        <v>45347</v>
      </c>
      <c r="B554" s="18"/>
      <c r="C554" s="19">
        <f>'Fev 24'!N26</f>
        <v>98.050000000000011</v>
      </c>
      <c r="D554" s="18"/>
      <c r="E554" s="18"/>
      <c r="F554" s="20"/>
    </row>
    <row r="555" spans="1:6" ht="15.75" customHeight="1" x14ac:dyDescent="0.35">
      <c r="A555" s="69">
        <v>45348</v>
      </c>
      <c r="B555" s="18"/>
      <c r="C555" s="19">
        <f>'Fev 24'!N27</f>
        <v>8.8000000000000114</v>
      </c>
      <c r="D555" s="18"/>
      <c r="E555" s="18"/>
      <c r="F555" s="20"/>
    </row>
    <row r="556" spans="1:6" ht="15.75" customHeight="1" x14ac:dyDescent="0.35">
      <c r="A556" s="69">
        <v>45349</v>
      </c>
      <c r="B556" s="18"/>
      <c r="C556" s="19">
        <f>'Fev 24'!N28</f>
        <v>83.699999999999989</v>
      </c>
      <c r="D556" s="18"/>
      <c r="E556" s="18"/>
      <c r="F556" s="20"/>
    </row>
    <row r="557" spans="1:6" ht="15.75" customHeight="1" x14ac:dyDescent="0.35">
      <c r="A557" s="69">
        <v>45350</v>
      </c>
      <c r="B557" s="18"/>
      <c r="C557" s="19">
        <f>'Fev 24'!N29</f>
        <v>53.199999999999989</v>
      </c>
      <c r="D557" s="18"/>
      <c r="E557" s="18"/>
      <c r="F557" s="20"/>
    </row>
    <row r="558" spans="1:6" ht="15.75" customHeight="1" x14ac:dyDescent="0.35">
      <c r="A558" s="69">
        <v>45351</v>
      </c>
      <c r="B558" s="90">
        <v>380</v>
      </c>
      <c r="C558" s="19">
        <f>'Fev 24'!N30</f>
        <v>15.5</v>
      </c>
      <c r="D558" s="18"/>
      <c r="E558" s="18">
        <f>19.08+60</f>
        <v>79.08</v>
      </c>
      <c r="F558" s="92" t="s">
        <v>2588</v>
      </c>
    </row>
    <row r="559" spans="1:6" ht="15.75" customHeight="1" x14ac:dyDescent="0.35">
      <c r="A559" s="14"/>
      <c r="B559" s="87">
        <v>45352</v>
      </c>
      <c r="C559" s="67"/>
      <c r="D559" s="67"/>
      <c r="E559" s="67"/>
      <c r="F559" s="68"/>
    </row>
    <row r="560" spans="1:6" ht="15.75" customHeight="1" x14ac:dyDescent="0.35">
      <c r="A560" s="69">
        <v>45352</v>
      </c>
      <c r="B560" s="18"/>
      <c r="C560" s="19">
        <f>'Mar 24'!N2</f>
        <v>13.5</v>
      </c>
      <c r="D560" s="18"/>
      <c r="E560" s="19">
        <v>3.29</v>
      </c>
      <c r="F560" s="20" t="s">
        <v>2417</v>
      </c>
    </row>
    <row r="561" spans="1:7" ht="15.75" customHeight="1" x14ac:dyDescent="0.35">
      <c r="A561" s="69">
        <v>45353</v>
      </c>
      <c r="B561" s="18"/>
      <c r="C561" s="19">
        <f>'Mar 24'!N3</f>
        <v>103.70000000000005</v>
      </c>
      <c r="D561" s="18"/>
      <c r="E561" s="19"/>
      <c r="F561" s="20"/>
    </row>
    <row r="562" spans="1:7" ht="15.75" customHeight="1" x14ac:dyDescent="0.35">
      <c r="A562" s="69">
        <v>45354</v>
      </c>
      <c r="B562" s="18"/>
      <c r="C562" s="19">
        <f>'Mar 24'!N4</f>
        <v>104.00000000000011</v>
      </c>
      <c r="D562" s="18"/>
      <c r="E562" s="19"/>
      <c r="F562" s="20"/>
    </row>
    <row r="563" spans="1:7" ht="15.75" customHeight="1" x14ac:dyDescent="0.35">
      <c r="A563" s="69">
        <v>45355</v>
      </c>
      <c r="B563" s="18"/>
      <c r="C563" s="19">
        <f>'Mar 24'!N5</f>
        <v>74.599999999999994</v>
      </c>
      <c r="D563" s="18"/>
      <c r="E563" s="19"/>
      <c r="F563" s="20"/>
    </row>
    <row r="564" spans="1:7" ht="15.75" customHeight="1" x14ac:dyDescent="0.35">
      <c r="A564" s="69">
        <v>45356</v>
      </c>
      <c r="B564" s="18"/>
      <c r="C564" s="19">
        <f>'Mar 24'!N6</f>
        <v>65.699999999999989</v>
      </c>
      <c r="D564" s="18"/>
      <c r="E564" s="19"/>
      <c r="F564" s="20"/>
    </row>
    <row r="565" spans="1:7" ht="15.75" customHeight="1" x14ac:dyDescent="0.35">
      <c r="A565" s="69">
        <v>45357</v>
      </c>
      <c r="B565" s="18"/>
      <c r="C565" s="19">
        <f>'Mar 24'!N7</f>
        <v>5.1000000000000227</v>
      </c>
      <c r="D565" s="18"/>
      <c r="E565" s="18">
        <v>4.66</v>
      </c>
      <c r="F565" s="20" t="s">
        <v>2417</v>
      </c>
      <c r="G565" t="s">
        <v>2351</v>
      </c>
    </row>
    <row r="566" spans="1:7" ht="15.75" customHeight="1" x14ac:dyDescent="0.35">
      <c r="A566" s="69">
        <v>45358</v>
      </c>
      <c r="B566" s="18"/>
      <c r="C566" s="19">
        <f>'Mar 24'!N8</f>
        <v>36.299999999999997</v>
      </c>
      <c r="D566" s="18"/>
      <c r="E566" s="19">
        <f>5.78+38.16</f>
        <v>43.94</v>
      </c>
      <c r="F566" s="20" t="s">
        <v>2589</v>
      </c>
    </row>
    <row r="567" spans="1:7" ht="15.75" customHeight="1" x14ac:dyDescent="0.35">
      <c r="A567" s="69">
        <v>45359</v>
      </c>
      <c r="B567" s="18"/>
      <c r="C567" s="19">
        <f>'Mar 24'!N9</f>
        <v>32.5</v>
      </c>
      <c r="D567" s="18"/>
      <c r="E567" s="19"/>
      <c r="F567" s="20"/>
    </row>
    <row r="568" spans="1:7" ht="15.75" customHeight="1" x14ac:dyDescent="0.35">
      <c r="A568" s="69">
        <v>45360</v>
      </c>
      <c r="B568" s="18"/>
      <c r="C568" s="19">
        <f>'Mar 24'!N10</f>
        <v>66.910000000000082</v>
      </c>
      <c r="D568" s="18"/>
      <c r="E568" s="18"/>
      <c r="F568" s="20"/>
    </row>
    <row r="569" spans="1:7" ht="15.75" customHeight="1" x14ac:dyDescent="0.35">
      <c r="A569" s="69">
        <v>45361</v>
      </c>
      <c r="B569" s="18"/>
      <c r="C569" s="19">
        <f>'Mar 24'!N11</f>
        <v>114.90000000000009</v>
      </c>
      <c r="D569" s="18"/>
      <c r="E569" s="19"/>
      <c r="F569" s="20"/>
    </row>
    <row r="570" spans="1:7" ht="15.75" customHeight="1" x14ac:dyDescent="0.35">
      <c r="A570" s="69">
        <v>45362</v>
      </c>
      <c r="B570" s="18"/>
      <c r="C570" s="19">
        <f>'Mar 24'!N12</f>
        <v>69.599999999999966</v>
      </c>
      <c r="D570" s="18"/>
      <c r="E570" s="19"/>
      <c r="F570" s="20"/>
    </row>
    <row r="571" spans="1:7" ht="15.75" customHeight="1" x14ac:dyDescent="0.35">
      <c r="A571" s="69">
        <v>45363</v>
      </c>
      <c r="B571" s="18"/>
      <c r="C571" s="19">
        <f>'Mar 24'!N13</f>
        <v>150.09999999999997</v>
      </c>
      <c r="D571" s="18"/>
      <c r="E571" s="19"/>
      <c r="F571" s="20"/>
    </row>
    <row r="572" spans="1:7" ht="15.75" customHeight="1" x14ac:dyDescent="0.35">
      <c r="A572" s="69">
        <v>45364</v>
      </c>
      <c r="B572" s="18"/>
      <c r="C572" s="19">
        <f>'Mar 24'!N14</f>
        <v>82.499999999999943</v>
      </c>
      <c r="D572" s="18"/>
      <c r="E572" s="19"/>
      <c r="F572" s="20"/>
    </row>
    <row r="573" spans="1:7" ht="15.75" customHeight="1" x14ac:dyDescent="0.35">
      <c r="A573" s="69">
        <v>45365</v>
      </c>
      <c r="B573" s="18"/>
      <c r="C573" s="19">
        <f>'Mar 24'!N15</f>
        <v>25.5</v>
      </c>
      <c r="D573" s="18"/>
      <c r="E573" s="19">
        <v>38.159999999999997</v>
      </c>
      <c r="F573" s="20" t="s">
        <v>2590</v>
      </c>
    </row>
    <row r="574" spans="1:7" ht="15.75" customHeight="1" x14ac:dyDescent="0.35">
      <c r="A574" s="69">
        <v>45366</v>
      </c>
      <c r="B574" s="90">
        <v>870</v>
      </c>
      <c r="C574" s="19">
        <f>'Mar 24'!N16</f>
        <v>153.60000000000002</v>
      </c>
      <c r="D574" s="18"/>
      <c r="E574" s="19">
        <f>2.99</f>
        <v>2.99</v>
      </c>
      <c r="F574" s="20" t="s">
        <v>2417</v>
      </c>
    </row>
    <row r="575" spans="1:7" ht="15.75" customHeight="1" x14ac:dyDescent="0.35">
      <c r="A575" s="69">
        <v>45367</v>
      </c>
      <c r="B575" s="18"/>
      <c r="C575" s="19">
        <f>'Mar 24'!N17</f>
        <v>221.79999999999995</v>
      </c>
      <c r="D575" s="18"/>
      <c r="E575" s="19">
        <v>0.89</v>
      </c>
      <c r="F575" s="20" t="s">
        <v>2518</v>
      </c>
    </row>
    <row r="576" spans="1:7" ht="15.75" customHeight="1" x14ac:dyDescent="0.35">
      <c r="A576" s="69">
        <v>45368</v>
      </c>
      <c r="B576" s="18"/>
      <c r="C576" s="19">
        <f>'Mar 24'!N18</f>
        <v>362.86999999999989</v>
      </c>
      <c r="D576" s="18"/>
      <c r="E576" s="19">
        <f>18</f>
        <v>18</v>
      </c>
      <c r="F576" s="20" t="s">
        <v>2591</v>
      </c>
    </row>
    <row r="577" spans="1:6" ht="15.75" customHeight="1" x14ac:dyDescent="0.35">
      <c r="A577" s="69">
        <v>45369</v>
      </c>
      <c r="C577" s="19">
        <f>'Mar 24'!N19</f>
        <v>119.70000000000005</v>
      </c>
      <c r="D577" s="18"/>
      <c r="E577" s="18">
        <v>71.900000000000006</v>
      </c>
      <c r="F577" s="20" t="s">
        <v>2592</v>
      </c>
    </row>
    <row r="578" spans="1:6" ht="15.75" customHeight="1" x14ac:dyDescent="0.35">
      <c r="A578" s="69">
        <v>45370</v>
      </c>
      <c r="B578" s="90">
        <f>740+120</f>
        <v>860</v>
      </c>
      <c r="C578" s="19">
        <f>'Mar 24'!N20</f>
        <v>76.200000000000045</v>
      </c>
      <c r="D578" s="18"/>
      <c r="E578" s="19"/>
      <c r="F578" s="20"/>
    </row>
    <row r="579" spans="1:6" ht="15.75" customHeight="1" x14ac:dyDescent="0.35">
      <c r="A579" s="69">
        <v>45371</v>
      </c>
      <c r="B579" s="18"/>
      <c r="C579" s="19">
        <f>'Mar 24'!N21</f>
        <v>110.19999999999999</v>
      </c>
      <c r="D579" s="18"/>
      <c r="E579" s="18"/>
      <c r="F579" s="20"/>
    </row>
    <row r="580" spans="1:6" ht="15.75" customHeight="1" x14ac:dyDescent="0.35">
      <c r="A580" s="69">
        <v>45372</v>
      </c>
      <c r="B580" s="18"/>
      <c r="C580" s="19">
        <f>'Mar 24'!N22</f>
        <v>186.43999999999994</v>
      </c>
      <c r="D580" s="18"/>
      <c r="E580" s="18">
        <f>56.9+6.23+102.4+8.4+1.75</f>
        <v>175.68</v>
      </c>
      <c r="F580" s="20" t="s">
        <v>2593</v>
      </c>
    </row>
    <row r="581" spans="1:6" ht="15.75" customHeight="1" x14ac:dyDescent="0.35">
      <c r="A581" s="69">
        <v>45373</v>
      </c>
      <c r="B581" s="18"/>
      <c r="C581" s="19">
        <f>'Mar 24'!N23</f>
        <v>350.12999999999988</v>
      </c>
      <c r="D581" s="18"/>
      <c r="E581" s="19"/>
      <c r="F581" s="20"/>
    </row>
    <row r="582" spans="1:6" ht="15.75" customHeight="1" x14ac:dyDescent="0.35">
      <c r="A582" s="69">
        <v>45374</v>
      </c>
      <c r="B582" s="18"/>
      <c r="C582" s="19">
        <f>'Mar 24'!N24</f>
        <v>450.27</v>
      </c>
      <c r="D582" s="18"/>
      <c r="E582" s="19">
        <v>15.33</v>
      </c>
      <c r="F582" s="20" t="s">
        <v>2417</v>
      </c>
    </row>
    <row r="583" spans="1:6" ht="15.75" customHeight="1" x14ac:dyDescent="0.35">
      <c r="A583" s="69">
        <v>45375</v>
      </c>
      <c r="B583" s="18"/>
      <c r="C583" s="19">
        <f>'Mar 24'!N25</f>
        <v>519.90000000000009</v>
      </c>
      <c r="D583" s="18"/>
      <c r="E583" s="18"/>
      <c r="F583" s="20"/>
    </row>
    <row r="584" spans="1:6" ht="15.75" customHeight="1" x14ac:dyDescent="0.35">
      <c r="A584" s="69">
        <v>45376</v>
      </c>
      <c r="B584" s="18"/>
      <c r="C584" s="19">
        <f>'Mar 24'!N26</f>
        <v>48</v>
      </c>
      <c r="D584" s="18"/>
      <c r="E584" s="18">
        <f>10.74+12.61</f>
        <v>23.35</v>
      </c>
      <c r="F584" s="20" t="s">
        <v>2594</v>
      </c>
    </row>
    <row r="585" spans="1:6" ht="15.75" customHeight="1" x14ac:dyDescent="0.35">
      <c r="A585" s="69">
        <v>45377</v>
      </c>
      <c r="B585" s="18"/>
      <c r="C585" s="19">
        <f>'Mar 24'!N27</f>
        <v>65.569999999999993</v>
      </c>
      <c r="D585" s="18"/>
      <c r="E585" s="18"/>
      <c r="F585" s="20"/>
    </row>
    <row r="586" spans="1:6" ht="15.75" customHeight="1" x14ac:dyDescent="0.35">
      <c r="A586" s="69">
        <v>45378</v>
      </c>
      <c r="B586" s="90">
        <v>1500</v>
      </c>
      <c r="C586" s="19">
        <f>'Mar 24'!N28</f>
        <v>24.600000000000023</v>
      </c>
      <c r="D586" s="18"/>
      <c r="E586" s="18">
        <f>159.21</f>
        <v>159.21</v>
      </c>
      <c r="F586" s="20" t="s">
        <v>2595</v>
      </c>
    </row>
    <row r="587" spans="1:6" ht="15.75" customHeight="1" x14ac:dyDescent="0.35">
      <c r="A587" s="69">
        <v>45379</v>
      </c>
      <c r="B587" s="18"/>
      <c r="C587" s="19">
        <f>'Mar 24'!N29</f>
        <v>13.300000000000011</v>
      </c>
      <c r="D587" s="18"/>
      <c r="E587" s="18"/>
      <c r="F587" s="20"/>
    </row>
    <row r="588" spans="1:6" ht="15.75" customHeight="1" x14ac:dyDescent="0.35">
      <c r="A588" s="69">
        <v>45380</v>
      </c>
      <c r="B588" s="18"/>
      <c r="C588" s="19">
        <f>'Mar 24'!N30</f>
        <v>85.480000000000018</v>
      </c>
      <c r="D588" s="18"/>
      <c r="E588" s="18"/>
      <c r="F588" s="92"/>
    </row>
    <row r="589" spans="1:6" ht="15.75" customHeight="1" x14ac:dyDescent="0.35">
      <c r="A589" s="69">
        <v>45381</v>
      </c>
      <c r="B589" s="18"/>
      <c r="C589" s="19">
        <f>'Mar 24'!N31</f>
        <v>59.399999999999977</v>
      </c>
      <c r="D589" s="18"/>
      <c r="E589" s="18"/>
      <c r="F589" s="20"/>
    </row>
    <row r="590" spans="1:6" ht="15.75" customHeight="1" x14ac:dyDescent="0.35">
      <c r="A590" s="69">
        <v>45382</v>
      </c>
      <c r="B590" s="18"/>
      <c r="C590" s="19">
        <f>'Mar 24'!N32</f>
        <v>116.60000000000002</v>
      </c>
      <c r="D590" s="18"/>
      <c r="E590" s="18"/>
      <c r="F590" s="20"/>
    </row>
    <row r="591" spans="1:6" ht="15.75" customHeight="1" x14ac:dyDescent="0.35">
      <c r="A591" s="14"/>
      <c r="B591" s="87">
        <v>45383</v>
      </c>
      <c r="C591" s="67"/>
      <c r="D591" s="67"/>
      <c r="E591" s="67"/>
      <c r="F591" s="68"/>
    </row>
    <row r="592" spans="1:6" ht="15.75" customHeight="1" x14ac:dyDescent="0.35">
      <c r="A592" s="69">
        <v>45383</v>
      </c>
      <c r="B592" s="18"/>
      <c r="C592" s="19">
        <f>'Abr 24 '!N2</f>
        <v>73.699999999999989</v>
      </c>
      <c r="D592" s="18"/>
      <c r="E592" s="19">
        <f>1.99</f>
        <v>1.99</v>
      </c>
      <c r="F592" s="20" t="s">
        <v>2518</v>
      </c>
    </row>
    <row r="593" spans="1:6" ht="15.75" customHeight="1" x14ac:dyDescent="0.35">
      <c r="A593" s="69">
        <v>45384</v>
      </c>
      <c r="B593" s="18"/>
      <c r="C593" s="19">
        <f>'Abr 24 '!N3</f>
        <v>2.3999999999999986</v>
      </c>
      <c r="D593" s="18"/>
      <c r="E593" s="19"/>
      <c r="F593" s="20"/>
    </row>
    <row r="594" spans="1:6" ht="15.75" customHeight="1" x14ac:dyDescent="0.35">
      <c r="A594" s="69">
        <v>45385</v>
      </c>
      <c r="B594" s="18"/>
      <c r="C594" s="19">
        <f>'Abr 24 '!N4</f>
        <v>99.800000000000011</v>
      </c>
      <c r="D594" s="18"/>
      <c r="E594" s="19"/>
      <c r="F594" s="20"/>
    </row>
    <row r="595" spans="1:6" ht="15.75" customHeight="1" x14ac:dyDescent="0.35">
      <c r="A595" s="69">
        <v>45386</v>
      </c>
      <c r="B595" s="18"/>
      <c r="C595" s="19">
        <f>'Abr 24 '!N5</f>
        <v>74.81</v>
      </c>
      <c r="D595" s="18"/>
      <c r="E595" s="19">
        <f>38.16</f>
        <v>38.159999999999997</v>
      </c>
      <c r="F595" s="20" t="s">
        <v>2596</v>
      </c>
    </row>
    <row r="596" spans="1:6" ht="15.75" customHeight="1" x14ac:dyDescent="0.35">
      <c r="A596" s="69">
        <v>45387</v>
      </c>
      <c r="B596" s="18"/>
      <c r="C596" s="19">
        <f>'Abr 24 '!N6</f>
        <v>331.70000000000005</v>
      </c>
      <c r="D596" s="18"/>
      <c r="E596" s="19">
        <f>6.71</f>
        <v>6.71</v>
      </c>
      <c r="F596" s="20" t="s">
        <v>2417</v>
      </c>
    </row>
    <row r="597" spans="1:6" ht="15.75" customHeight="1" x14ac:dyDescent="0.35">
      <c r="A597" s="69">
        <v>45388</v>
      </c>
      <c r="B597" s="18"/>
      <c r="C597" s="19">
        <f>'Abr 24 '!N7</f>
        <v>303.10000000000014</v>
      </c>
      <c r="D597" s="18"/>
      <c r="E597" s="18"/>
      <c r="F597" s="20"/>
    </row>
    <row r="598" spans="1:6" ht="15.75" customHeight="1" x14ac:dyDescent="0.35">
      <c r="A598" s="69">
        <v>45389</v>
      </c>
      <c r="B598" s="18"/>
      <c r="C598" s="19">
        <f>'Abr 24 '!N8</f>
        <v>514.94000000000005</v>
      </c>
      <c r="D598" s="18"/>
      <c r="E598" s="19">
        <f>19.53</f>
        <v>19.53</v>
      </c>
      <c r="F598" s="20" t="s">
        <v>2597</v>
      </c>
    </row>
    <row r="599" spans="1:6" ht="15.75" customHeight="1" x14ac:dyDescent="0.35">
      <c r="A599" s="69">
        <v>45390</v>
      </c>
      <c r="B599" s="18"/>
      <c r="C599" s="19">
        <f>'Abr 24 '!N9</f>
        <v>54.100000000000023</v>
      </c>
      <c r="D599" s="18"/>
      <c r="E599" s="19">
        <f>13.74</f>
        <v>13.74</v>
      </c>
      <c r="F599" s="88" t="s">
        <v>2598</v>
      </c>
    </row>
    <row r="600" spans="1:6" ht="15.75" customHeight="1" x14ac:dyDescent="0.35">
      <c r="A600" s="69">
        <v>45391</v>
      </c>
      <c r="B600" s="90">
        <v>1520</v>
      </c>
      <c r="C600" s="19">
        <f>'Abr 24 '!N10</f>
        <v>145.31</v>
      </c>
      <c r="D600" s="18"/>
      <c r="E600" s="18">
        <f>3.59</f>
        <v>3.59</v>
      </c>
      <c r="F600" s="20" t="s">
        <v>2417</v>
      </c>
    </row>
    <row r="601" spans="1:6" ht="15.75" customHeight="1" x14ac:dyDescent="0.35">
      <c r="A601" s="69">
        <v>45392</v>
      </c>
      <c r="B601" s="18"/>
      <c r="C601" s="19">
        <f>'Abr 24 '!N11</f>
        <v>73.899999999999977</v>
      </c>
      <c r="D601" s="18"/>
      <c r="E601" s="19">
        <f>9.94+6.44</f>
        <v>16.38</v>
      </c>
      <c r="F601" s="20" t="s">
        <v>2417</v>
      </c>
    </row>
    <row r="602" spans="1:6" ht="15.75" customHeight="1" x14ac:dyDescent="0.35">
      <c r="A602" s="69">
        <v>45393</v>
      </c>
      <c r="B602" s="18"/>
      <c r="C602" s="19">
        <f>'Abr 24 '!N12</f>
        <v>214.39999999999998</v>
      </c>
      <c r="D602" s="18"/>
      <c r="E602" s="19">
        <f>220+34.41+76.32+189.26</f>
        <v>519.99</v>
      </c>
      <c r="F602" s="20" t="s">
        <v>2599</v>
      </c>
    </row>
    <row r="603" spans="1:6" ht="15.75" customHeight="1" x14ac:dyDescent="0.35">
      <c r="A603" s="69">
        <v>45394</v>
      </c>
      <c r="B603" s="18"/>
      <c r="C603" s="19">
        <f>'Abr 24 '!N13</f>
        <v>458.80999999999995</v>
      </c>
      <c r="D603" s="18"/>
      <c r="E603" s="19"/>
      <c r="F603" s="20"/>
    </row>
    <row r="604" spans="1:6" ht="15.75" customHeight="1" x14ac:dyDescent="0.35">
      <c r="A604" s="69">
        <v>45395</v>
      </c>
      <c r="B604" s="18"/>
      <c r="C604" s="19">
        <f>'Abr 24 '!N14</f>
        <v>586.25</v>
      </c>
      <c r="D604" s="18"/>
      <c r="E604" s="19"/>
      <c r="F604" s="20"/>
    </row>
    <row r="605" spans="1:6" ht="15.75" customHeight="1" x14ac:dyDescent="0.35">
      <c r="A605" s="69">
        <v>45396</v>
      </c>
      <c r="B605" s="18"/>
      <c r="C605" s="19">
        <f>'Abr 24 '!N15</f>
        <v>633.29999999999973</v>
      </c>
      <c r="D605" s="18"/>
      <c r="E605" s="19">
        <f>20.21+53.25</f>
        <v>73.460000000000008</v>
      </c>
      <c r="F605" s="20" t="s">
        <v>2600</v>
      </c>
    </row>
    <row r="606" spans="1:6" ht="15.75" customHeight="1" x14ac:dyDescent="0.35">
      <c r="A606" s="69">
        <v>45397</v>
      </c>
      <c r="B606" s="18"/>
      <c r="C606" s="19">
        <f>'Abr 24 '!N16</f>
        <v>128.20000000000016</v>
      </c>
      <c r="D606" s="18"/>
      <c r="E606" s="19"/>
      <c r="F606" s="20"/>
    </row>
    <row r="607" spans="1:6" ht="15.75" customHeight="1" x14ac:dyDescent="0.35">
      <c r="A607" s="69">
        <v>45398</v>
      </c>
      <c r="B607" s="90">
        <v>1630</v>
      </c>
      <c r="C607" s="19">
        <f>'Abr 24 '!N17</f>
        <v>250.90000000000009</v>
      </c>
      <c r="D607" s="18"/>
      <c r="E607" s="19"/>
      <c r="F607" s="20"/>
    </row>
    <row r="608" spans="1:6" ht="15.75" customHeight="1" x14ac:dyDescent="0.35">
      <c r="A608" s="69">
        <v>45399</v>
      </c>
      <c r="B608" s="18"/>
      <c r="C608" s="19">
        <f>'Abr 24 '!N18</f>
        <v>194.81999999999994</v>
      </c>
      <c r="D608" s="18"/>
      <c r="E608" s="19">
        <f>140.56</f>
        <v>140.56</v>
      </c>
      <c r="F608" s="20" t="s">
        <v>2601</v>
      </c>
    </row>
    <row r="609" spans="1:6" ht="15.75" customHeight="1" x14ac:dyDescent="0.35">
      <c r="A609" s="69">
        <v>45400</v>
      </c>
      <c r="B609" s="18"/>
      <c r="C609" s="19">
        <f>'Abr 24 '!N19</f>
        <v>339.6</v>
      </c>
      <c r="D609" s="18"/>
      <c r="E609" s="18">
        <f>4.42</f>
        <v>4.42</v>
      </c>
      <c r="F609" s="20" t="s">
        <v>2417</v>
      </c>
    </row>
    <row r="610" spans="1:6" ht="15.75" customHeight="1" x14ac:dyDescent="0.35">
      <c r="A610" s="69">
        <v>45401</v>
      </c>
      <c r="B610" s="18"/>
      <c r="C610" s="19">
        <f>'Abr 24 '!N20</f>
        <v>261.1099999999999</v>
      </c>
      <c r="D610" s="18"/>
      <c r="E610" s="19"/>
      <c r="F610" s="20"/>
    </row>
    <row r="611" spans="1:6" ht="15.75" customHeight="1" x14ac:dyDescent="0.35">
      <c r="A611" s="69">
        <v>45402</v>
      </c>
      <c r="B611" s="18"/>
      <c r="C611" s="19">
        <f>'Abr 24 '!N21</f>
        <v>524.51999999999953</v>
      </c>
      <c r="D611" s="18"/>
      <c r="E611" s="18"/>
      <c r="F611" s="20"/>
    </row>
    <row r="612" spans="1:6" ht="15.75" customHeight="1" x14ac:dyDescent="0.35">
      <c r="A612" s="69">
        <v>45403</v>
      </c>
      <c r="B612" s="18"/>
      <c r="C612" s="19">
        <f>'Abr 24 '!N22</f>
        <v>479.39999999999964</v>
      </c>
      <c r="D612" s="18"/>
      <c r="E612" s="18"/>
      <c r="F612" s="20"/>
    </row>
    <row r="613" spans="1:6" ht="15.75" customHeight="1" x14ac:dyDescent="0.35">
      <c r="A613" s="69">
        <v>45404</v>
      </c>
      <c r="B613" s="90">
        <v>1905</v>
      </c>
      <c r="C613" s="19">
        <f>'Abr 24 '!N23</f>
        <v>294.6899999999996</v>
      </c>
      <c r="D613" s="18"/>
      <c r="E613" s="19"/>
      <c r="F613" s="20"/>
    </row>
    <row r="614" spans="1:6" ht="15.75" customHeight="1" x14ac:dyDescent="0.35">
      <c r="A614" s="69">
        <v>45405</v>
      </c>
      <c r="B614" s="18"/>
      <c r="C614" s="19">
        <f>'Abr 24 '!N24</f>
        <v>157.19999999999993</v>
      </c>
      <c r="D614" s="18"/>
      <c r="E614" s="19">
        <f>231.24</f>
        <v>231.24</v>
      </c>
      <c r="F614" s="20" t="s">
        <v>2602</v>
      </c>
    </row>
    <row r="615" spans="1:6" ht="15.75" customHeight="1" x14ac:dyDescent="0.35">
      <c r="A615" s="69">
        <v>45406</v>
      </c>
      <c r="B615" s="18"/>
      <c r="C615" s="19">
        <f>'Abr 24 '!N25</f>
        <v>114.60000000000002</v>
      </c>
      <c r="D615" s="18"/>
      <c r="E615" s="18"/>
      <c r="F615" s="20"/>
    </row>
    <row r="616" spans="1:6" ht="15.75" customHeight="1" x14ac:dyDescent="0.35">
      <c r="A616" s="69">
        <v>45407</v>
      </c>
      <c r="B616" s="18"/>
      <c r="C616" s="19">
        <f>'Abr 24 '!N26</f>
        <v>340.25</v>
      </c>
      <c r="D616" s="18"/>
      <c r="E616" s="18"/>
      <c r="F616" s="20"/>
    </row>
    <row r="617" spans="1:6" ht="15.75" customHeight="1" x14ac:dyDescent="0.35">
      <c r="A617" s="69">
        <v>45408</v>
      </c>
      <c r="B617" s="18"/>
      <c r="C617" s="19">
        <f>'Abr 24 '!N27</f>
        <v>63.360000000000014</v>
      </c>
      <c r="D617" s="18"/>
      <c r="E617" s="18"/>
      <c r="F617" s="20"/>
    </row>
    <row r="618" spans="1:6" ht="15.75" customHeight="1" x14ac:dyDescent="0.35">
      <c r="A618" s="69">
        <v>45409</v>
      </c>
      <c r="B618" s="18"/>
      <c r="C618" s="19">
        <f>'Abr 24 '!N28</f>
        <v>287.05999999999995</v>
      </c>
      <c r="D618" s="18"/>
      <c r="E618" s="18"/>
      <c r="F618" s="20"/>
    </row>
    <row r="619" spans="1:6" ht="15.75" customHeight="1" x14ac:dyDescent="0.35">
      <c r="A619" s="69">
        <v>45410</v>
      </c>
      <c r="B619" s="18"/>
      <c r="C619" s="19">
        <f>'Abr 24 '!N29</f>
        <v>250.56999999999994</v>
      </c>
      <c r="D619" s="18"/>
      <c r="E619" s="18"/>
      <c r="F619" s="20"/>
    </row>
    <row r="620" spans="1:6" ht="15.75" customHeight="1" x14ac:dyDescent="0.35">
      <c r="A620" s="69">
        <v>45411</v>
      </c>
      <c r="B620" s="18"/>
      <c r="C620" s="19">
        <f>'Abr 24 '!N30</f>
        <v>107.80000000000007</v>
      </c>
      <c r="D620" s="18"/>
      <c r="E620" s="18"/>
      <c r="F620" s="92"/>
    </row>
    <row r="621" spans="1:6" ht="15.75" customHeight="1" x14ac:dyDescent="0.35">
      <c r="A621" s="69">
        <v>45412</v>
      </c>
      <c r="B621" s="90">
        <f>1385</f>
        <v>1385</v>
      </c>
      <c r="C621" s="19">
        <f>'Abr 24 '!N31</f>
        <v>98.680000000000064</v>
      </c>
      <c r="D621" s="18"/>
      <c r="E621" s="18"/>
      <c r="F621" s="20"/>
    </row>
    <row r="622" spans="1:6" ht="15.75" customHeight="1" x14ac:dyDescent="0.35">
      <c r="A622" s="14"/>
      <c r="B622" s="87">
        <v>45413</v>
      </c>
      <c r="C622" s="67"/>
      <c r="D622" s="67"/>
      <c r="E622" s="67"/>
      <c r="F622" s="68"/>
    </row>
    <row r="623" spans="1:6" ht="15.75" customHeight="1" x14ac:dyDescent="0.35">
      <c r="A623" s="69">
        <v>45413</v>
      </c>
      <c r="B623" s="18"/>
      <c r="C623" s="19">
        <f>'Mai 24'!N2</f>
        <v>169.97999999999979</v>
      </c>
      <c r="D623" s="18"/>
      <c r="E623" s="19">
        <f>4.88+76.32</f>
        <v>81.199999999999989</v>
      </c>
      <c r="F623" s="20" t="s">
        <v>2603</v>
      </c>
    </row>
    <row r="624" spans="1:6" ht="15.75" customHeight="1" x14ac:dyDescent="0.35">
      <c r="A624" s="69">
        <v>45414</v>
      </c>
      <c r="B624" s="18"/>
      <c r="C624" s="19">
        <f>'Mai 24'!N3</f>
        <v>62.899999999999977</v>
      </c>
      <c r="D624" s="18"/>
      <c r="E624" s="19">
        <f>4.94</f>
        <v>4.9400000000000004</v>
      </c>
      <c r="F624" s="20" t="s">
        <v>2518</v>
      </c>
    </row>
    <row r="625" spans="1:6" ht="15.75" customHeight="1" x14ac:dyDescent="0.35">
      <c r="A625" s="69">
        <v>45415</v>
      </c>
      <c r="B625" s="18"/>
      <c r="C625" s="19">
        <f>'Mai 24'!N4</f>
        <v>61</v>
      </c>
      <c r="D625" s="18"/>
      <c r="E625" s="19"/>
      <c r="F625" s="20"/>
    </row>
    <row r="626" spans="1:6" ht="15.75" customHeight="1" x14ac:dyDescent="0.35">
      <c r="A626" s="69">
        <v>45416</v>
      </c>
      <c r="B626" s="18"/>
      <c r="C626" s="19">
        <f>'Mai 24'!N5</f>
        <v>137.8599999999999</v>
      </c>
      <c r="D626" s="18"/>
      <c r="E626" s="19"/>
      <c r="F626" s="20"/>
    </row>
    <row r="627" spans="1:6" ht="15.75" customHeight="1" x14ac:dyDescent="0.35">
      <c r="A627" s="69">
        <v>45417</v>
      </c>
      <c r="B627" s="18"/>
      <c r="C627" s="19">
        <f>'Mai 24'!N6</f>
        <v>156</v>
      </c>
      <c r="D627" s="18"/>
      <c r="E627" s="19"/>
      <c r="F627" s="20"/>
    </row>
    <row r="628" spans="1:6" ht="15.75" customHeight="1" x14ac:dyDescent="0.35">
      <c r="A628" s="69">
        <v>45418</v>
      </c>
      <c r="B628" s="18"/>
      <c r="C628" s="19">
        <f>'Mai 24'!N7</f>
        <v>118.40000000000009</v>
      </c>
      <c r="D628" s="18"/>
      <c r="E628" s="18">
        <f>5.07</f>
        <v>5.07</v>
      </c>
      <c r="F628" s="20" t="s">
        <v>2417</v>
      </c>
    </row>
    <row r="629" spans="1:6" ht="15.75" customHeight="1" x14ac:dyDescent="0.35">
      <c r="A629" s="69">
        <v>45419</v>
      </c>
      <c r="B629" s="18"/>
      <c r="C629" s="19">
        <f>'Mai 24'!N8</f>
        <v>163.47000000000014</v>
      </c>
      <c r="D629" s="18"/>
      <c r="E629" s="19"/>
      <c r="F629" s="20"/>
    </row>
    <row r="630" spans="1:6" ht="15.75" customHeight="1" x14ac:dyDescent="0.35">
      <c r="A630" s="69">
        <v>45420</v>
      </c>
      <c r="B630" s="18"/>
      <c r="C630" s="19">
        <f>'Mai 24'!N9</f>
        <v>274.99999999999977</v>
      </c>
      <c r="D630" s="18"/>
      <c r="E630" s="19"/>
      <c r="F630" s="88"/>
    </row>
    <row r="631" spans="1:6" ht="15.75" customHeight="1" x14ac:dyDescent="0.35">
      <c r="A631" s="69">
        <v>45421</v>
      </c>
      <c r="B631" s="90">
        <v>1055</v>
      </c>
      <c r="C631" s="19">
        <f>'Mai 24'!N10</f>
        <v>281.18999999999983</v>
      </c>
      <c r="D631" s="18"/>
      <c r="E631" s="18">
        <f>12.47+83.32</f>
        <v>95.789999999999992</v>
      </c>
      <c r="F631" s="20" t="s">
        <v>2604</v>
      </c>
    </row>
    <row r="632" spans="1:6" ht="15.75" customHeight="1" x14ac:dyDescent="0.35">
      <c r="A632" s="69">
        <v>45422</v>
      </c>
      <c r="B632" s="18"/>
      <c r="C632" s="19">
        <f>'Mai 24'!N11</f>
        <v>244.26</v>
      </c>
      <c r="D632" s="18"/>
      <c r="E632" s="19"/>
      <c r="F632" s="20"/>
    </row>
    <row r="633" spans="1:6" ht="15.75" customHeight="1" x14ac:dyDescent="0.35">
      <c r="A633" s="69">
        <v>45423</v>
      </c>
      <c r="B633" s="18"/>
      <c r="C633" s="19">
        <f>'Mai 24'!N12</f>
        <v>254.32999999999993</v>
      </c>
      <c r="D633" s="18"/>
      <c r="E633" s="19">
        <f>10.38</f>
        <v>10.38</v>
      </c>
      <c r="F633" s="20" t="s">
        <v>2417</v>
      </c>
    </row>
    <row r="634" spans="1:6" ht="15.75" customHeight="1" x14ac:dyDescent="0.35">
      <c r="A634" s="69">
        <v>45424</v>
      </c>
      <c r="B634" s="18"/>
      <c r="C634" s="19">
        <f>'Mai 24'!N13</f>
        <v>323.75</v>
      </c>
      <c r="D634" s="18"/>
      <c r="E634" s="19">
        <f>2.42</f>
        <v>2.42</v>
      </c>
      <c r="F634" s="20" t="s">
        <v>2417</v>
      </c>
    </row>
    <row r="635" spans="1:6" ht="15.75" customHeight="1" x14ac:dyDescent="0.35">
      <c r="A635" s="69">
        <v>45425</v>
      </c>
      <c r="B635" s="90">
        <v>1090</v>
      </c>
      <c r="C635" s="19">
        <f>'Mai 24'!N14</f>
        <v>-0.5</v>
      </c>
      <c r="D635" s="18"/>
      <c r="E635" s="19">
        <f>202.84</f>
        <v>202.84</v>
      </c>
      <c r="F635" s="20" t="s">
        <v>2605</v>
      </c>
    </row>
    <row r="636" spans="1:6" ht="15.75" customHeight="1" x14ac:dyDescent="0.35">
      <c r="A636" s="69">
        <v>45426</v>
      </c>
      <c r="B636" s="18"/>
      <c r="C636" s="19">
        <f>'Mai 24'!N15</f>
        <v>70.5</v>
      </c>
      <c r="D636" s="18"/>
      <c r="E636" s="19">
        <f>2.42</f>
        <v>2.42</v>
      </c>
      <c r="F636" s="20" t="s">
        <v>2417</v>
      </c>
    </row>
    <row r="637" spans="1:6" ht="15.75" customHeight="1" x14ac:dyDescent="0.35">
      <c r="A637" s="69">
        <v>45427</v>
      </c>
      <c r="B637" s="18"/>
      <c r="C637" s="19">
        <f>'Mai 24'!N16</f>
        <v>41.100000000000023</v>
      </c>
      <c r="D637" s="18"/>
      <c r="E637" s="19"/>
      <c r="F637" s="20"/>
    </row>
    <row r="638" spans="1:6" ht="15.75" customHeight="1" x14ac:dyDescent="0.35">
      <c r="A638" s="69">
        <v>45428</v>
      </c>
      <c r="B638" s="18"/>
      <c r="C638" s="19">
        <f>'Mai 24'!N17</f>
        <v>112.65999999999997</v>
      </c>
      <c r="D638" s="18"/>
      <c r="E638" s="19"/>
      <c r="F638" s="20"/>
    </row>
    <row r="639" spans="1:6" ht="15.75" customHeight="1" x14ac:dyDescent="0.35">
      <c r="A639" s="69">
        <v>45429</v>
      </c>
      <c r="B639" s="18"/>
      <c r="C639" s="19">
        <f>'Mai 24'!N18</f>
        <v>256.10000000000002</v>
      </c>
      <c r="D639" s="18"/>
      <c r="E639" s="19"/>
      <c r="F639" s="20"/>
    </row>
    <row r="640" spans="1:6" ht="15.75" customHeight="1" x14ac:dyDescent="0.35">
      <c r="A640" s="69">
        <v>45430</v>
      </c>
      <c r="B640" s="18"/>
      <c r="C640" s="19">
        <f>'Mai 24'!N19</f>
        <v>286.6400000000001</v>
      </c>
      <c r="D640" s="18"/>
      <c r="E640" s="18"/>
      <c r="F640" s="20"/>
    </row>
    <row r="641" spans="1:6" ht="15.75" customHeight="1" x14ac:dyDescent="0.35">
      <c r="A641" s="69">
        <v>45431</v>
      </c>
      <c r="B641" s="18"/>
      <c r="C641" s="19">
        <f>'Mai 24'!N20</f>
        <v>375.36999999999989</v>
      </c>
      <c r="D641" s="18"/>
      <c r="E641" s="19"/>
      <c r="F641" s="20"/>
    </row>
    <row r="642" spans="1:6" ht="15.75" customHeight="1" x14ac:dyDescent="0.35">
      <c r="A642" s="69">
        <v>45432</v>
      </c>
      <c r="B642" s="18"/>
      <c r="C642" s="19">
        <f>'Mai 24'!N21</f>
        <v>168.51999999999998</v>
      </c>
      <c r="D642" s="18"/>
      <c r="E642" s="18"/>
      <c r="F642" s="20"/>
    </row>
    <row r="643" spans="1:6" ht="15.75" customHeight="1" x14ac:dyDescent="0.35">
      <c r="A643" s="69">
        <v>45433</v>
      </c>
      <c r="B643" s="18"/>
      <c r="C643" s="19">
        <f>'Mai 24'!N22</f>
        <v>57.140000000000043</v>
      </c>
      <c r="D643" s="18"/>
      <c r="E643" s="18">
        <f>244.38+1.79</f>
        <v>246.17</v>
      </c>
      <c r="F643" s="20" t="s">
        <v>2606</v>
      </c>
    </row>
    <row r="644" spans="1:6" ht="15.75" customHeight="1" x14ac:dyDescent="0.35">
      <c r="A644" s="69">
        <v>45434</v>
      </c>
      <c r="B644" s="90">
        <f>930</f>
        <v>930</v>
      </c>
      <c r="C644" s="19">
        <f>'Mai 24'!N23</f>
        <v>67</v>
      </c>
      <c r="D644" s="18"/>
      <c r="E644" s="19"/>
      <c r="F644" s="20"/>
    </row>
    <row r="645" spans="1:6" ht="15.75" customHeight="1" x14ac:dyDescent="0.35">
      <c r="A645" s="69">
        <v>45435</v>
      </c>
      <c r="B645" s="18"/>
      <c r="C645" s="19">
        <f>'Mai 24'!N24</f>
        <v>115.5</v>
      </c>
      <c r="D645" s="18"/>
      <c r="E645" s="19">
        <f>102.4</f>
        <v>102.4</v>
      </c>
      <c r="F645" s="20" t="s">
        <v>2607</v>
      </c>
    </row>
    <row r="646" spans="1:6" ht="15.75" customHeight="1" x14ac:dyDescent="0.35">
      <c r="A646" s="69">
        <v>45436</v>
      </c>
      <c r="B646" s="18"/>
      <c r="C646" s="19">
        <f>'Mai 24'!N25</f>
        <v>84.589999999999918</v>
      </c>
      <c r="D646" s="18"/>
      <c r="E646" s="18"/>
      <c r="F646" s="20"/>
    </row>
    <row r="647" spans="1:6" ht="15.75" customHeight="1" x14ac:dyDescent="0.35">
      <c r="A647" s="69">
        <v>45437</v>
      </c>
      <c r="B647" s="18"/>
      <c r="C647" s="19">
        <f>'Mai 24'!N26</f>
        <v>209.59999999999991</v>
      </c>
      <c r="D647" s="18"/>
      <c r="E647" s="18"/>
      <c r="F647" s="20"/>
    </row>
    <row r="648" spans="1:6" ht="15.75" customHeight="1" x14ac:dyDescent="0.35">
      <c r="A648" s="69">
        <v>45438</v>
      </c>
      <c r="B648" s="18"/>
      <c r="C648" s="19">
        <f>'Mai 24'!N27</f>
        <v>388.69999999999982</v>
      </c>
      <c r="D648" s="18"/>
      <c r="E648" s="18"/>
      <c r="F648" s="20"/>
    </row>
    <row r="649" spans="1:6" ht="15.75" customHeight="1" x14ac:dyDescent="0.35">
      <c r="A649" s="69">
        <v>45439</v>
      </c>
      <c r="B649" s="18"/>
      <c r="C649" s="19">
        <f>'Mai 24'!N28</f>
        <v>175.59999999999997</v>
      </c>
      <c r="D649" s="18"/>
      <c r="E649" s="18"/>
      <c r="F649" s="20"/>
    </row>
    <row r="650" spans="1:6" ht="15.75" customHeight="1" x14ac:dyDescent="0.35">
      <c r="A650" s="69">
        <v>45440</v>
      </c>
      <c r="B650" s="18"/>
      <c r="C650" s="19">
        <f>'Mai 24'!N29</f>
        <v>55.5</v>
      </c>
      <c r="D650" s="18"/>
      <c r="E650" s="18"/>
      <c r="F650" s="20"/>
    </row>
    <row r="651" spans="1:6" ht="15.75" customHeight="1" x14ac:dyDescent="0.35">
      <c r="A651" s="69">
        <v>45441</v>
      </c>
      <c r="B651" s="18"/>
      <c r="C651" s="19">
        <f>'Mai 24'!N30</f>
        <v>108.20000000000005</v>
      </c>
      <c r="D651" s="18"/>
      <c r="E651" s="18"/>
      <c r="F651" s="92"/>
    </row>
    <row r="652" spans="1:6" ht="15.75" customHeight="1" x14ac:dyDescent="0.35">
      <c r="A652" s="69">
        <v>45442</v>
      </c>
      <c r="B652" s="18"/>
      <c r="C652" s="19">
        <f>'Mai 24'!N31</f>
        <v>458.54999999999973</v>
      </c>
      <c r="D652" s="18"/>
      <c r="E652" s="18">
        <f>7.19+12.47+76.32</f>
        <v>95.97999999999999</v>
      </c>
      <c r="F652" s="20" t="s">
        <v>2608</v>
      </c>
    </row>
    <row r="653" spans="1:6" ht="15.75" customHeight="1" x14ac:dyDescent="0.35">
      <c r="A653" s="69">
        <v>45443</v>
      </c>
      <c r="B653" s="90">
        <v>1465</v>
      </c>
      <c r="C653" s="19">
        <f>'Mai 24'!N32</f>
        <v>394.14999999999986</v>
      </c>
      <c r="D653" s="18"/>
      <c r="E653" s="18"/>
      <c r="F653" s="20"/>
    </row>
    <row r="654" spans="1:6" ht="15.75" customHeight="1" x14ac:dyDescent="0.35">
      <c r="A654" s="14"/>
      <c r="B654" s="87">
        <v>45444</v>
      </c>
      <c r="C654" s="67"/>
      <c r="D654" s="67"/>
      <c r="E654" s="67"/>
      <c r="F654" s="68"/>
    </row>
    <row r="655" spans="1:6" ht="15.75" customHeight="1" x14ac:dyDescent="0.35">
      <c r="A655" s="69">
        <v>45444</v>
      </c>
      <c r="B655" s="18"/>
      <c r="C655" s="19">
        <f>'Jun 24'!N2</f>
        <v>573.42000000000007</v>
      </c>
      <c r="D655" s="18"/>
      <c r="E655" s="19">
        <f>16.48</f>
        <v>16.48</v>
      </c>
      <c r="F655" s="20" t="s">
        <v>2518</v>
      </c>
    </row>
    <row r="656" spans="1:6" ht="15.75" customHeight="1" x14ac:dyDescent="0.35">
      <c r="A656" s="69">
        <v>45445</v>
      </c>
      <c r="B656" s="18"/>
      <c r="C656" s="19">
        <f>'Jun 24'!N3</f>
        <v>474.94999999999982</v>
      </c>
      <c r="D656" s="18"/>
      <c r="E656" s="19">
        <f>2.7</f>
        <v>2.7</v>
      </c>
      <c r="F656" s="20" t="s">
        <v>2518</v>
      </c>
    </row>
    <row r="657" spans="1:6" ht="15.75" customHeight="1" x14ac:dyDescent="0.35">
      <c r="A657" s="69">
        <v>45446</v>
      </c>
      <c r="B657" s="90" t="s">
        <v>2609</v>
      </c>
      <c r="C657" s="19">
        <f>'Jun 24'!N4</f>
        <v>339.20000000000005</v>
      </c>
      <c r="D657" s="18"/>
      <c r="E657" s="19">
        <f>23.87</f>
        <v>23.87</v>
      </c>
      <c r="F657" s="20" t="s">
        <v>2417</v>
      </c>
    </row>
    <row r="658" spans="1:6" ht="15.75" customHeight="1" x14ac:dyDescent="0.35">
      <c r="A658" s="69">
        <v>45447</v>
      </c>
      <c r="B658" s="18"/>
      <c r="C658" s="19">
        <f>'Jun 24'!N5</f>
        <v>128.20000000000005</v>
      </c>
      <c r="D658" s="18"/>
      <c r="E658" s="19"/>
      <c r="F658" s="20"/>
    </row>
    <row r="659" spans="1:6" ht="15.75" customHeight="1" x14ac:dyDescent="0.35">
      <c r="A659" s="69">
        <v>45448</v>
      </c>
      <c r="B659" s="18"/>
      <c r="C659" s="19">
        <f>'Jun 24'!N6</f>
        <v>95.100000000000023</v>
      </c>
      <c r="D659" s="18"/>
      <c r="E659" s="19">
        <f>3.98+246</f>
        <v>249.98</v>
      </c>
      <c r="F659" s="20" t="s">
        <v>2610</v>
      </c>
    </row>
    <row r="660" spans="1:6" ht="15.75" customHeight="1" x14ac:dyDescent="0.35">
      <c r="A660" s="69">
        <v>45449</v>
      </c>
      <c r="B660" s="18"/>
      <c r="C660" s="19">
        <f>'Jun 24'!N7</f>
        <v>124.30000000000007</v>
      </c>
      <c r="D660" s="18"/>
      <c r="E660" s="18">
        <f>120.52+6.23</f>
        <v>126.75</v>
      </c>
      <c r="F660" s="20" t="s">
        <v>2611</v>
      </c>
    </row>
    <row r="661" spans="1:6" ht="15.75" customHeight="1" x14ac:dyDescent="0.35">
      <c r="A661" s="69">
        <v>45450</v>
      </c>
      <c r="B661" s="18"/>
      <c r="C661" s="19">
        <f>'Jun 24'!N8</f>
        <v>215</v>
      </c>
      <c r="D661" s="18"/>
      <c r="E661" s="19"/>
      <c r="F661" s="20"/>
    </row>
    <row r="662" spans="1:6" ht="15.75" customHeight="1" x14ac:dyDescent="0.35">
      <c r="A662" s="69">
        <v>45451</v>
      </c>
      <c r="B662" s="18"/>
      <c r="C662" s="19">
        <f>'Jun 24'!N9</f>
        <v>356.80000000000018</v>
      </c>
      <c r="D662" s="18"/>
      <c r="E662" s="19">
        <f>54</f>
        <v>54</v>
      </c>
      <c r="F662" s="88" t="s">
        <v>2612</v>
      </c>
    </row>
    <row r="663" spans="1:6" ht="15.75" customHeight="1" x14ac:dyDescent="0.35">
      <c r="A663" s="69">
        <v>45452</v>
      </c>
      <c r="B663" s="18"/>
      <c r="C663" s="19">
        <f>'Jun 24'!N10</f>
        <v>422.91000000000031</v>
      </c>
      <c r="D663" s="18"/>
      <c r="E663" s="18">
        <f>1.61</f>
        <v>1.61</v>
      </c>
      <c r="F663" s="20" t="s">
        <v>2417</v>
      </c>
    </row>
    <row r="664" spans="1:6" ht="15.75" customHeight="1" x14ac:dyDescent="0.35">
      <c r="A664" s="69">
        <v>45453</v>
      </c>
      <c r="B664" s="18"/>
      <c r="C664" s="19">
        <f>'Jun 24'!N11</f>
        <v>396.59999999999991</v>
      </c>
      <c r="D664" s="18"/>
      <c r="E664" s="19"/>
      <c r="F664" s="20"/>
    </row>
    <row r="665" spans="1:6" ht="15.75" customHeight="1" x14ac:dyDescent="0.35">
      <c r="A665" s="69">
        <v>45454</v>
      </c>
      <c r="B665" s="90">
        <v>1650</v>
      </c>
      <c r="C665" s="19">
        <f>'Jun 24'!N12</f>
        <v>214.14999999999998</v>
      </c>
      <c r="D665" s="18"/>
      <c r="E665" s="19">
        <f>204.19 + 27.3</f>
        <v>231.49</v>
      </c>
      <c r="F665" s="20" t="s">
        <v>2613</v>
      </c>
    </row>
    <row r="666" spans="1:6" ht="15.75" customHeight="1" x14ac:dyDescent="0.35">
      <c r="A666" s="69">
        <v>45455</v>
      </c>
      <c r="B666" s="18"/>
      <c r="C666" s="19">
        <f>'Jun 24'!N13</f>
        <v>179.68000000000006</v>
      </c>
      <c r="D666" s="18"/>
      <c r="E666" s="19"/>
      <c r="F666" s="20"/>
    </row>
    <row r="667" spans="1:6" ht="15.75" customHeight="1" x14ac:dyDescent="0.35">
      <c r="A667" s="69">
        <v>45456</v>
      </c>
      <c r="B667" s="18"/>
      <c r="C667" s="19">
        <f>'Jun 24'!N14</f>
        <v>157.59999999999991</v>
      </c>
      <c r="D667" s="18"/>
      <c r="E667" s="19"/>
      <c r="F667" s="20"/>
    </row>
    <row r="668" spans="1:6" ht="15.75" customHeight="1" x14ac:dyDescent="0.35">
      <c r="A668" s="69">
        <v>45457</v>
      </c>
      <c r="B668" s="18"/>
      <c r="C668" s="19">
        <f>'Jun 24'!N15</f>
        <v>83.700000000000031</v>
      </c>
      <c r="D668" s="18"/>
      <c r="E668" s="19">
        <f>61.54</f>
        <v>61.54</v>
      </c>
      <c r="F668" s="20" t="s">
        <v>2614</v>
      </c>
    </row>
    <row r="669" spans="1:6" ht="15.75" customHeight="1" x14ac:dyDescent="0.35">
      <c r="A669" s="69">
        <v>45458</v>
      </c>
      <c r="B669" s="18"/>
      <c r="C669" s="19">
        <f>'Jun 24'!N16</f>
        <v>318.80000000000018</v>
      </c>
      <c r="D669" s="18"/>
      <c r="E669" s="19">
        <f>71.3+1.57</f>
        <v>72.86999999999999</v>
      </c>
      <c r="F669" s="20" t="s">
        <v>2615</v>
      </c>
    </row>
    <row r="670" spans="1:6" ht="15.75" customHeight="1" x14ac:dyDescent="0.35">
      <c r="A670" s="69">
        <v>45459</v>
      </c>
      <c r="B670" s="18"/>
      <c r="C670" s="19">
        <f>'Jun 24'!N17</f>
        <v>199.50999999999976</v>
      </c>
      <c r="D670" s="18"/>
      <c r="E670" s="19">
        <f>226.72</f>
        <v>226.72</v>
      </c>
      <c r="F670" s="20" t="s">
        <v>2616</v>
      </c>
    </row>
    <row r="671" spans="1:6" ht="15.75" customHeight="1" x14ac:dyDescent="0.35">
      <c r="A671" s="69">
        <v>45460</v>
      </c>
      <c r="B671" s="18"/>
      <c r="C671" s="19">
        <f>'Jun 24'!N18</f>
        <v>32.899999999999977</v>
      </c>
      <c r="D671" s="18"/>
      <c r="E671" s="19">
        <f>83.85+76.32</f>
        <v>160.16999999999999</v>
      </c>
      <c r="F671" s="20" t="s">
        <v>2617</v>
      </c>
    </row>
    <row r="672" spans="1:6" ht="15.75" customHeight="1" x14ac:dyDescent="0.35">
      <c r="A672" s="69">
        <v>45461</v>
      </c>
      <c r="B672" s="18"/>
      <c r="C672" s="19">
        <f>'Jun 24'!N19</f>
        <v>185.18000000000006</v>
      </c>
      <c r="D672" s="18"/>
      <c r="E672" s="18"/>
      <c r="F672" s="20"/>
    </row>
    <row r="673" spans="1:6" ht="15.75" customHeight="1" x14ac:dyDescent="0.35">
      <c r="A673" s="69">
        <v>45462</v>
      </c>
      <c r="B673" s="18"/>
      <c r="C673" s="19">
        <f>'Jun 24'!N20</f>
        <v>53.900000000000091</v>
      </c>
      <c r="D673" s="18"/>
      <c r="E673" s="19">
        <f>43.7+14.89</f>
        <v>58.59</v>
      </c>
      <c r="F673" s="20" t="s">
        <v>2615</v>
      </c>
    </row>
    <row r="674" spans="1:6" ht="15.75" customHeight="1" x14ac:dyDescent="0.35">
      <c r="A674" s="69">
        <v>45463</v>
      </c>
      <c r="B674" s="18"/>
      <c r="C674" s="19">
        <f>'Jun 24'!N21</f>
        <v>148.01</v>
      </c>
      <c r="D674" s="18"/>
      <c r="E674" s="18">
        <f>4.59</f>
        <v>4.59</v>
      </c>
      <c r="F674" s="20" t="s">
        <v>2417</v>
      </c>
    </row>
    <row r="675" spans="1:6" ht="15.75" customHeight="1" x14ac:dyDescent="0.35">
      <c r="A675" s="69">
        <v>45464</v>
      </c>
      <c r="B675" s="18"/>
      <c r="C675" s="19">
        <f>'Jun 24'!N22</f>
        <v>156.76</v>
      </c>
      <c r="D675" s="18"/>
      <c r="E675" s="18">
        <f>5.9+120.52+12.47</f>
        <v>138.89000000000001</v>
      </c>
      <c r="F675" s="20" t="s">
        <v>2618</v>
      </c>
    </row>
    <row r="676" spans="1:6" ht="15.75" customHeight="1" x14ac:dyDescent="0.35">
      <c r="A676" s="69">
        <v>45465</v>
      </c>
      <c r="B676" s="18"/>
      <c r="C676" s="19">
        <f>'Jun 24'!N23</f>
        <v>385.96000000000004</v>
      </c>
      <c r="D676" s="18"/>
      <c r="E676" s="19">
        <f>101.7</f>
        <v>101.7</v>
      </c>
      <c r="F676" s="20" t="s">
        <v>2616</v>
      </c>
    </row>
    <row r="677" spans="1:6" ht="15.75" customHeight="1" x14ac:dyDescent="0.35">
      <c r="A677" s="69">
        <v>45466</v>
      </c>
      <c r="B677" s="18"/>
      <c r="C677" s="19">
        <f>'Jun 24'!N24</f>
        <v>261.90000000000009</v>
      </c>
      <c r="D677" s="18"/>
      <c r="E677" s="19"/>
      <c r="F677" s="20"/>
    </row>
    <row r="678" spans="1:6" ht="15.75" customHeight="1" x14ac:dyDescent="0.35">
      <c r="A678" s="69">
        <v>45467</v>
      </c>
      <c r="B678" s="18"/>
      <c r="C678" s="19">
        <f>'Jun 24'!N25</f>
        <v>495.09999999999991</v>
      </c>
      <c r="D678" s="18"/>
      <c r="E678" s="18">
        <f>4.94</f>
        <v>4.9400000000000004</v>
      </c>
      <c r="F678" s="20" t="s">
        <v>2417</v>
      </c>
    </row>
    <row r="679" spans="1:6" ht="15.75" customHeight="1" x14ac:dyDescent="0.35">
      <c r="A679" s="69">
        <v>45468</v>
      </c>
      <c r="B679" s="90">
        <v>1820</v>
      </c>
      <c r="C679" s="19">
        <f>'Jun 24'!N26</f>
        <v>81.94</v>
      </c>
      <c r="D679" s="18"/>
      <c r="E679" s="18">
        <f>144.05</f>
        <v>144.05000000000001</v>
      </c>
      <c r="F679" s="20" t="s">
        <v>2616</v>
      </c>
    </row>
    <row r="680" spans="1:6" ht="15.75" customHeight="1" x14ac:dyDescent="0.35">
      <c r="A680" s="69">
        <v>45469</v>
      </c>
      <c r="B680" s="18"/>
      <c r="C680" s="19">
        <f>'Jun 24'!N27</f>
        <v>178</v>
      </c>
      <c r="D680" s="18"/>
      <c r="E680" s="18"/>
      <c r="F680" s="20"/>
    </row>
    <row r="681" spans="1:6" ht="15.75" customHeight="1" x14ac:dyDescent="0.35">
      <c r="A681" s="69">
        <v>45470</v>
      </c>
      <c r="B681" s="18"/>
      <c r="C681" s="19">
        <f>'Jun 24'!N28</f>
        <v>207.5</v>
      </c>
      <c r="D681" s="18"/>
      <c r="E681" s="18"/>
      <c r="F681" s="20"/>
    </row>
    <row r="682" spans="1:6" ht="15.75" customHeight="1" x14ac:dyDescent="0.35">
      <c r="A682" s="69">
        <v>45471</v>
      </c>
      <c r="B682" s="18"/>
      <c r="C682" s="19">
        <f>'Jun 24'!N29</f>
        <v>220.70000000000005</v>
      </c>
      <c r="D682" s="18"/>
      <c r="E682" s="18"/>
      <c r="F682" s="20"/>
    </row>
    <row r="683" spans="1:6" ht="15.75" customHeight="1" x14ac:dyDescent="0.35">
      <c r="A683" s="69">
        <v>45472</v>
      </c>
      <c r="B683" s="18"/>
      <c r="C683" s="19">
        <f>'Jun 24'!N30</f>
        <v>342.29999999999995</v>
      </c>
      <c r="D683" s="18"/>
      <c r="E683" s="18">
        <f>3.72</f>
        <v>3.72</v>
      </c>
      <c r="F683" s="92" t="s">
        <v>2417</v>
      </c>
    </row>
    <row r="684" spans="1:6" ht="15.75" customHeight="1" x14ac:dyDescent="0.35">
      <c r="A684" s="69">
        <v>45473</v>
      </c>
      <c r="B684" s="18"/>
      <c r="C684" s="19">
        <f>'Jun 24'!N31</f>
        <v>348.68999999999983</v>
      </c>
      <c r="D684" s="18"/>
      <c r="E684" s="18"/>
      <c r="F684" s="20"/>
    </row>
    <row r="685" spans="1:6" ht="15.75" customHeight="1" x14ac:dyDescent="0.35">
      <c r="A685" s="14"/>
      <c r="B685" s="87">
        <v>45474</v>
      </c>
      <c r="C685" s="67"/>
      <c r="D685" s="67"/>
      <c r="E685" s="67"/>
      <c r="F685" s="68"/>
    </row>
    <row r="686" spans="1:6" ht="15.75" customHeight="1" x14ac:dyDescent="0.35">
      <c r="A686" s="69">
        <v>45474</v>
      </c>
      <c r="B686" s="90">
        <v>1620</v>
      </c>
      <c r="C686" s="19">
        <f>'Jul 24'!N2</f>
        <v>347</v>
      </c>
      <c r="D686" s="18"/>
      <c r="E686" s="19">
        <v>16.98</v>
      </c>
      <c r="F686" s="20" t="s">
        <v>2619</v>
      </c>
    </row>
    <row r="687" spans="1:6" ht="15.75" customHeight="1" x14ac:dyDescent="0.35">
      <c r="A687" s="69">
        <v>45475</v>
      </c>
      <c r="B687" s="18"/>
      <c r="C687" s="19">
        <f>'Jul 24'!N3</f>
        <v>305</v>
      </c>
      <c r="D687" s="18"/>
      <c r="E687" s="19">
        <f>4.1</f>
        <v>4.0999999999999996</v>
      </c>
      <c r="F687" s="20" t="s">
        <v>2620</v>
      </c>
    </row>
    <row r="688" spans="1:6" ht="15.75" customHeight="1" x14ac:dyDescent="0.35">
      <c r="A688" s="69">
        <v>45476</v>
      </c>
      <c r="B688" s="18"/>
      <c r="C688" s="19">
        <f>'Jul 24'!N4</f>
        <v>178.20000000000027</v>
      </c>
      <c r="D688" s="18"/>
      <c r="E688" s="19">
        <v>48.42</v>
      </c>
      <c r="F688" s="20" t="s">
        <v>2621</v>
      </c>
    </row>
    <row r="689" spans="1:6" ht="15.75" customHeight="1" x14ac:dyDescent="0.35">
      <c r="A689" s="69">
        <v>45477</v>
      </c>
      <c r="B689" s="18"/>
      <c r="C689" s="19">
        <f>'Jul 24'!N5</f>
        <v>492.81999999999971</v>
      </c>
      <c r="D689" s="18"/>
      <c r="E689" s="19">
        <f>101.44</f>
        <v>101.44</v>
      </c>
      <c r="F689" s="20" t="s">
        <v>2622</v>
      </c>
    </row>
    <row r="690" spans="1:6" ht="15.75" customHeight="1" x14ac:dyDescent="0.35">
      <c r="A690" s="69">
        <v>45478</v>
      </c>
      <c r="B690" s="18"/>
      <c r="C690" s="19">
        <f>'Jul 24'!N6</f>
        <v>244.19999999999982</v>
      </c>
      <c r="D690" s="18"/>
      <c r="E690" s="19">
        <f>11.96</f>
        <v>11.96</v>
      </c>
      <c r="F690" s="20" t="s">
        <v>2417</v>
      </c>
    </row>
    <row r="691" spans="1:6" ht="15.75" customHeight="1" x14ac:dyDescent="0.35">
      <c r="A691" s="69">
        <v>45479</v>
      </c>
      <c r="B691" s="18"/>
      <c r="C691" s="19">
        <f>'Jul 24'!N7</f>
        <v>392.48999999999978</v>
      </c>
      <c r="D691" s="18"/>
      <c r="E691" s="18"/>
      <c r="F691" s="20"/>
    </row>
    <row r="692" spans="1:6" ht="15.75" customHeight="1" x14ac:dyDescent="0.35">
      <c r="A692" s="69">
        <v>45480</v>
      </c>
      <c r="B692" s="18"/>
      <c r="C692" s="19">
        <f>'Jul 24'!N8</f>
        <v>416.90000000000009</v>
      </c>
      <c r="D692" s="18"/>
      <c r="E692" s="19"/>
      <c r="F692" s="20"/>
    </row>
    <row r="693" spans="1:6" ht="15.75" customHeight="1" x14ac:dyDescent="0.35">
      <c r="A693" s="69">
        <v>45481</v>
      </c>
      <c r="B693" s="90">
        <v>1845</v>
      </c>
      <c r="C693" s="19">
        <f>'Jul 24'!N9</f>
        <v>201.12999999999988</v>
      </c>
      <c r="D693" s="18"/>
      <c r="E693" s="19"/>
      <c r="F693" s="88"/>
    </row>
    <row r="694" spans="1:6" ht="15.75" customHeight="1" x14ac:dyDescent="0.35">
      <c r="A694" s="69">
        <v>45482</v>
      </c>
      <c r="B694" s="18"/>
      <c r="C694" s="19">
        <f>'Jul 24'!N10</f>
        <v>53.5</v>
      </c>
      <c r="D694" s="18"/>
      <c r="E694" s="18"/>
      <c r="F694" s="20"/>
    </row>
    <row r="695" spans="1:6" ht="15.75" customHeight="1" x14ac:dyDescent="0.35">
      <c r="A695" s="69">
        <v>45483</v>
      </c>
      <c r="B695" s="18"/>
      <c r="C695" s="19">
        <f>'Jul 24'!N11</f>
        <v>308.29999999999995</v>
      </c>
      <c r="D695" s="18"/>
      <c r="E695" s="19"/>
      <c r="F695" s="20"/>
    </row>
    <row r="696" spans="1:6" ht="15.75" customHeight="1" x14ac:dyDescent="0.35">
      <c r="A696" s="69">
        <v>45484</v>
      </c>
      <c r="B696" s="18"/>
      <c r="C696" s="19">
        <f>'Jul 24'!N12</f>
        <v>190.27999999999997</v>
      </c>
      <c r="D696" s="18"/>
      <c r="E696" s="19">
        <f>38.16</f>
        <v>38.159999999999997</v>
      </c>
      <c r="F696" s="20" t="s">
        <v>2623</v>
      </c>
    </row>
    <row r="697" spans="1:6" ht="15.75" customHeight="1" x14ac:dyDescent="0.35">
      <c r="A697" s="69">
        <v>45485</v>
      </c>
      <c r="B697" s="18"/>
      <c r="C697" s="19">
        <f>'Jul 24'!N13</f>
        <v>291.26</v>
      </c>
      <c r="D697" s="18"/>
      <c r="E697" s="19">
        <f>106</f>
        <v>106</v>
      </c>
      <c r="F697" s="20" t="s">
        <v>2624</v>
      </c>
    </row>
    <row r="698" spans="1:6" ht="15.75" customHeight="1" x14ac:dyDescent="0.35">
      <c r="A698" s="69">
        <v>45486</v>
      </c>
      <c r="B698" s="18"/>
      <c r="C698" s="19">
        <f>'Jul 24'!N14</f>
        <v>414.64000000000033</v>
      </c>
      <c r="D698" s="18"/>
      <c r="E698" s="19"/>
      <c r="F698" s="20"/>
    </row>
    <row r="699" spans="1:6" ht="15.75" customHeight="1" x14ac:dyDescent="0.35">
      <c r="A699" s="69">
        <v>45487</v>
      </c>
      <c r="B699" s="18"/>
      <c r="C699" s="19">
        <f>'Jul 24'!N15</f>
        <v>330.5</v>
      </c>
      <c r="D699" s="18"/>
      <c r="E699" s="19">
        <f>1.19</f>
        <v>1.19</v>
      </c>
      <c r="F699" s="20" t="s">
        <v>2417</v>
      </c>
    </row>
    <row r="700" spans="1:6" ht="15.75" customHeight="1" x14ac:dyDescent="0.35">
      <c r="A700" s="69">
        <v>45488</v>
      </c>
      <c r="B700" s="18"/>
      <c r="C700" s="19">
        <f>'Jul 24'!N16</f>
        <v>321.32999999999993</v>
      </c>
      <c r="D700" s="18"/>
      <c r="E700" s="19"/>
      <c r="F700" s="20"/>
    </row>
    <row r="701" spans="1:6" ht="15.75" customHeight="1" x14ac:dyDescent="0.35">
      <c r="A701" s="69">
        <v>45489</v>
      </c>
      <c r="B701" s="90">
        <v>1965</v>
      </c>
      <c r="C701" s="19">
        <f>'Jul 24'!N17</f>
        <v>249.63000000000011</v>
      </c>
      <c r="D701" s="18"/>
      <c r="E701" s="19">
        <f>220.79</f>
        <v>220.79</v>
      </c>
      <c r="F701" s="20" t="s">
        <v>2625</v>
      </c>
    </row>
    <row r="702" spans="1:6" ht="15.75" customHeight="1" x14ac:dyDescent="0.35">
      <c r="A702" s="69">
        <v>45490</v>
      </c>
      <c r="B702" s="18"/>
      <c r="C702" s="19">
        <f>'Jul 24'!N18</f>
        <v>310.5</v>
      </c>
      <c r="D702" s="18"/>
      <c r="E702" s="19"/>
      <c r="F702" s="20"/>
    </row>
    <row r="703" spans="1:6" ht="15.75" customHeight="1" x14ac:dyDescent="0.35">
      <c r="A703" s="69">
        <v>45491</v>
      </c>
      <c r="B703" s="18"/>
      <c r="C703" s="19">
        <f>'Jul 24'!N19</f>
        <v>297.59999999999991</v>
      </c>
      <c r="D703" s="18"/>
      <c r="E703" s="18"/>
      <c r="F703" s="20"/>
    </row>
    <row r="704" spans="1:6" ht="15.75" customHeight="1" x14ac:dyDescent="0.35">
      <c r="A704" s="69">
        <v>45492</v>
      </c>
      <c r="B704" s="90">
        <v>640</v>
      </c>
      <c r="C704" s="19">
        <f>'Jul 24'!N20</f>
        <v>323.96000000000004</v>
      </c>
      <c r="D704" s="18"/>
      <c r="E704" s="19"/>
      <c r="F704" s="20"/>
    </row>
    <row r="705" spans="1:6" ht="15.75" customHeight="1" x14ac:dyDescent="0.35">
      <c r="A705" s="69">
        <v>45493</v>
      </c>
      <c r="B705" s="18"/>
      <c r="C705" s="19">
        <f>'Jul 24'!N21</f>
        <v>261.71000000000004</v>
      </c>
      <c r="D705" s="18"/>
      <c r="E705" s="18"/>
      <c r="F705" s="20"/>
    </row>
    <row r="706" spans="1:6" ht="15.75" customHeight="1" x14ac:dyDescent="0.35">
      <c r="A706" s="69">
        <v>45494</v>
      </c>
      <c r="B706" s="18"/>
      <c r="C706" s="19">
        <f>'Jul 24'!N22</f>
        <v>593.07000000000016</v>
      </c>
      <c r="D706" s="18"/>
      <c r="E706" s="18"/>
      <c r="F706" s="20"/>
    </row>
    <row r="707" spans="1:6" ht="15.75" customHeight="1" x14ac:dyDescent="0.35">
      <c r="A707" s="69">
        <v>45495</v>
      </c>
      <c r="B707" s="90">
        <v>1175</v>
      </c>
      <c r="C707" s="19">
        <f>'Jul 24'!N23</f>
        <v>429.20000000000027</v>
      </c>
      <c r="D707" s="18"/>
      <c r="E707" s="19">
        <f>81</f>
        <v>81</v>
      </c>
      <c r="F707" s="20" t="s">
        <v>2616</v>
      </c>
    </row>
    <row r="708" spans="1:6" ht="15.75" customHeight="1" x14ac:dyDescent="0.35">
      <c r="A708" s="69">
        <v>45496</v>
      </c>
      <c r="B708" s="18"/>
      <c r="C708" s="19">
        <f>'Jul 24'!N24</f>
        <v>411.49999999999977</v>
      </c>
      <c r="D708" s="18"/>
      <c r="E708" s="19"/>
      <c r="F708" s="20"/>
    </row>
    <row r="709" spans="1:6" ht="15.75" customHeight="1" x14ac:dyDescent="0.35">
      <c r="A709" s="69">
        <v>45497</v>
      </c>
      <c r="B709" s="18"/>
      <c r="C709" s="19">
        <f>'Jul 24'!N25</f>
        <v>343.52</v>
      </c>
      <c r="D709" s="18"/>
      <c r="E709" s="18">
        <f>71.04</f>
        <v>71.040000000000006</v>
      </c>
      <c r="F709" s="20" t="s">
        <v>2626</v>
      </c>
    </row>
    <row r="710" spans="1:6" ht="15.75" customHeight="1" x14ac:dyDescent="0.35">
      <c r="A710" s="69">
        <v>45498</v>
      </c>
      <c r="B710" s="18"/>
      <c r="C710" s="19">
        <f>'Jul 24'!N26</f>
        <v>305.92999999999984</v>
      </c>
      <c r="D710" s="18"/>
      <c r="E710" s="18"/>
      <c r="F710" s="20"/>
    </row>
    <row r="711" spans="1:6" ht="15.75" customHeight="1" x14ac:dyDescent="0.35">
      <c r="A711" s="69">
        <v>45499</v>
      </c>
      <c r="B711" s="18"/>
      <c r="C711" s="19">
        <f>'Jul 24'!N27</f>
        <v>400.09999999999991</v>
      </c>
      <c r="D711" s="18"/>
      <c r="E711" s="18">
        <f>4.47</f>
        <v>4.47</v>
      </c>
      <c r="F711" s="20" t="s">
        <v>2417</v>
      </c>
    </row>
    <row r="712" spans="1:6" ht="15.75" customHeight="1" x14ac:dyDescent="0.35">
      <c r="A712" s="69">
        <v>45500</v>
      </c>
      <c r="B712" s="18"/>
      <c r="C712" s="19">
        <f>'Jul 24'!N28</f>
        <v>709.20000000000027</v>
      </c>
      <c r="D712" s="18"/>
      <c r="E712" s="18">
        <f>9.07</f>
        <v>9.07</v>
      </c>
      <c r="F712" s="20" t="s">
        <v>2417</v>
      </c>
    </row>
    <row r="713" spans="1:6" ht="15.75" customHeight="1" x14ac:dyDescent="0.35">
      <c r="A713" s="69">
        <v>45501</v>
      </c>
      <c r="B713" s="18"/>
      <c r="C713" s="19">
        <f>'Jul 24'!N29</f>
        <v>397.19999999999982</v>
      </c>
      <c r="D713" s="18"/>
      <c r="E713" s="18"/>
      <c r="F713" s="20"/>
    </row>
    <row r="714" spans="1:6" ht="15.75" customHeight="1" x14ac:dyDescent="0.35">
      <c r="A714" s="69">
        <v>45502</v>
      </c>
      <c r="B714" s="18"/>
      <c r="C714" s="19">
        <f>'Jul 24'!N30</f>
        <v>208.94000000000005</v>
      </c>
      <c r="D714" s="18"/>
      <c r="E714" s="18"/>
      <c r="F714" s="92"/>
    </row>
    <row r="715" spans="1:6" ht="15.75" customHeight="1" x14ac:dyDescent="0.35">
      <c r="A715" s="69">
        <v>45503</v>
      </c>
      <c r="B715" s="18"/>
      <c r="C715" s="19">
        <f>'Jul 24'!N31</f>
        <v>396.50000000000023</v>
      </c>
      <c r="D715" s="18"/>
      <c r="E715" s="18">
        <f>2.73</f>
        <v>2.73</v>
      </c>
      <c r="F715" s="20" t="s">
        <v>2417</v>
      </c>
    </row>
    <row r="716" spans="1:6" ht="15.75" customHeight="1" x14ac:dyDescent="0.35">
      <c r="A716" s="69">
        <v>45504</v>
      </c>
      <c r="B716" s="90">
        <v>3430</v>
      </c>
      <c r="C716" s="19">
        <f>'Jul 24'!N32</f>
        <v>192.18000000000029</v>
      </c>
      <c r="D716" s="18"/>
      <c r="E716" s="18"/>
      <c r="F716" s="20"/>
    </row>
    <row r="717" spans="1:6" ht="15.75" customHeight="1" x14ac:dyDescent="0.35">
      <c r="A717" s="14"/>
      <c r="B717" s="87">
        <v>45505</v>
      </c>
      <c r="C717" s="67"/>
      <c r="D717" s="67"/>
      <c r="E717" s="67"/>
      <c r="F717" s="68"/>
    </row>
    <row r="718" spans="1:6" ht="15.75" customHeight="1" x14ac:dyDescent="0.35">
      <c r="A718" s="69">
        <v>45505</v>
      </c>
      <c r="B718" s="18"/>
      <c r="C718" s="18">
        <f>'Ago 24'!Q3</f>
        <v>264</v>
      </c>
      <c r="D718" s="18"/>
      <c r="E718" s="19">
        <f>38.97+257.3</f>
        <v>296.27</v>
      </c>
      <c r="F718" s="20" t="s">
        <v>2627</v>
      </c>
    </row>
    <row r="719" spans="1:6" ht="15.75" customHeight="1" x14ac:dyDescent="0.35">
      <c r="A719" s="69">
        <v>45506</v>
      </c>
      <c r="B719" s="18"/>
      <c r="C719" s="18">
        <f>'Ago 24'!Q4</f>
        <v>263.70000000000005</v>
      </c>
      <c r="D719" s="18"/>
      <c r="E719" s="19"/>
      <c r="F719" s="20"/>
    </row>
    <row r="720" spans="1:6" ht="15.75" customHeight="1" x14ac:dyDescent="0.35">
      <c r="A720" s="69">
        <v>45507</v>
      </c>
      <c r="B720" s="18"/>
      <c r="C720" s="18">
        <f>'Ago 24'!Q5</f>
        <v>420.03999999999996</v>
      </c>
      <c r="D720" s="18"/>
      <c r="E720" s="19"/>
      <c r="F720" s="20"/>
    </row>
    <row r="721" spans="1:8" ht="15.75" customHeight="1" x14ac:dyDescent="0.35">
      <c r="A721" s="69">
        <v>45508</v>
      </c>
      <c r="B721" s="18"/>
      <c r="C721" s="18">
        <f>'Ago 24'!Q6</f>
        <v>473.59999999999991</v>
      </c>
      <c r="D721" s="18"/>
      <c r="E721" s="19">
        <f>3.19+1.74</f>
        <v>4.93</v>
      </c>
      <c r="F721" s="20" t="s">
        <v>2417</v>
      </c>
    </row>
    <row r="722" spans="1:8" ht="15.75" customHeight="1" x14ac:dyDescent="0.35">
      <c r="A722" s="69">
        <v>45509</v>
      </c>
      <c r="B722" s="90">
        <v>1310</v>
      </c>
      <c r="C722" s="18">
        <f>'Ago 24'!Q7</f>
        <v>352.76</v>
      </c>
      <c r="D722" s="18"/>
      <c r="E722" s="19">
        <f>3.42</f>
        <v>3.42</v>
      </c>
      <c r="F722" s="20" t="s">
        <v>2417</v>
      </c>
    </row>
    <row r="723" spans="1:8" ht="15.75" customHeight="1" x14ac:dyDescent="0.35">
      <c r="A723" s="69">
        <v>45510</v>
      </c>
      <c r="B723" s="18"/>
      <c r="C723" s="18">
        <f>'Ago 24'!Q8</f>
        <v>294.16000000000031</v>
      </c>
      <c r="D723" s="18"/>
      <c r="E723" s="18">
        <f>4.32</f>
        <v>4.32</v>
      </c>
      <c r="F723" s="20" t="s">
        <v>2417</v>
      </c>
    </row>
    <row r="724" spans="1:8" ht="15.75" customHeight="1" x14ac:dyDescent="0.35">
      <c r="A724" s="69">
        <v>45511</v>
      </c>
      <c r="B724" s="18"/>
      <c r="C724" s="18">
        <f>'Ago 24'!Q9</f>
        <v>182.89999999999964</v>
      </c>
      <c r="D724" s="18"/>
      <c r="E724" s="19"/>
      <c r="F724" s="20"/>
    </row>
    <row r="725" spans="1:8" ht="15.75" customHeight="1" x14ac:dyDescent="0.35">
      <c r="A725" s="69">
        <v>45512</v>
      </c>
      <c r="B725" s="18"/>
      <c r="C725" s="18">
        <f>'Ago 24'!Q10</f>
        <v>279.30000000000018</v>
      </c>
      <c r="D725" s="18"/>
      <c r="E725" s="19"/>
      <c r="F725" s="88"/>
    </row>
    <row r="726" spans="1:8" ht="15.75" customHeight="1" x14ac:dyDescent="0.35">
      <c r="A726" s="69">
        <v>45513</v>
      </c>
      <c r="B726" s="18"/>
      <c r="C726" s="18">
        <f>'Ago 24'!Q11</f>
        <v>398.07999999999993</v>
      </c>
      <c r="D726" s="18"/>
      <c r="E726" s="18"/>
      <c r="F726" s="20"/>
      <c r="H726" t="s">
        <v>2351</v>
      </c>
    </row>
    <row r="727" spans="1:8" ht="15.75" customHeight="1" x14ac:dyDescent="0.35">
      <c r="A727" s="69">
        <v>45514</v>
      </c>
      <c r="B727" s="18"/>
      <c r="C727" s="18">
        <f>'Ago 24'!Q12</f>
        <v>499.88000000000011</v>
      </c>
      <c r="D727" s="18"/>
      <c r="E727" s="19">
        <f>3.54+21.52+25.35</f>
        <v>50.41</v>
      </c>
      <c r="F727" s="20" t="s">
        <v>2628</v>
      </c>
    </row>
    <row r="728" spans="1:8" ht="15.75" customHeight="1" x14ac:dyDescent="0.35">
      <c r="A728" s="69">
        <v>45515</v>
      </c>
      <c r="B728" s="18"/>
      <c r="C728" s="18">
        <f>'Ago 24'!Q13</f>
        <v>256.90000000000009</v>
      </c>
      <c r="D728" s="18"/>
      <c r="E728" s="19">
        <v>171.7</v>
      </c>
      <c r="F728" s="20" t="s">
        <v>2629</v>
      </c>
    </row>
    <row r="729" spans="1:8" ht="15.75" customHeight="1" x14ac:dyDescent="0.35">
      <c r="A729" s="69">
        <v>45516</v>
      </c>
      <c r="B729" s="90">
        <f>2180</f>
        <v>2180</v>
      </c>
      <c r="C729" s="18">
        <f>'Ago 24'!Q14</f>
        <v>307.09999999999991</v>
      </c>
      <c r="D729" s="18"/>
      <c r="E729" s="19">
        <f>172.63+3.19</f>
        <v>175.82</v>
      </c>
      <c r="F729" s="20" t="s">
        <v>2630</v>
      </c>
    </row>
    <row r="730" spans="1:8" ht="15.75" customHeight="1" x14ac:dyDescent="0.35">
      <c r="A730" s="69">
        <v>45517</v>
      </c>
      <c r="B730" s="18"/>
      <c r="C730" s="18">
        <f>'Ago 24'!Q15</f>
        <v>273.40000000000009</v>
      </c>
      <c r="D730" s="18"/>
      <c r="E730" s="19">
        <f>45.24</f>
        <v>45.24</v>
      </c>
      <c r="F730" s="20" t="s">
        <v>2621</v>
      </c>
    </row>
    <row r="731" spans="1:8" ht="15.75" customHeight="1" x14ac:dyDescent="0.35">
      <c r="A731" s="69">
        <v>45518</v>
      </c>
      <c r="B731" s="18"/>
      <c r="C731" s="18">
        <f>'Ago 24'!Q16</f>
        <v>388.48</v>
      </c>
      <c r="D731" s="18"/>
      <c r="E731" s="19">
        <f>200.22</f>
        <v>200.22</v>
      </c>
      <c r="F731" s="20" t="s">
        <v>2631</v>
      </c>
    </row>
    <row r="732" spans="1:8" ht="15.75" customHeight="1" x14ac:dyDescent="0.35">
      <c r="A732" s="69">
        <v>45519</v>
      </c>
      <c r="B732" s="18"/>
      <c r="C732" s="18">
        <f>'Ago 24'!Q17</f>
        <v>557.47999999999956</v>
      </c>
      <c r="D732" s="18"/>
      <c r="E732" s="19">
        <f>2.61</f>
        <v>2.61</v>
      </c>
      <c r="F732" s="20" t="s">
        <v>2417</v>
      </c>
    </row>
    <row r="733" spans="1:8" ht="15.75" customHeight="1" x14ac:dyDescent="0.35">
      <c r="A733" s="69">
        <v>45520</v>
      </c>
      <c r="B733" s="90">
        <v>910</v>
      </c>
      <c r="C733" s="18">
        <f>'Ago 24'!Q18</f>
        <v>416.50000000000045</v>
      </c>
      <c r="D733" s="18"/>
      <c r="E733" s="19"/>
      <c r="F733" s="20"/>
    </row>
    <row r="734" spans="1:8" ht="15.75" customHeight="1" x14ac:dyDescent="0.35">
      <c r="A734" s="69">
        <v>45521</v>
      </c>
      <c r="B734" s="18"/>
      <c r="C734" s="18">
        <f>'Ago 24'!Q19</f>
        <v>464.05999999999995</v>
      </c>
      <c r="D734" s="18"/>
      <c r="E734" s="19">
        <f>8.93</f>
        <v>8.93</v>
      </c>
      <c r="F734" s="20" t="s">
        <v>2417</v>
      </c>
    </row>
    <row r="735" spans="1:8" ht="15.75" customHeight="1" x14ac:dyDescent="0.35">
      <c r="A735" s="69">
        <v>45522</v>
      </c>
      <c r="B735" s="18"/>
      <c r="C735" s="18">
        <f>'Ago 24'!Q20</f>
        <v>626.59000000000015</v>
      </c>
      <c r="D735" s="18"/>
      <c r="E735" s="18"/>
      <c r="F735" s="20"/>
    </row>
    <row r="736" spans="1:8" ht="15.75" customHeight="1" x14ac:dyDescent="0.35">
      <c r="A736" s="69">
        <v>45523</v>
      </c>
      <c r="B736" s="18"/>
      <c r="C736" s="18">
        <f>'Ago 24'!Q21</f>
        <v>428.27999999999975</v>
      </c>
      <c r="D736" s="18"/>
      <c r="E736" s="19">
        <f>26.9</f>
        <v>26.9</v>
      </c>
      <c r="F736" s="20" t="s">
        <v>2417</v>
      </c>
    </row>
    <row r="737" spans="1:6" ht="15.75" customHeight="1" x14ac:dyDescent="0.35">
      <c r="A737" s="69">
        <v>45524</v>
      </c>
      <c r="B737" s="90">
        <v>1900</v>
      </c>
      <c r="C737" s="18">
        <f>'Ago 24'!Q22</f>
        <v>225.30999999999995</v>
      </c>
      <c r="D737" s="18"/>
      <c r="E737" s="18">
        <f>227.9</f>
        <v>227.9</v>
      </c>
      <c r="F737" s="20" t="s">
        <v>2632</v>
      </c>
    </row>
    <row r="738" spans="1:6" ht="15.75" customHeight="1" x14ac:dyDescent="0.35">
      <c r="A738" s="69">
        <v>45525</v>
      </c>
      <c r="B738" s="18"/>
      <c r="C738" s="18">
        <f>'Ago 24'!Q23</f>
        <v>371.80000000000018</v>
      </c>
      <c r="D738" s="18"/>
      <c r="E738" s="18">
        <f>5.86</f>
        <v>5.86</v>
      </c>
      <c r="F738" s="20" t="s">
        <v>2417</v>
      </c>
    </row>
    <row r="739" spans="1:6" ht="15.75" customHeight="1" x14ac:dyDescent="0.35">
      <c r="A739" s="69">
        <v>45526</v>
      </c>
      <c r="B739" s="18"/>
      <c r="C739" s="18">
        <f>'Ago 24'!Q24</f>
        <v>215.10000000000036</v>
      </c>
      <c r="D739" s="18"/>
      <c r="E739" s="19"/>
      <c r="F739" s="88" t="s">
        <v>2633</v>
      </c>
    </row>
    <row r="740" spans="1:6" ht="15.75" customHeight="1" x14ac:dyDescent="0.35">
      <c r="A740" s="69">
        <v>45527</v>
      </c>
      <c r="B740" s="18"/>
      <c r="C740" s="18">
        <f>'Ago 24'!Q25</f>
        <v>323.99000000000024</v>
      </c>
      <c r="D740" s="18"/>
      <c r="E740" s="19">
        <f>5.7</f>
        <v>5.7</v>
      </c>
      <c r="F740" s="20" t="s">
        <v>2417</v>
      </c>
    </row>
    <row r="741" spans="1:6" ht="15.75" customHeight="1" x14ac:dyDescent="0.35">
      <c r="A741" s="69">
        <v>45528</v>
      </c>
      <c r="B741" s="18"/>
      <c r="C741" s="18">
        <f>'Ago 24'!Q26</f>
        <v>328.19999999999982</v>
      </c>
      <c r="D741" s="18"/>
      <c r="E741" s="18"/>
      <c r="F741" s="20"/>
    </row>
    <row r="742" spans="1:6" ht="15.75" customHeight="1" x14ac:dyDescent="0.35">
      <c r="A742" s="69">
        <v>45529</v>
      </c>
      <c r="B742" s="18"/>
      <c r="C742" s="18">
        <f>'Ago 24'!Q27</f>
        <v>485.64000000000033</v>
      </c>
      <c r="D742" s="18"/>
      <c r="E742" s="18"/>
      <c r="F742" s="20"/>
    </row>
    <row r="743" spans="1:6" ht="15.75" customHeight="1" x14ac:dyDescent="0.35">
      <c r="A743" s="69">
        <v>45530</v>
      </c>
      <c r="B743" s="90">
        <v>1710</v>
      </c>
      <c r="C743" s="18">
        <f>'Ago 24'!Q28</f>
        <v>404.79999999999995</v>
      </c>
      <c r="D743" s="18"/>
      <c r="E743" s="18"/>
      <c r="F743" s="20"/>
    </row>
    <row r="744" spans="1:6" ht="15.75" customHeight="1" x14ac:dyDescent="0.35">
      <c r="A744" s="69">
        <v>45531</v>
      </c>
      <c r="B744" s="18"/>
      <c r="C744" s="18">
        <f>'Ago 24'!Q29</f>
        <v>204.79999999999973</v>
      </c>
      <c r="D744" s="18"/>
      <c r="E744" s="18"/>
      <c r="F744" s="20"/>
    </row>
    <row r="745" spans="1:6" ht="15.75" customHeight="1" x14ac:dyDescent="0.35">
      <c r="A745" s="69">
        <v>45532</v>
      </c>
      <c r="B745" s="18"/>
      <c r="C745" s="18">
        <f>'Ago 24'!Q30</f>
        <v>220.59999999999991</v>
      </c>
      <c r="D745" s="18"/>
      <c r="E745" s="18"/>
      <c r="F745" s="20"/>
    </row>
    <row r="746" spans="1:6" ht="15.75" customHeight="1" x14ac:dyDescent="0.35">
      <c r="A746" s="69">
        <v>45533</v>
      </c>
      <c r="B746" s="18"/>
      <c r="C746" s="18">
        <f>'Ago 24'!Q31</f>
        <v>331.73999999999978</v>
      </c>
      <c r="D746" s="18"/>
      <c r="E746" s="18">
        <f>4.01</f>
        <v>4.01</v>
      </c>
      <c r="F746" s="92" t="s">
        <v>2417</v>
      </c>
    </row>
    <row r="747" spans="1:6" ht="15.75" customHeight="1" x14ac:dyDescent="0.35">
      <c r="A747" s="69">
        <v>45534</v>
      </c>
      <c r="B747" s="90">
        <v>1155</v>
      </c>
      <c r="C747" s="18">
        <f>'Ago 24'!Q32</f>
        <v>267.30999999999995</v>
      </c>
      <c r="D747" s="18"/>
      <c r="E747" s="18">
        <f>1.29</f>
        <v>1.29</v>
      </c>
      <c r="F747" s="20" t="s">
        <v>2417</v>
      </c>
    </row>
    <row r="748" spans="1:6" ht="15.75" customHeight="1" x14ac:dyDescent="0.35">
      <c r="A748" s="69">
        <v>45535</v>
      </c>
      <c r="B748" s="18"/>
      <c r="C748" s="18">
        <f>'Ago 24'!Q33</f>
        <v>337.04999999999973</v>
      </c>
      <c r="D748" s="18"/>
      <c r="E748" s="18"/>
      <c r="F748" s="20"/>
    </row>
    <row r="749" spans="1:6" ht="15.75" customHeight="1" x14ac:dyDescent="0.35">
      <c r="A749" s="14"/>
      <c r="B749" s="87">
        <v>45536</v>
      </c>
      <c r="C749" s="67"/>
      <c r="D749" s="67"/>
      <c r="E749" s="67"/>
      <c r="F749" s="68"/>
    </row>
    <row r="750" spans="1:6" ht="15.75" customHeight="1" x14ac:dyDescent="0.35">
      <c r="A750" s="69">
        <v>45536</v>
      </c>
      <c r="B750" s="18"/>
      <c r="C750" s="18">
        <f>'Set 24 Mat'!Q3</f>
        <v>375.20000000000073</v>
      </c>
      <c r="D750" s="18"/>
      <c r="E750" s="19"/>
      <c r="F750" s="20"/>
    </row>
    <row r="751" spans="1:6" ht="15.75" customHeight="1" x14ac:dyDescent="0.35">
      <c r="A751" s="69">
        <v>45537</v>
      </c>
      <c r="B751" s="18"/>
      <c r="C751" s="18">
        <f>'Set 24 Mat'!Q4</f>
        <v>239.29999999999995</v>
      </c>
      <c r="D751" s="18"/>
      <c r="E751" s="19">
        <f>19.39</f>
        <v>19.39</v>
      </c>
      <c r="F751" s="20" t="s">
        <v>2417</v>
      </c>
    </row>
    <row r="752" spans="1:6" ht="15.75" customHeight="1" x14ac:dyDescent="0.35">
      <c r="A752" s="69">
        <v>45538</v>
      </c>
      <c r="B752" s="18"/>
      <c r="C752" s="18">
        <f>'Set 24 Mat'!Q5</f>
        <v>216.68000000000006</v>
      </c>
      <c r="D752" s="18"/>
      <c r="E752" s="19">
        <f>77.93</f>
        <v>77.930000000000007</v>
      </c>
      <c r="F752" s="20" t="s">
        <v>2634</v>
      </c>
    </row>
    <row r="753" spans="1:6" ht="15.75" customHeight="1" x14ac:dyDescent="0.35">
      <c r="A753" s="69">
        <v>45539</v>
      </c>
      <c r="B753" s="18"/>
      <c r="C753" s="18">
        <f>'Set 24 Mat'!Q6</f>
        <v>245.98000000000002</v>
      </c>
      <c r="D753" s="18"/>
      <c r="E753" s="19"/>
      <c r="F753" s="20"/>
    </row>
    <row r="754" spans="1:6" ht="15.75" customHeight="1" x14ac:dyDescent="0.35">
      <c r="A754" s="69">
        <v>45540</v>
      </c>
      <c r="B754" s="18"/>
      <c r="C754" s="18">
        <f>'Set 24 Mat'!Q7</f>
        <v>161.06999999999971</v>
      </c>
      <c r="D754" s="18"/>
      <c r="E754" s="19"/>
      <c r="F754" s="20"/>
    </row>
    <row r="755" spans="1:6" ht="15.75" customHeight="1" x14ac:dyDescent="0.35">
      <c r="A755" s="69">
        <v>45541</v>
      </c>
      <c r="B755" s="18"/>
      <c r="C755" s="18">
        <f>'Set 24 Mat'!Q8</f>
        <v>248.19999999999982</v>
      </c>
      <c r="D755" s="18"/>
      <c r="E755" s="18"/>
      <c r="F755" s="20"/>
    </row>
    <row r="756" spans="1:6" ht="15.75" customHeight="1" x14ac:dyDescent="0.35">
      <c r="A756" s="69">
        <v>45542</v>
      </c>
      <c r="B756" s="18"/>
      <c r="C756" s="18">
        <f>'Set 24 Mat'!Q9</f>
        <v>297.72999999999956</v>
      </c>
      <c r="D756" s="18"/>
      <c r="E756" s="19"/>
      <c r="F756" s="20"/>
    </row>
    <row r="757" spans="1:6" ht="15.75" customHeight="1" x14ac:dyDescent="0.35">
      <c r="A757" s="69">
        <v>45543</v>
      </c>
      <c r="B757" s="18"/>
      <c r="C757" s="18">
        <f>'Set 24 Mat'!Q10</f>
        <v>289.5</v>
      </c>
      <c r="D757" s="18"/>
      <c r="E757" s="19">
        <f>117.7</f>
        <v>117.7</v>
      </c>
      <c r="F757" s="88" t="s">
        <v>2616</v>
      </c>
    </row>
    <row r="758" spans="1:6" ht="15.75" customHeight="1" x14ac:dyDescent="0.35">
      <c r="A758" s="69">
        <v>45544</v>
      </c>
      <c r="B758" s="90">
        <v>2465</v>
      </c>
      <c r="C758" s="18">
        <f>'Set 24 Mat'!Q11</f>
        <v>195.69999999999982</v>
      </c>
      <c r="D758" s="18"/>
      <c r="E758" s="18"/>
      <c r="F758" s="20"/>
    </row>
    <row r="759" spans="1:6" ht="15.75" customHeight="1" x14ac:dyDescent="0.35">
      <c r="A759" s="69">
        <v>45545</v>
      </c>
      <c r="B759" s="18"/>
      <c r="C759" s="18">
        <f>'Set 24 Mat'!Q12</f>
        <v>117.20000000000005</v>
      </c>
      <c r="D759" s="18"/>
      <c r="E759" s="19">
        <f>12.85+6.75</f>
        <v>19.600000000000001</v>
      </c>
      <c r="F759" s="20" t="s">
        <v>2417</v>
      </c>
    </row>
    <row r="760" spans="1:6" ht="15.75" customHeight="1" x14ac:dyDescent="0.35">
      <c r="A760" s="69">
        <v>45546</v>
      </c>
      <c r="B760" s="18"/>
      <c r="C760" s="18">
        <f>'Set 24 Mat'!Q13</f>
        <v>124.79999999999973</v>
      </c>
      <c r="D760" s="18"/>
      <c r="E760" s="19"/>
      <c r="F760" s="20"/>
    </row>
    <row r="761" spans="1:6" ht="15.75" customHeight="1" x14ac:dyDescent="0.35">
      <c r="A761" s="69">
        <v>45547</v>
      </c>
      <c r="B761" s="18"/>
      <c r="C761" s="18">
        <f>'Set 24 Mat'!Q14</f>
        <v>109</v>
      </c>
      <c r="D761" s="18"/>
      <c r="E761" s="19">
        <f>152.82</f>
        <v>152.82</v>
      </c>
      <c r="F761" s="20" t="s">
        <v>2635</v>
      </c>
    </row>
    <row r="762" spans="1:6" ht="15.75" customHeight="1" x14ac:dyDescent="0.35">
      <c r="A762" s="69">
        <v>45548</v>
      </c>
      <c r="B762" s="18"/>
      <c r="C762" s="18">
        <f>'Set 24 Mat'!Q15</f>
        <v>340.52</v>
      </c>
      <c r="D762" s="18"/>
      <c r="E762" s="19">
        <f>4.87</f>
        <v>4.87</v>
      </c>
      <c r="F762" s="20" t="s">
        <v>2417</v>
      </c>
    </row>
    <row r="763" spans="1:6" ht="15.75" customHeight="1" x14ac:dyDescent="0.35">
      <c r="A763" s="69">
        <v>45549</v>
      </c>
      <c r="B763" s="18"/>
      <c r="C763" s="18">
        <f>'Set 24 Mat'!Q16</f>
        <v>464.64999999999964</v>
      </c>
      <c r="D763" s="18"/>
      <c r="E763" s="19">
        <f>6.09+65.7</f>
        <v>71.790000000000006</v>
      </c>
      <c r="F763" s="20" t="s">
        <v>2636</v>
      </c>
    </row>
    <row r="764" spans="1:6" ht="15.75" customHeight="1" x14ac:dyDescent="0.35">
      <c r="A764" s="69">
        <v>45550</v>
      </c>
      <c r="B764" s="18"/>
      <c r="C764" s="18">
        <f>'Set 24 Mat'!Q17</f>
        <v>404.42999999999984</v>
      </c>
      <c r="D764" s="18"/>
      <c r="E764" s="19"/>
      <c r="F764" s="20"/>
    </row>
    <row r="765" spans="1:6" ht="15.75" customHeight="1" x14ac:dyDescent="0.35">
      <c r="A765" s="69">
        <v>45551</v>
      </c>
      <c r="B765" s="18"/>
      <c r="C765" s="18">
        <f>'Set 24 Mat'!Q18</f>
        <v>216.79999999999973</v>
      </c>
      <c r="D765" s="18"/>
      <c r="E765" s="19">
        <f>30.6</f>
        <v>30.6</v>
      </c>
      <c r="F765" s="20" t="s">
        <v>2417</v>
      </c>
    </row>
    <row r="766" spans="1:6" ht="15.75" customHeight="1" x14ac:dyDescent="0.35">
      <c r="A766" s="69">
        <v>45552</v>
      </c>
      <c r="B766" s="90">
        <v>1690</v>
      </c>
      <c r="C766" s="18">
        <f>'Set 24 Mat'!Q19</f>
        <v>231.15999999999985</v>
      </c>
      <c r="D766" s="18"/>
      <c r="E766" s="19"/>
      <c r="F766" s="20"/>
    </row>
    <row r="767" spans="1:6" ht="15.75" customHeight="1" x14ac:dyDescent="0.35">
      <c r="A767" s="69">
        <v>45553</v>
      </c>
      <c r="B767" s="18"/>
      <c r="C767" s="18">
        <f>'Set 24 Mat'!Q20</f>
        <v>104.36000000000013</v>
      </c>
      <c r="D767" s="18"/>
      <c r="E767" s="18">
        <f>1.75</f>
        <v>1.75</v>
      </c>
      <c r="F767" s="20" t="s">
        <v>2417</v>
      </c>
    </row>
    <row r="768" spans="1:6" ht="15.75" customHeight="1" x14ac:dyDescent="0.35">
      <c r="A768" s="69">
        <v>45554</v>
      </c>
      <c r="B768" s="18"/>
      <c r="C768" s="18">
        <f>'Set 24 Mat'!Q21</f>
        <v>127.89999999999986</v>
      </c>
      <c r="D768" s="18"/>
      <c r="E768" s="19">
        <v>2.5099999999999998</v>
      </c>
      <c r="F768" s="20" t="s">
        <v>2417</v>
      </c>
    </row>
    <row r="769" spans="1:6" ht="15.75" customHeight="1" x14ac:dyDescent="0.35">
      <c r="A769" s="69">
        <v>45555</v>
      </c>
      <c r="B769" s="18"/>
      <c r="C769" s="18">
        <f>'Set 24 Mat'!Q22</f>
        <v>226.60000000000014</v>
      </c>
      <c r="D769" s="18"/>
      <c r="E769" s="18">
        <v>2.79</v>
      </c>
      <c r="F769" s="20" t="s">
        <v>2417</v>
      </c>
    </row>
    <row r="770" spans="1:6" ht="15.75" customHeight="1" x14ac:dyDescent="0.35">
      <c r="A770" s="69">
        <v>45556</v>
      </c>
      <c r="B770" s="18"/>
      <c r="C770" s="18">
        <f>'Set 24 Mat'!Q23</f>
        <v>291.19000000000005</v>
      </c>
      <c r="D770" s="18"/>
      <c r="E770" s="18">
        <v>110</v>
      </c>
      <c r="F770" s="20" t="s">
        <v>2637</v>
      </c>
    </row>
    <row r="771" spans="1:6" ht="15.75" customHeight="1" x14ac:dyDescent="0.35">
      <c r="A771" s="69">
        <v>45557</v>
      </c>
      <c r="B771" s="18"/>
      <c r="C771" s="18">
        <f>'Set 24 Mat'!Q24</f>
        <v>253.80000000000018</v>
      </c>
      <c r="D771" s="18"/>
      <c r="E771" s="19"/>
      <c r="F771" s="88"/>
    </row>
    <row r="772" spans="1:6" ht="15.75" customHeight="1" x14ac:dyDescent="0.35">
      <c r="A772" s="69">
        <v>45558</v>
      </c>
      <c r="B772" s="90">
        <v>1270</v>
      </c>
      <c r="C772" s="18">
        <f>'Set 24 Mat'!Q25</f>
        <v>153.5300000000002</v>
      </c>
      <c r="D772" s="18"/>
      <c r="E772" s="19"/>
      <c r="F772" s="20"/>
    </row>
    <row r="773" spans="1:6" ht="15.75" customHeight="1" x14ac:dyDescent="0.35">
      <c r="A773" s="69">
        <v>45559</v>
      </c>
      <c r="B773" s="18"/>
      <c r="C773" s="18">
        <f>'Set 24 Mat'!Q26</f>
        <v>76.299999999999955</v>
      </c>
      <c r="D773" s="18"/>
      <c r="E773" s="18">
        <f>5.72</f>
        <v>5.72</v>
      </c>
      <c r="F773" s="20" t="s">
        <v>2417</v>
      </c>
    </row>
    <row r="774" spans="1:6" ht="15.75" customHeight="1" x14ac:dyDescent="0.35">
      <c r="A774" s="69">
        <v>45560</v>
      </c>
      <c r="B774" s="18"/>
      <c r="C774" s="18">
        <f>'Set 24 Mat'!Q27</f>
        <v>26.519999999999982</v>
      </c>
      <c r="D774" s="18"/>
      <c r="E774" s="18"/>
      <c r="F774" s="20"/>
    </row>
    <row r="775" spans="1:6" ht="15.75" customHeight="1" x14ac:dyDescent="0.35">
      <c r="A775" s="69">
        <v>45561</v>
      </c>
      <c r="B775" s="18"/>
      <c r="C775" s="18">
        <f>'Set 24 Mat'!Q28</f>
        <v>137.09999999999991</v>
      </c>
      <c r="D775" s="18"/>
      <c r="E775" s="18"/>
      <c r="F775" s="20"/>
    </row>
    <row r="776" spans="1:6" ht="15.75" customHeight="1" x14ac:dyDescent="0.35">
      <c r="A776" s="69">
        <v>45562</v>
      </c>
      <c r="B776" s="18"/>
      <c r="C776" s="18">
        <f>'Set 24 Mat'!Q29</f>
        <v>117.80000000000018</v>
      </c>
      <c r="D776" s="18"/>
      <c r="E776" s="18">
        <f>52</f>
        <v>52</v>
      </c>
      <c r="F776" s="20" t="s">
        <v>2616</v>
      </c>
    </row>
    <row r="777" spans="1:6" ht="15.75" customHeight="1" x14ac:dyDescent="0.35">
      <c r="A777" s="69">
        <v>45563</v>
      </c>
      <c r="B777" s="18"/>
      <c r="C777" s="18">
        <f>'Set 24 Mat'!Q30</f>
        <v>296.19999999999982</v>
      </c>
      <c r="D777" s="18"/>
      <c r="E777" s="18"/>
      <c r="F777" s="20"/>
    </row>
    <row r="778" spans="1:6" ht="15.75" customHeight="1" x14ac:dyDescent="0.35">
      <c r="A778" s="69">
        <v>45564</v>
      </c>
      <c r="B778" s="18"/>
      <c r="C778" s="18">
        <f>'Set 24 Mat'!Q31</f>
        <v>329.13300000000027</v>
      </c>
      <c r="D778" s="18"/>
      <c r="E778" s="18"/>
      <c r="F778" s="92"/>
    </row>
    <row r="779" spans="1:6" ht="15.75" customHeight="1" x14ac:dyDescent="0.35">
      <c r="A779" s="69">
        <v>45565</v>
      </c>
      <c r="B779" s="90">
        <v>960</v>
      </c>
      <c r="C779" s="18">
        <f>'Set 24 Mat'!Q32</f>
        <v>227.21000000000004</v>
      </c>
      <c r="D779" s="18"/>
      <c r="E779" s="18">
        <v>276.55</v>
      </c>
      <c r="F779" s="92" t="s">
        <v>2638</v>
      </c>
    </row>
    <row r="780" spans="1:6" ht="15.75" customHeight="1" x14ac:dyDescent="0.35">
      <c r="A780" s="14"/>
      <c r="B780" s="87">
        <v>45566</v>
      </c>
      <c r="C780" s="67"/>
      <c r="D780" s="67"/>
      <c r="E780" s="67"/>
      <c r="F780" s="68"/>
    </row>
    <row r="781" spans="1:6" ht="15.75" customHeight="1" x14ac:dyDescent="0.35">
      <c r="A781" s="69">
        <v>45566</v>
      </c>
      <c r="B781" s="18"/>
      <c r="C781" s="18">
        <f>'Out 24 Mat'!Q3</f>
        <v>14.759999999999991</v>
      </c>
      <c r="D781" s="18"/>
      <c r="E781" s="19"/>
      <c r="F781" s="20"/>
    </row>
    <row r="782" spans="1:6" ht="15.75" customHeight="1" x14ac:dyDescent="0.35">
      <c r="A782" s="69">
        <v>45567</v>
      </c>
      <c r="B782" s="18"/>
      <c r="C782" s="18">
        <f>'Out 24 Mat'!Q4</f>
        <v>45.850000000000023</v>
      </c>
      <c r="D782" s="18"/>
      <c r="E782" s="19"/>
      <c r="F782" s="20"/>
    </row>
    <row r="783" spans="1:6" ht="15.75" customHeight="1" x14ac:dyDescent="0.35">
      <c r="A783" s="69">
        <v>45568</v>
      </c>
      <c r="B783" s="18"/>
      <c r="C783" s="18">
        <f>'Out 24 Mat'!Q5</f>
        <v>14.299999999999955</v>
      </c>
      <c r="D783" s="18"/>
      <c r="E783" s="19"/>
      <c r="F783" s="20"/>
    </row>
    <row r="784" spans="1:6" ht="15.75" customHeight="1" x14ac:dyDescent="0.35">
      <c r="A784" s="69">
        <v>45569</v>
      </c>
      <c r="B784" s="18"/>
      <c r="C784" s="18">
        <f>'Out 24 Mat'!Q6</f>
        <v>195.40000000000009</v>
      </c>
      <c r="D784" s="18"/>
      <c r="E784" s="19"/>
      <c r="F784" s="20"/>
    </row>
    <row r="785" spans="1:6" ht="15.75" customHeight="1" x14ac:dyDescent="0.35">
      <c r="A785" s="69">
        <v>45570</v>
      </c>
      <c r="B785" s="18"/>
      <c r="C785" s="18">
        <f>'Out 24 Mat'!Q7</f>
        <v>209.63000000000011</v>
      </c>
      <c r="D785" s="18"/>
      <c r="E785" s="19"/>
      <c r="F785" s="20"/>
    </row>
    <row r="786" spans="1:6" ht="15.75" customHeight="1" x14ac:dyDescent="0.35">
      <c r="A786" s="69">
        <v>45571</v>
      </c>
      <c r="B786" s="18"/>
      <c r="C786" s="18">
        <f>'Out 24 Mat'!Q8</f>
        <v>121.23000000000002</v>
      </c>
      <c r="D786" s="18"/>
      <c r="E786" s="18"/>
      <c r="F786" s="20"/>
    </row>
    <row r="787" spans="1:6" ht="15.75" customHeight="1" x14ac:dyDescent="0.35">
      <c r="A787" s="69">
        <v>45572</v>
      </c>
      <c r="B787" s="18"/>
      <c r="C787" s="18">
        <f>'Out 24 Mat'!Q9</f>
        <v>74.519999999999982</v>
      </c>
      <c r="D787" s="18"/>
      <c r="E787" s="19"/>
      <c r="F787" s="20"/>
    </row>
    <row r="788" spans="1:6" ht="15.75" customHeight="1" x14ac:dyDescent="0.35">
      <c r="A788" s="69">
        <v>45573</v>
      </c>
      <c r="B788" s="18"/>
      <c r="C788" s="18">
        <f>'Out 24 Mat'!Q10</f>
        <v>17.799999999999955</v>
      </c>
      <c r="D788" s="18"/>
      <c r="E788" s="19">
        <f>15.37+3.99</f>
        <v>19.36</v>
      </c>
      <c r="F788" s="20" t="s">
        <v>2417</v>
      </c>
    </row>
    <row r="789" spans="1:6" ht="15.75" customHeight="1" x14ac:dyDescent="0.35">
      <c r="A789" s="69">
        <v>45574</v>
      </c>
      <c r="B789" s="18"/>
      <c r="C789" s="18">
        <f>'Out 24 Mat'!Q11</f>
        <v>48.099999999999909</v>
      </c>
      <c r="D789" s="18"/>
      <c r="E789" s="18"/>
      <c r="F789" s="20"/>
    </row>
    <row r="790" spans="1:6" ht="15.75" customHeight="1" x14ac:dyDescent="0.35">
      <c r="A790" s="69">
        <v>45575</v>
      </c>
      <c r="B790" s="90">
        <v>730</v>
      </c>
      <c r="C790" s="18">
        <f>'Out 24 Mat'!Q12</f>
        <v>28.599999999999909</v>
      </c>
      <c r="D790" s="18"/>
      <c r="E790" s="19"/>
      <c r="F790" s="20"/>
    </row>
    <row r="791" spans="1:6" ht="15.75" customHeight="1" x14ac:dyDescent="0.35">
      <c r="A791" s="69">
        <v>45576</v>
      </c>
      <c r="B791" s="18"/>
      <c r="C791" s="18">
        <f>'Out 24 Mat'!Q13</f>
        <v>123.69999999999993</v>
      </c>
      <c r="D791" s="18"/>
      <c r="E791" s="19"/>
      <c r="F791" s="20"/>
    </row>
    <row r="792" spans="1:6" ht="15.75" customHeight="1" x14ac:dyDescent="0.35">
      <c r="A792" s="69">
        <v>45577</v>
      </c>
      <c r="B792" s="18"/>
      <c r="C792" s="18">
        <f>'Out 24 Mat'!Q14</f>
        <v>340.36999999999989</v>
      </c>
      <c r="D792" s="18"/>
      <c r="E792" s="19"/>
      <c r="F792" s="20"/>
    </row>
    <row r="793" spans="1:6" ht="15.75" customHeight="1" x14ac:dyDescent="0.35">
      <c r="A793" s="69">
        <v>45578</v>
      </c>
      <c r="B793" s="18"/>
      <c r="C793" s="18">
        <f>'Out 24 Mat'!Q15</f>
        <v>397.10000000000036</v>
      </c>
      <c r="D793" s="18"/>
      <c r="E793" s="19">
        <f>3.68</f>
        <v>3.68</v>
      </c>
      <c r="F793" s="20" t="s">
        <v>2417</v>
      </c>
    </row>
    <row r="794" spans="1:6" ht="15.75" customHeight="1" x14ac:dyDescent="0.35">
      <c r="A794" s="69">
        <v>45579</v>
      </c>
      <c r="B794" s="18"/>
      <c r="C794" s="18">
        <f>'Out 24 Mat'!Q16</f>
        <v>144.5100000000001</v>
      </c>
      <c r="D794" s="18"/>
      <c r="E794" s="19"/>
      <c r="F794" s="20"/>
    </row>
    <row r="795" spans="1:6" ht="15.75" customHeight="1" x14ac:dyDescent="0.35">
      <c r="A795" s="69">
        <v>45580</v>
      </c>
      <c r="B795" s="18"/>
      <c r="C795" s="18">
        <f>'Out 24 Mat'!Q17</f>
        <v>112.10000000000002</v>
      </c>
      <c r="D795" s="18"/>
      <c r="E795" s="19">
        <f>6.45</f>
        <v>6.45</v>
      </c>
      <c r="F795" s="20" t="s">
        <v>2417</v>
      </c>
    </row>
    <row r="796" spans="1:6" ht="15.75" customHeight="1" x14ac:dyDescent="0.35">
      <c r="A796" s="69">
        <v>45581</v>
      </c>
      <c r="B796" s="18"/>
      <c r="C796" s="18">
        <f>'Out 24 Mat'!Q18</f>
        <v>41.879999999999995</v>
      </c>
      <c r="D796" s="18"/>
      <c r="E796" s="19"/>
      <c r="F796" s="20"/>
    </row>
    <row r="797" spans="1:6" ht="15.75" customHeight="1" x14ac:dyDescent="0.35">
      <c r="A797" s="69">
        <v>45582</v>
      </c>
      <c r="B797" s="18"/>
      <c r="C797" s="18">
        <f>'Out 24 Mat'!Q19</f>
        <v>66.999999999999886</v>
      </c>
      <c r="D797" s="18"/>
      <c r="E797" s="19">
        <f>7.47+ 106.16</f>
        <v>113.63</v>
      </c>
      <c r="F797" s="20" t="s">
        <v>2639</v>
      </c>
    </row>
    <row r="798" spans="1:6" ht="15.75" customHeight="1" x14ac:dyDescent="0.35">
      <c r="A798" s="69">
        <v>45583</v>
      </c>
      <c r="B798" s="18"/>
      <c r="C798" s="18">
        <f>'Out 24 Mat'!Q20</f>
        <v>161.79999999999995</v>
      </c>
      <c r="D798" s="18"/>
      <c r="E798" s="18"/>
      <c r="F798" s="20"/>
    </row>
    <row r="799" spans="1:6" ht="15.75" customHeight="1" x14ac:dyDescent="0.35">
      <c r="A799" s="69">
        <v>45584</v>
      </c>
      <c r="B799" s="18"/>
      <c r="C799" s="18">
        <f>'Out 24 Mat'!Q21</f>
        <v>171.38000000000011</v>
      </c>
      <c r="D799" s="18"/>
      <c r="E799" s="19"/>
      <c r="F799" s="20"/>
    </row>
    <row r="800" spans="1:6" ht="15.75" customHeight="1" x14ac:dyDescent="0.35">
      <c r="A800" s="69">
        <v>45585</v>
      </c>
      <c r="B800" s="18"/>
      <c r="C800" s="18">
        <f>'Out 24 Mat'!Q22</f>
        <v>212.5</v>
      </c>
      <c r="D800" s="18"/>
      <c r="E800" s="18"/>
      <c r="F800" s="20"/>
    </row>
    <row r="801" spans="1:6" ht="15.75" customHeight="1" x14ac:dyDescent="0.35">
      <c r="A801" s="69">
        <v>45586</v>
      </c>
      <c r="B801" s="90">
        <f>1670</f>
        <v>1670</v>
      </c>
      <c r="C801" s="18">
        <f>'Out 24 Mat'!Q23</f>
        <v>84.030000000000086</v>
      </c>
      <c r="D801" s="18"/>
      <c r="E801" s="18">
        <f>4.77+3.9</f>
        <v>8.67</v>
      </c>
      <c r="F801" s="20" t="s">
        <v>2640</v>
      </c>
    </row>
    <row r="802" spans="1:6" ht="15.75" customHeight="1" x14ac:dyDescent="0.35">
      <c r="A802" s="69">
        <v>45587</v>
      </c>
      <c r="B802" s="18"/>
      <c r="C802" s="18">
        <f>'Out 24 Mat'!Q24</f>
        <v>232.40000000000009</v>
      </c>
      <c r="D802" s="18"/>
      <c r="E802" s="19">
        <v>7.47</v>
      </c>
      <c r="F802" s="20" t="s">
        <v>2417</v>
      </c>
    </row>
    <row r="803" spans="1:6" ht="15.75" customHeight="1" x14ac:dyDescent="0.35">
      <c r="A803" s="69">
        <v>45588</v>
      </c>
      <c r="B803" s="18"/>
      <c r="C803" s="18">
        <f>'Out 24 Mat'!Q25</f>
        <v>171.89999999999986</v>
      </c>
      <c r="D803" s="18"/>
      <c r="E803" s="102">
        <v>220</v>
      </c>
      <c r="F803" s="88" t="s">
        <v>2641</v>
      </c>
    </row>
    <row r="804" spans="1:6" ht="15.75" customHeight="1" x14ac:dyDescent="0.35">
      <c r="A804" s="69">
        <v>45589</v>
      </c>
      <c r="B804" s="18"/>
      <c r="C804" s="18">
        <f>'Out 24 Mat'!Q26</f>
        <v>53.900000000000034</v>
      </c>
      <c r="D804" s="18"/>
      <c r="E804" s="18"/>
      <c r="F804" s="20"/>
    </row>
    <row r="805" spans="1:6" ht="15.75" customHeight="1" x14ac:dyDescent="0.35">
      <c r="A805" s="69">
        <v>45590</v>
      </c>
      <c r="B805" s="18"/>
      <c r="C805" s="18">
        <f>'Out 24 Mat'!Q27</f>
        <v>81.189999999999941</v>
      </c>
      <c r="D805" s="18"/>
      <c r="E805" s="18">
        <v>8.7799999999999994</v>
      </c>
      <c r="F805" s="20" t="s">
        <v>2417</v>
      </c>
    </row>
    <row r="806" spans="1:6" ht="15.75" customHeight="1" x14ac:dyDescent="0.35">
      <c r="A806" s="69">
        <v>45591</v>
      </c>
      <c r="B806" s="18"/>
      <c r="C806" s="18">
        <f>'Out 24 Mat'!Q28</f>
        <v>113.79999999999995</v>
      </c>
      <c r="D806" s="18"/>
      <c r="E806" s="18"/>
      <c r="F806" s="20"/>
    </row>
    <row r="807" spans="1:6" ht="15.75" customHeight="1" x14ac:dyDescent="0.35">
      <c r="A807" s="69">
        <v>45592</v>
      </c>
      <c r="B807" s="18"/>
      <c r="C807" s="18">
        <f>'Out 24 Mat'!Q29</f>
        <v>305.70000000000005</v>
      </c>
      <c r="D807" s="18"/>
      <c r="E807" s="18">
        <v>6.36</v>
      </c>
      <c r="F807" s="20" t="s">
        <v>2417</v>
      </c>
    </row>
    <row r="808" spans="1:6" ht="15.75" customHeight="1" x14ac:dyDescent="0.35">
      <c r="A808" s="69">
        <v>45593</v>
      </c>
      <c r="B808" s="90">
        <v>860</v>
      </c>
      <c r="C808" s="18">
        <f>'Out 24 Mat'!Q30</f>
        <v>59.299999999999955</v>
      </c>
      <c r="D808" s="18"/>
      <c r="E808" s="18"/>
      <c r="F808" s="20"/>
    </row>
    <row r="809" spans="1:6" ht="15.75" customHeight="1" x14ac:dyDescent="0.35">
      <c r="A809" s="69">
        <v>45594</v>
      </c>
      <c r="B809" s="18"/>
      <c r="C809" s="18">
        <f>'Out 24 Mat'!Q31</f>
        <v>104.97000000000003</v>
      </c>
      <c r="D809" s="18"/>
      <c r="E809" s="18">
        <f>154.85</f>
        <v>154.85</v>
      </c>
      <c r="F809" s="92" t="s">
        <v>2642</v>
      </c>
    </row>
    <row r="810" spans="1:6" ht="15.75" customHeight="1" x14ac:dyDescent="0.35">
      <c r="A810" s="69">
        <v>45595</v>
      </c>
      <c r="B810" s="18"/>
      <c r="C810" s="18">
        <f>'Out 24 Mat'!Q32</f>
        <v>101.44999999999993</v>
      </c>
      <c r="D810" s="18"/>
      <c r="E810" s="18">
        <f>7.47</f>
        <v>7.47</v>
      </c>
      <c r="F810" s="20" t="s">
        <v>2417</v>
      </c>
    </row>
    <row r="811" spans="1:6" ht="15.75" customHeight="1" x14ac:dyDescent="0.35">
      <c r="A811" s="69">
        <v>45596</v>
      </c>
      <c r="B811" s="18"/>
      <c r="C811" s="18">
        <f>'Out 24 Mat'!Q33</f>
        <v>39.100000000000136</v>
      </c>
      <c r="D811" s="18"/>
      <c r="E811" s="18">
        <f>47+26.49</f>
        <v>73.489999999999995</v>
      </c>
      <c r="F811" s="20" t="s">
        <v>2643</v>
      </c>
    </row>
    <row r="812" spans="1:6" ht="15.75" customHeight="1" x14ac:dyDescent="0.35">
      <c r="A812" s="14"/>
      <c r="B812" s="87">
        <v>45597</v>
      </c>
      <c r="C812" s="67"/>
      <c r="D812" s="67"/>
      <c r="E812" s="67"/>
      <c r="F812" s="68"/>
    </row>
    <row r="813" spans="1:6" ht="15.75" customHeight="1" x14ac:dyDescent="0.35">
      <c r="A813" s="69">
        <v>45597</v>
      </c>
      <c r="B813" s="18"/>
      <c r="C813" s="18">
        <f>'Nov 24 Mat'!Q3</f>
        <v>319.45000000000005</v>
      </c>
      <c r="D813" s="18"/>
      <c r="E813" s="19"/>
      <c r="F813" s="20"/>
    </row>
    <row r="814" spans="1:6" ht="15.75" customHeight="1" x14ac:dyDescent="0.35">
      <c r="A814" s="69">
        <v>45598</v>
      </c>
      <c r="B814" s="18"/>
      <c r="C814" s="18">
        <f>'Nov 24 Mat'!Q4</f>
        <v>316.29999999999973</v>
      </c>
      <c r="D814" s="18"/>
      <c r="E814" s="19">
        <f>6.14</f>
        <v>6.14</v>
      </c>
      <c r="F814" s="20" t="s">
        <v>2644</v>
      </c>
    </row>
    <row r="815" spans="1:6" ht="15.75" customHeight="1" x14ac:dyDescent="0.35">
      <c r="A815" s="69">
        <v>45599</v>
      </c>
      <c r="B815" s="18"/>
      <c r="C815" s="18">
        <f>'Nov 24 Mat'!Q5</f>
        <v>286.49999999999955</v>
      </c>
      <c r="D815" s="18"/>
      <c r="E815" s="19"/>
      <c r="F815" s="20"/>
    </row>
    <row r="816" spans="1:6" ht="15.75" customHeight="1" x14ac:dyDescent="0.35">
      <c r="A816" s="69">
        <v>45600</v>
      </c>
      <c r="B816" s="18"/>
      <c r="C816" s="18">
        <f>'Nov 24 Mat'!Q6</f>
        <v>75.5</v>
      </c>
      <c r="D816" s="18"/>
      <c r="E816" s="19">
        <f>59.91+99.81</f>
        <v>159.72</v>
      </c>
      <c r="F816" s="20" t="s">
        <v>2645</v>
      </c>
    </row>
    <row r="817" spans="1:7" ht="15.75" customHeight="1" x14ac:dyDescent="0.35">
      <c r="A817" s="69">
        <v>45601</v>
      </c>
      <c r="B817" s="18"/>
      <c r="C817" s="18">
        <f>'Nov 24 Mat'!Q7</f>
        <v>44.200000000000045</v>
      </c>
      <c r="D817" s="18"/>
      <c r="E817" s="19"/>
      <c r="F817" s="20"/>
    </row>
    <row r="818" spans="1:7" ht="15.75" customHeight="1" x14ac:dyDescent="0.35">
      <c r="A818" s="69">
        <v>45602</v>
      </c>
      <c r="B818" s="18"/>
      <c r="C818" s="18">
        <f>'Nov 24 Mat'!Q8</f>
        <v>47.900000000000034</v>
      </c>
      <c r="D818" s="18"/>
      <c r="E818" s="18"/>
      <c r="F818" s="20"/>
      <c r="G818">
        <f>1+(8*4)+(4*3)+(20*2)+36+60+119.36</f>
        <v>300.36</v>
      </c>
    </row>
    <row r="819" spans="1:7" ht="15.75" customHeight="1" x14ac:dyDescent="0.35">
      <c r="A819" s="69">
        <v>45603</v>
      </c>
      <c r="B819" s="18"/>
      <c r="C819" s="18">
        <f>'Nov 24 Mat'!Q9</f>
        <v>111.17000000000007</v>
      </c>
      <c r="D819" s="18"/>
      <c r="E819" s="19"/>
      <c r="F819" s="20"/>
    </row>
    <row r="820" spans="1:7" ht="15.75" customHeight="1" x14ac:dyDescent="0.35">
      <c r="A820" s="69">
        <v>45604</v>
      </c>
      <c r="B820" s="18"/>
      <c r="C820" s="18">
        <f>'Nov 24 Mat'!Q10</f>
        <v>201.47000000000003</v>
      </c>
      <c r="D820" s="18"/>
      <c r="E820" s="19"/>
      <c r="F820" s="20"/>
    </row>
    <row r="821" spans="1:7" ht="15.75" customHeight="1" x14ac:dyDescent="0.35">
      <c r="A821" s="69">
        <v>45605</v>
      </c>
      <c r="B821" s="18"/>
      <c r="C821" s="18">
        <f>'Nov 24 Mat'!Q11</f>
        <v>320.52</v>
      </c>
      <c r="D821" s="18"/>
      <c r="E821" s="18"/>
      <c r="F821" s="20"/>
    </row>
    <row r="822" spans="1:7" ht="15.75" customHeight="1" x14ac:dyDescent="0.35">
      <c r="A822" s="69">
        <v>45606</v>
      </c>
      <c r="B822" s="18"/>
      <c r="C822" s="18">
        <f>'Nov 24 Mat'!Q12</f>
        <v>118.95000000000005</v>
      </c>
      <c r="D822" s="18"/>
      <c r="E822" s="19"/>
      <c r="F822" s="20"/>
    </row>
    <row r="823" spans="1:7" ht="15.75" customHeight="1" x14ac:dyDescent="0.35">
      <c r="A823" s="69">
        <v>45607</v>
      </c>
      <c r="B823" s="18"/>
      <c r="C823" s="18">
        <f>'Nov 24 Mat'!Q13</f>
        <v>98</v>
      </c>
      <c r="D823" s="18"/>
      <c r="E823" s="19">
        <f>8.57</f>
        <v>8.57</v>
      </c>
      <c r="F823" s="20" t="s">
        <v>2417</v>
      </c>
    </row>
    <row r="824" spans="1:7" ht="15.75" customHeight="1" x14ac:dyDescent="0.35">
      <c r="A824" s="69">
        <v>45608</v>
      </c>
      <c r="B824" s="90">
        <v>1800</v>
      </c>
      <c r="C824" s="18">
        <f>'Nov 24 Mat'!Q14</f>
        <v>46.2800000000002</v>
      </c>
      <c r="D824" s="18"/>
      <c r="E824" s="19">
        <v>396.2</v>
      </c>
      <c r="F824" s="20" t="s">
        <v>2646</v>
      </c>
    </row>
    <row r="825" spans="1:7" ht="15.75" customHeight="1" x14ac:dyDescent="0.35">
      <c r="A825" s="69">
        <v>45609</v>
      </c>
      <c r="B825" s="18"/>
      <c r="C825" s="18">
        <f>'Nov 24 Mat'!Q15</f>
        <v>49.199999999999932</v>
      </c>
      <c r="D825" s="18"/>
      <c r="E825" s="19"/>
      <c r="F825" s="20" t="s">
        <v>2351</v>
      </c>
    </row>
    <row r="826" spans="1:7" ht="15.75" customHeight="1" x14ac:dyDescent="0.35">
      <c r="A826" s="69">
        <v>45610</v>
      </c>
      <c r="B826" s="18"/>
      <c r="C826" s="18">
        <f>'Nov 24 Mat'!Q16</f>
        <v>33.199999999999989</v>
      </c>
      <c r="D826" s="18"/>
      <c r="E826" s="19"/>
      <c r="F826" s="20"/>
    </row>
    <row r="827" spans="1:7" ht="15.75" customHeight="1" x14ac:dyDescent="0.35">
      <c r="A827" s="69">
        <v>45611</v>
      </c>
      <c r="B827" s="18"/>
      <c r="C827" s="18">
        <f>'Nov 24 Mat'!Q17</f>
        <v>55.599999999999909</v>
      </c>
      <c r="D827" s="18"/>
      <c r="E827" s="19"/>
      <c r="F827" s="20"/>
    </row>
    <row r="828" spans="1:7" ht="15.75" customHeight="1" x14ac:dyDescent="0.35">
      <c r="A828" s="69">
        <v>45612</v>
      </c>
      <c r="B828" s="18"/>
      <c r="C828" s="18">
        <f>'Nov 24 Mat'!Q18</f>
        <v>298</v>
      </c>
      <c r="D828" s="18"/>
      <c r="E828" s="19"/>
      <c r="F828" s="20"/>
    </row>
    <row r="829" spans="1:7" ht="15.75" customHeight="1" x14ac:dyDescent="0.35">
      <c r="A829" s="69">
        <v>45613</v>
      </c>
      <c r="B829" s="18"/>
      <c r="C829" s="18">
        <f>'Nov 24 Mat'!Q19</f>
        <v>354.31999999999994</v>
      </c>
      <c r="D829" s="18"/>
      <c r="E829" s="19"/>
      <c r="F829" s="20"/>
    </row>
    <row r="830" spans="1:7" ht="15.75" customHeight="1" x14ac:dyDescent="0.35">
      <c r="A830" s="69">
        <v>45614</v>
      </c>
      <c r="B830" s="18"/>
      <c r="C830" s="18">
        <f>'Nov 24 Mat'!Q20</f>
        <v>45.899999999999977</v>
      </c>
      <c r="D830" s="18"/>
      <c r="E830" s="18"/>
      <c r="F830" s="20"/>
    </row>
    <row r="831" spans="1:7" ht="15.75" customHeight="1" x14ac:dyDescent="0.35">
      <c r="A831" s="69">
        <v>45615</v>
      </c>
      <c r="B831" s="86">
        <v>490</v>
      </c>
      <c r="C831" s="18">
        <f>'Nov 24 Mat'!Q21</f>
        <v>40.599999999999966</v>
      </c>
      <c r="D831" s="18"/>
      <c r="E831" s="19">
        <v>56.65</v>
      </c>
      <c r="F831" s="20" t="s">
        <v>2647</v>
      </c>
    </row>
    <row r="832" spans="1:7" ht="15.75" customHeight="1" x14ac:dyDescent="0.35">
      <c r="A832" s="69">
        <v>45616</v>
      </c>
      <c r="B832" s="18"/>
      <c r="C832" s="18">
        <f>'Nov 24 Mat'!Q22</f>
        <v>82.100000000000023</v>
      </c>
      <c r="D832" s="18"/>
      <c r="E832" s="18"/>
      <c r="F832" s="20"/>
    </row>
    <row r="833" spans="1:12" ht="15.75" customHeight="1" x14ac:dyDescent="0.35">
      <c r="A833" s="69">
        <v>45617</v>
      </c>
      <c r="B833" s="18"/>
      <c r="C833" s="18">
        <f>'Nov 24 Mat'!Q23</f>
        <v>68</v>
      </c>
      <c r="D833" s="18"/>
      <c r="E833" s="18"/>
      <c r="F833" s="20"/>
    </row>
    <row r="834" spans="1:12" ht="15.75" customHeight="1" x14ac:dyDescent="0.35">
      <c r="A834" s="69">
        <v>45618</v>
      </c>
      <c r="B834" s="18"/>
      <c r="C834" s="18">
        <f>'Nov 24 Mat'!Q24</f>
        <v>101.40000000000003</v>
      </c>
      <c r="D834" s="18"/>
      <c r="E834" s="19"/>
      <c r="F834" s="20"/>
    </row>
    <row r="835" spans="1:12" ht="15.75" customHeight="1" x14ac:dyDescent="0.35">
      <c r="A835" s="69">
        <v>45619</v>
      </c>
      <c r="B835" s="18"/>
      <c r="C835" s="18">
        <f>'Nov 24 Mat'!Q25</f>
        <v>216.29999999999995</v>
      </c>
      <c r="D835" s="18"/>
      <c r="E835" s="102"/>
      <c r="F835" s="88"/>
    </row>
    <row r="836" spans="1:12" ht="15.75" customHeight="1" x14ac:dyDescent="0.35">
      <c r="A836" s="69">
        <v>45620</v>
      </c>
      <c r="B836" s="18"/>
      <c r="C836" s="18">
        <f>'Nov 24 Mat'!Q26</f>
        <v>158.50000000000011</v>
      </c>
      <c r="D836" s="18"/>
      <c r="E836" s="18"/>
      <c r="F836" s="20"/>
    </row>
    <row r="837" spans="1:12" ht="15.75" customHeight="1" x14ac:dyDescent="0.35">
      <c r="A837" s="69">
        <v>45621</v>
      </c>
      <c r="B837" s="18"/>
      <c r="C837" s="18">
        <f>'Nov 24 Mat'!Q27</f>
        <v>54</v>
      </c>
      <c r="D837" s="18"/>
      <c r="E837" s="18"/>
      <c r="F837" s="20"/>
    </row>
    <row r="838" spans="1:12" ht="15.75" customHeight="1" x14ac:dyDescent="0.35">
      <c r="A838" s="69">
        <v>45622</v>
      </c>
      <c r="B838" s="86">
        <v>660</v>
      </c>
      <c r="C838" s="18">
        <f>'Nov 24 Mat'!Q28</f>
        <v>38.800000000000011</v>
      </c>
      <c r="D838" s="18"/>
      <c r="E838" s="18"/>
      <c r="F838" s="20"/>
    </row>
    <row r="839" spans="1:12" ht="15.75" customHeight="1" x14ac:dyDescent="0.35">
      <c r="A839" s="69">
        <v>45623</v>
      </c>
      <c r="B839" s="18"/>
      <c r="C839" s="18">
        <f>'Nov 24 Mat'!Q29</f>
        <v>35.000000000000057</v>
      </c>
      <c r="D839" s="18"/>
      <c r="E839" s="18"/>
      <c r="F839" s="20"/>
    </row>
    <row r="840" spans="1:12" ht="15.75" customHeight="1" x14ac:dyDescent="0.35">
      <c r="A840" s="69">
        <v>45624</v>
      </c>
      <c r="B840" s="18"/>
      <c r="C840" s="18">
        <f>'Nov 24 Mat'!Q30</f>
        <v>109.49999999999994</v>
      </c>
      <c r="D840" s="18"/>
      <c r="E840" s="18"/>
      <c r="F840" s="20"/>
    </row>
    <row r="841" spans="1:12" ht="15.75" customHeight="1" x14ac:dyDescent="0.35">
      <c r="A841" s="69">
        <v>45625</v>
      </c>
      <c r="B841" s="18"/>
      <c r="C841" s="18">
        <f>'Nov 24 Mat'!Q31</f>
        <v>116.40000000000055</v>
      </c>
      <c r="D841" s="18"/>
      <c r="E841" s="18"/>
      <c r="F841" s="92"/>
      <c r="K841" s="2"/>
      <c r="L841" s="91"/>
    </row>
    <row r="842" spans="1:12" ht="15.75" customHeight="1" x14ac:dyDescent="0.35">
      <c r="A842" s="69">
        <v>45626</v>
      </c>
      <c r="B842" s="86">
        <v>390</v>
      </c>
      <c r="C842" s="18">
        <f>'Nov 24 Mat'!Q32</f>
        <v>124.20000000000005</v>
      </c>
      <c r="D842" s="18"/>
      <c r="E842" s="18">
        <f>23.96</f>
        <v>23.96</v>
      </c>
      <c r="F842" s="20" t="s">
        <v>2518</v>
      </c>
    </row>
    <row r="843" spans="1:12" ht="15.75" customHeight="1" x14ac:dyDescent="0.35">
      <c r="A843" s="105"/>
      <c r="B843" s="106">
        <v>45627</v>
      </c>
      <c r="C843" s="107"/>
      <c r="D843" s="107"/>
      <c r="E843" s="107"/>
      <c r="F843" s="108"/>
    </row>
    <row r="844" spans="1:12" ht="15.75" customHeight="1" x14ac:dyDescent="0.35">
      <c r="A844" s="109">
        <v>45627</v>
      </c>
      <c r="B844" s="110"/>
      <c r="C844" s="110">
        <f>'Dez 24 Mat'!Q3</f>
        <v>95.37</v>
      </c>
      <c r="D844" s="110"/>
      <c r="E844" s="110"/>
      <c r="F844" s="111"/>
    </row>
    <row r="845" spans="1:12" ht="15.75" customHeight="1" x14ac:dyDescent="0.35">
      <c r="A845" s="109">
        <v>45628</v>
      </c>
      <c r="B845" s="110"/>
      <c r="C845" s="110">
        <f>'Dez 24 Mat'!Q4</f>
        <v>23.099999999999987</v>
      </c>
      <c r="D845" s="110"/>
      <c r="E845" s="110">
        <v>211.68</v>
      </c>
      <c r="F845" s="111" t="s">
        <v>2648</v>
      </c>
    </row>
    <row r="846" spans="1:12" ht="15.75" customHeight="1" x14ac:dyDescent="0.35">
      <c r="A846" s="109">
        <v>45629</v>
      </c>
      <c r="B846" s="110"/>
      <c r="C846" s="110">
        <f>'Dez 24 Mat'!Q5</f>
        <v>26.300000000000011</v>
      </c>
      <c r="D846" s="110"/>
      <c r="E846" s="110"/>
      <c r="F846" s="111"/>
    </row>
    <row r="847" spans="1:12" ht="15.75" customHeight="1" x14ac:dyDescent="0.35">
      <c r="A847" s="109">
        <v>45630</v>
      </c>
      <c r="B847" s="110"/>
      <c r="C847" s="110">
        <f>'Dez 24 Mat'!Q6</f>
        <v>140.20000000000005</v>
      </c>
      <c r="D847" s="110"/>
      <c r="E847" s="110"/>
      <c r="F847" s="111"/>
    </row>
    <row r="848" spans="1:12" ht="15.75" customHeight="1" x14ac:dyDescent="0.35">
      <c r="A848" s="109">
        <v>45631</v>
      </c>
      <c r="B848" s="110"/>
      <c r="C848" s="110">
        <f>'Dez 24 Mat'!Q7</f>
        <v>17.399999999999977</v>
      </c>
      <c r="D848" s="110"/>
      <c r="E848" s="110"/>
      <c r="F848" s="111"/>
    </row>
    <row r="849" spans="1:9" ht="15.75" customHeight="1" x14ac:dyDescent="0.35">
      <c r="A849" s="109">
        <v>45632</v>
      </c>
      <c r="B849" s="110"/>
      <c r="C849" s="110">
        <f>'Dez 24 Mat'!Q8</f>
        <v>71.289999999999964</v>
      </c>
      <c r="D849" s="110"/>
      <c r="E849" s="110"/>
      <c r="F849" s="111"/>
    </row>
    <row r="850" spans="1:9" ht="15.75" customHeight="1" x14ac:dyDescent="0.35">
      <c r="A850" s="109">
        <v>45633</v>
      </c>
      <c r="B850" s="110"/>
      <c r="C850" s="110">
        <f>'Dez 24 Mat'!Q9</f>
        <v>174.65999999999985</v>
      </c>
      <c r="D850" s="110"/>
      <c r="E850" s="110"/>
      <c r="F850" s="111"/>
    </row>
    <row r="851" spans="1:9" ht="15.75" customHeight="1" x14ac:dyDescent="0.35">
      <c r="A851" s="109">
        <v>45634</v>
      </c>
      <c r="B851" s="117">
        <v>500</v>
      </c>
      <c r="C851" s="110">
        <f>'Dez 24 Mat'!Q10</f>
        <v>142.5</v>
      </c>
      <c r="D851" s="110"/>
      <c r="E851" s="110"/>
      <c r="F851" s="111"/>
    </row>
    <row r="852" spans="1:9" ht="15.75" customHeight="1" x14ac:dyDescent="0.35">
      <c r="A852" s="109">
        <v>45635</v>
      </c>
      <c r="B852" s="110"/>
      <c r="C852" s="110">
        <f>'Dez 24 Mat'!Q11</f>
        <v>33</v>
      </c>
      <c r="D852" s="110"/>
      <c r="E852" s="111">
        <f>4.88</f>
        <v>4.88</v>
      </c>
      <c r="F852" s="111" t="s">
        <v>2518</v>
      </c>
    </row>
    <row r="853" spans="1:9" ht="15.75" customHeight="1" x14ac:dyDescent="0.35">
      <c r="A853" s="109">
        <v>45636</v>
      </c>
      <c r="B853" s="110"/>
      <c r="C853" s="110">
        <f>'Dez 24 Mat'!Q12</f>
        <v>51.699999999999989</v>
      </c>
      <c r="D853" s="110"/>
      <c r="E853" s="111">
        <f>5.56</f>
        <v>5.56</v>
      </c>
      <c r="F853" s="111" t="s">
        <v>2518</v>
      </c>
    </row>
    <row r="854" spans="1:9" ht="15.75" customHeight="1" x14ac:dyDescent="0.35">
      <c r="A854" s="109">
        <v>45637</v>
      </c>
      <c r="B854" s="110"/>
      <c r="C854" s="110">
        <f>'Dez 24 Mat'!Q13</f>
        <v>100.30000000000001</v>
      </c>
      <c r="D854" s="110"/>
      <c r="E854" s="111">
        <f>10.56</f>
        <v>10.56</v>
      </c>
      <c r="F854" s="111" t="s">
        <v>2518</v>
      </c>
    </row>
    <row r="855" spans="1:9" ht="15.75" customHeight="1" x14ac:dyDescent="0.35">
      <c r="A855" s="109">
        <v>45638</v>
      </c>
      <c r="B855" s="110"/>
      <c r="C855" s="110">
        <f>'Dez 24 Mat'!Q14</f>
        <v>25.5</v>
      </c>
      <c r="D855" s="110"/>
      <c r="E855" s="111">
        <v>150</v>
      </c>
      <c r="F855" s="120" t="s">
        <v>2649</v>
      </c>
    </row>
    <row r="856" spans="1:9" ht="15.75" customHeight="1" x14ac:dyDescent="0.35">
      <c r="A856" s="109">
        <v>45639</v>
      </c>
      <c r="B856" s="110"/>
      <c r="C856" s="110">
        <f>'Dez 24 Mat'!Q15</f>
        <v>15.300000000000068</v>
      </c>
      <c r="D856" s="110"/>
      <c r="E856" s="111">
        <f>5.15</f>
        <v>5.15</v>
      </c>
      <c r="F856" s="111" t="s">
        <v>2518</v>
      </c>
    </row>
    <row r="857" spans="1:9" ht="15.75" customHeight="1" x14ac:dyDescent="0.35">
      <c r="A857" s="109">
        <v>45640</v>
      </c>
      <c r="B857" s="110"/>
      <c r="C857" s="110">
        <f>'Dez 24 Mat'!Q16</f>
        <v>109.40000000000009</v>
      </c>
      <c r="D857" s="110"/>
      <c r="E857" s="110"/>
      <c r="F857" s="111"/>
    </row>
    <row r="858" spans="1:9" ht="15.75" customHeight="1" x14ac:dyDescent="0.35">
      <c r="A858" s="109">
        <v>45641</v>
      </c>
      <c r="B858" s="110"/>
      <c r="C858" s="110">
        <f>'Dez 24 Mat'!Q17</f>
        <v>140.05999999999995</v>
      </c>
      <c r="D858" s="110"/>
      <c r="E858" s="110"/>
      <c r="F858" s="111"/>
    </row>
    <row r="859" spans="1:9" ht="15.75" customHeight="1" x14ac:dyDescent="0.35">
      <c r="A859" s="109">
        <v>45642</v>
      </c>
      <c r="B859" s="117">
        <v>290</v>
      </c>
      <c r="C859" s="110">
        <f>'Dez 24 Mat'!Q18</f>
        <v>38.199999999999989</v>
      </c>
      <c r="D859" s="110"/>
      <c r="E859" s="110"/>
      <c r="F859" s="111"/>
    </row>
    <row r="860" spans="1:9" ht="15.75" customHeight="1" x14ac:dyDescent="0.35">
      <c r="A860" s="109">
        <v>45643</v>
      </c>
      <c r="B860" s="110"/>
      <c r="C860" s="110">
        <f>'Dez 24 Mat'!Q19</f>
        <v>13.699999999999989</v>
      </c>
      <c r="D860" s="110"/>
      <c r="E860" s="110">
        <v>5.84</v>
      </c>
      <c r="F860" s="121" t="s">
        <v>2435</v>
      </c>
    </row>
    <row r="861" spans="1:9" ht="15.75" customHeight="1" x14ac:dyDescent="0.35">
      <c r="A861" s="109">
        <v>45644</v>
      </c>
      <c r="B861" s="110"/>
      <c r="C861" s="110">
        <f>'Dez 24 Mat'!Q20</f>
        <v>3.5000000000000568</v>
      </c>
      <c r="D861" s="110"/>
      <c r="E861" s="110"/>
      <c r="F861" s="111"/>
    </row>
    <row r="862" spans="1:9" ht="15.75" customHeight="1" x14ac:dyDescent="0.35">
      <c r="A862" s="109">
        <v>45645</v>
      </c>
      <c r="B862" s="110"/>
      <c r="C862" s="110">
        <f>'Dez 24 Mat'!Q21</f>
        <v>39.699999999999989</v>
      </c>
      <c r="D862" s="110"/>
      <c r="E862" s="110"/>
      <c r="F862" s="111"/>
      <c r="G862" s="1">
        <f>SUM(C876:C881)-SUM(E876:E881)</f>
        <v>0</v>
      </c>
      <c r="H862" s="2" t="s">
        <v>2521</v>
      </c>
    </row>
    <row r="863" spans="1:9" ht="15.75" customHeight="1" x14ac:dyDescent="0.35">
      <c r="A863" s="109">
        <v>45646</v>
      </c>
      <c r="B863" s="110"/>
      <c r="C863" s="110">
        <f>'Dez 24 Mat'!Q22</f>
        <v>119.89999999999998</v>
      </c>
      <c r="D863" s="110"/>
      <c r="E863" s="110"/>
      <c r="F863" s="111"/>
      <c r="G863" s="1">
        <f>G862+G864</f>
        <v>174.72</v>
      </c>
      <c r="H863" s="2" t="s">
        <v>2522</v>
      </c>
    </row>
    <row r="864" spans="1:9" ht="15.75" customHeight="1" x14ac:dyDescent="0.35">
      <c r="A864" s="109">
        <v>45647</v>
      </c>
      <c r="B864" s="110"/>
      <c r="C864" s="110">
        <f>'Dez 24 Mat'!Q23</f>
        <v>194.50000000000023</v>
      </c>
      <c r="D864" s="110"/>
      <c r="E864" s="110"/>
      <c r="F864" s="111"/>
      <c r="G864" s="1">
        <f>'Fundo de Caixa'!O18</f>
        <v>174.72</v>
      </c>
      <c r="H864" t="s">
        <v>2650</v>
      </c>
      <c r="I864" s="84">
        <v>45652</v>
      </c>
    </row>
    <row r="865" spans="1:6" ht="15.75" customHeight="1" x14ac:dyDescent="0.35">
      <c r="A865" s="109">
        <v>45648</v>
      </c>
      <c r="B865" s="110"/>
      <c r="C865" s="110">
        <f>'Dez 24 Mat'!Q24</f>
        <v>155.69999999999993</v>
      </c>
      <c r="D865" s="110"/>
      <c r="E865" s="110"/>
      <c r="F865" s="111"/>
    </row>
    <row r="866" spans="1:6" ht="15.75" customHeight="1" x14ac:dyDescent="0.35">
      <c r="A866" s="109">
        <v>45649</v>
      </c>
      <c r="B866" s="110"/>
      <c r="C866" s="110">
        <f>'Dez 24 Mat'!Q25</f>
        <v>40.199999999999932</v>
      </c>
      <c r="D866" s="110"/>
      <c r="E866" s="110"/>
      <c r="F866" s="111"/>
    </row>
    <row r="867" spans="1:6" ht="15.75" customHeight="1" x14ac:dyDescent="0.35">
      <c r="A867" s="109">
        <v>45650</v>
      </c>
      <c r="B867" s="110"/>
      <c r="C867" s="110">
        <f>'Dez 24 Mat'!Q26</f>
        <v>37.300000000000011</v>
      </c>
      <c r="D867" s="110"/>
      <c r="E867" s="110"/>
      <c r="F867" s="111"/>
    </row>
    <row r="868" spans="1:6" ht="15.75" customHeight="1" x14ac:dyDescent="0.35">
      <c r="A868" s="127">
        <v>45651</v>
      </c>
      <c r="B868" s="110"/>
      <c r="C868" s="110">
        <f>'Dez 24 Mat'!Q27</f>
        <v>0</v>
      </c>
      <c r="D868" s="110"/>
      <c r="E868" s="110"/>
      <c r="F868" s="111"/>
    </row>
    <row r="869" spans="1:6" ht="15.75" customHeight="1" x14ac:dyDescent="0.35">
      <c r="A869" s="109">
        <v>45652</v>
      </c>
      <c r="B869" s="117">
        <v>625</v>
      </c>
      <c r="C869" s="110">
        <f>'Dez 24 Mat'!Q28</f>
        <v>96.5</v>
      </c>
      <c r="D869" s="110"/>
      <c r="E869" s="110"/>
      <c r="F869" s="111"/>
    </row>
    <row r="870" spans="1:6" ht="15.75" customHeight="1" x14ac:dyDescent="0.35">
      <c r="A870" s="109">
        <v>45653</v>
      </c>
      <c r="B870" s="110"/>
      <c r="C870" s="110">
        <f>'Dez 24 Mat'!Q29</f>
        <v>127.29999999999995</v>
      </c>
      <c r="D870" s="110"/>
      <c r="E870" s="110"/>
      <c r="F870" s="111"/>
    </row>
    <row r="871" spans="1:6" ht="15.75" customHeight="1" x14ac:dyDescent="0.35">
      <c r="A871" s="109">
        <v>45654</v>
      </c>
      <c r="B871" s="110"/>
      <c r="C871" s="110">
        <f>'Dez 24 Mat'!Q30</f>
        <v>181.16999999999996</v>
      </c>
      <c r="D871" s="110"/>
      <c r="E871" s="110">
        <v>2.46</v>
      </c>
      <c r="F871" s="111"/>
    </row>
    <row r="872" spans="1:6" ht="15.75" customHeight="1" x14ac:dyDescent="0.35">
      <c r="A872" s="109">
        <v>45655</v>
      </c>
      <c r="B872" s="110"/>
      <c r="C872" s="110">
        <f>'Dez 24 Mat'!Q31</f>
        <v>250.82999999999993</v>
      </c>
      <c r="D872" s="110"/>
      <c r="E872" s="110"/>
      <c r="F872" s="111"/>
    </row>
    <row r="873" spans="1:6" ht="15.75" customHeight="1" x14ac:dyDescent="0.35">
      <c r="A873" s="109">
        <v>45656</v>
      </c>
      <c r="B873" s="110"/>
      <c r="C873" s="110">
        <f>'Dez 24 Mat'!Q32</f>
        <v>104</v>
      </c>
      <c r="D873" s="110"/>
      <c r="E873" s="110"/>
      <c r="F873" s="111"/>
    </row>
    <row r="874" spans="1:6" ht="15.75" customHeight="1" x14ac:dyDescent="0.35">
      <c r="A874" s="109">
        <v>45657</v>
      </c>
      <c r="B874" s="110"/>
      <c r="C874" s="110">
        <f>'Dez 24 Mat'!Q33</f>
        <v>105.13999999999999</v>
      </c>
      <c r="D874" s="110"/>
      <c r="E874" s="110"/>
      <c r="F874" s="111"/>
    </row>
    <row r="875" spans="1:6" ht="15.75" customHeight="1" x14ac:dyDescent="0.35">
      <c r="A875" s="105"/>
      <c r="B875" s="106">
        <v>45658</v>
      </c>
      <c r="C875" s="107"/>
      <c r="D875" s="107"/>
      <c r="E875" s="107"/>
      <c r="F875" s="108"/>
    </row>
    <row r="876" spans="1:6" ht="15.75" customHeight="1" x14ac:dyDescent="0.35">
      <c r="A876" s="127">
        <v>45658</v>
      </c>
      <c r="B876" s="110"/>
      <c r="C876" s="110"/>
      <c r="D876" s="110"/>
      <c r="E876" s="110"/>
      <c r="F876" s="111"/>
    </row>
    <row r="877" spans="1:6" ht="15.75" customHeight="1" x14ac:dyDescent="0.35">
      <c r="A877" s="109">
        <v>45659</v>
      </c>
      <c r="B877" s="117">
        <v>860</v>
      </c>
      <c r="C877" s="110"/>
      <c r="D877" s="110"/>
      <c r="E877" s="110"/>
      <c r="F877" s="111"/>
    </row>
    <row r="878" spans="1:6" ht="15.75" customHeight="1" x14ac:dyDescent="0.35">
      <c r="A878" s="109">
        <v>45660</v>
      </c>
      <c r="B878" s="110"/>
      <c r="C878" s="110"/>
      <c r="D878" s="110"/>
      <c r="E878" s="110"/>
      <c r="F878" s="111"/>
    </row>
    <row r="879" spans="1:6" ht="15.75" customHeight="1" x14ac:dyDescent="0.35">
      <c r="A879" s="109">
        <v>45661</v>
      </c>
      <c r="B879" s="110"/>
      <c r="C879" s="110"/>
      <c r="D879" s="110"/>
      <c r="E879" s="110"/>
      <c r="F879" s="111"/>
    </row>
    <row r="880" spans="1:6" ht="15.75" customHeight="1" x14ac:dyDescent="0.35">
      <c r="A880" s="109">
        <v>45662</v>
      </c>
      <c r="B880" s="110"/>
      <c r="C880" s="110"/>
      <c r="D880" s="110"/>
      <c r="E880" s="110"/>
      <c r="F880" s="111"/>
    </row>
    <row r="881" spans="1:6" ht="15.75" customHeight="1" x14ac:dyDescent="0.35">
      <c r="A881" s="109">
        <v>45663</v>
      </c>
      <c r="B881" s="110"/>
      <c r="C881" s="110"/>
      <c r="D881" s="110"/>
      <c r="E881" s="110"/>
      <c r="F881" s="111"/>
    </row>
    <row r="882" spans="1:6" ht="15.75" customHeight="1" x14ac:dyDescent="0.35">
      <c r="A882" s="109">
        <v>45664</v>
      </c>
      <c r="B882" s="110"/>
      <c r="C882" s="110"/>
      <c r="D882" s="110"/>
      <c r="E882" s="110"/>
      <c r="F882" s="111"/>
    </row>
    <row r="883" spans="1:6" ht="15.75" customHeight="1" x14ac:dyDescent="0.35">
      <c r="A883" s="109">
        <v>45665</v>
      </c>
      <c r="B883" s="110"/>
      <c r="C883" s="110"/>
      <c r="D883" s="110"/>
      <c r="E883" s="110"/>
      <c r="F883" s="111"/>
    </row>
    <row r="884" spans="1:6" ht="15.75" customHeight="1" x14ac:dyDescent="0.35">
      <c r="A884" s="109">
        <v>45666</v>
      </c>
      <c r="B884" s="110"/>
      <c r="C884" s="110"/>
      <c r="D884" s="110"/>
      <c r="E884" s="110"/>
      <c r="F884" s="111"/>
    </row>
    <row r="885" spans="1:6" ht="15.75" customHeight="1" x14ac:dyDescent="0.35">
      <c r="A885" s="109">
        <v>45667</v>
      </c>
      <c r="B885" s="110"/>
      <c r="C885" s="110"/>
      <c r="D885" s="110"/>
      <c r="E885" s="110"/>
      <c r="F885" s="111"/>
    </row>
    <row r="886" spans="1:6" ht="15.75" customHeight="1" x14ac:dyDescent="0.35">
      <c r="A886" s="109">
        <v>45668</v>
      </c>
      <c r="B886" s="110"/>
      <c r="C886" s="110"/>
      <c r="D886" s="110"/>
      <c r="E886" s="110"/>
      <c r="F886" s="111"/>
    </row>
    <row r="887" spans="1:6" ht="15.75" customHeight="1" x14ac:dyDescent="0.35">
      <c r="A887" s="109">
        <v>45669</v>
      </c>
      <c r="B887" s="110"/>
      <c r="C887" s="110"/>
      <c r="D887" s="110"/>
      <c r="E887" s="110"/>
      <c r="F887" s="111"/>
    </row>
    <row r="888" spans="1:6" ht="15.75" customHeight="1" x14ac:dyDescent="0.35">
      <c r="A888" s="109">
        <v>45670</v>
      </c>
      <c r="B888" s="110"/>
      <c r="C888" s="110"/>
      <c r="D888" s="110"/>
      <c r="E888" s="110"/>
      <c r="F888" s="111"/>
    </row>
    <row r="889" spans="1:6" ht="15.75" customHeight="1" x14ac:dyDescent="0.35">
      <c r="A889" s="109">
        <v>45671</v>
      </c>
      <c r="B889" s="110"/>
      <c r="C889" s="110"/>
      <c r="D889" s="110"/>
      <c r="E889" s="110"/>
      <c r="F889" s="111"/>
    </row>
    <row r="890" spans="1:6" ht="15.75" customHeight="1" x14ac:dyDescent="0.35">
      <c r="A890" s="109">
        <v>45672</v>
      </c>
      <c r="B890" s="110"/>
      <c r="C890" s="110"/>
      <c r="D890" s="110"/>
      <c r="E890" s="110"/>
      <c r="F890" s="111"/>
    </row>
    <row r="891" spans="1:6" ht="15.75" customHeight="1" x14ac:dyDescent="0.35">
      <c r="A891" s="109">
        <v>45673</v>
      </c>
      <c r="B891" s="110"/>
      <c r="C891" s="110"/>
      <c r="D891" s="110"/>
      <c r="E891" s="110"/>
      <c r="F891" s="111"/>
    </row>
    <row r="892" spans="1:6" ht="15.75" customHeight="1" x14ac:dyDescent="0.35">
      <c r="A892" s="109">
        <v>45674</v>
      </c>
      <c r="B892" s="110"/>
      <c r="C892" s="110"/>
      <c r="D892" s="110"/>
      <c r="E892" s="110"/>
      <c r="F892" s="111"/>
    </row>
    <row r="893" spans="1:6" ht="15.75" customHeight="1" x14ac:dyDescent="0.35">
      <c r="A893" s="109">
        <v>45675</v>
      </c>
      <c r="B893" s="110"/>
      <c r="C893" s="110"/>
      <c r="D893" s="110"/>
      <c r="E893" s="110"/>
      <c r="F893" s="111"/>
    </row>
    <row r="894" spans="1:6" ht="15.75" customHeight="1" x14ac:dyDescent="0.35">
      <c r="A894" s="109">
        <v>45676</v>
      </c>
      <c r="B894" s="110"/>
      <c r="C894" s="110"/>
      <c r="D894" s="110"/>
      <c r="E894" s="110"/>
      <c r="F894" s="111"/>
    </row>
    <row r="895" spans="1:6" ht="15.75" customHeight="1" x14ac:dyDescent="0.35">
      <c r="A895" s="109">
        <v>45677</v>
      </c>
      <c r="B895" s="110"/>
      <c r="C895" s="110"/>
      <c r="D895" s="110"/>
      <c r="E895" s="110"/>
      <c r="F895" s="111"/>
    </row>
    <row r="896" spans="1:6" ht="15.75" customHeight="1" x14ac:dyDescent="0.35">
      <c r="A896" s="109">
        <v>45678</v>
      </c>
      <c r="B896" s="110"/>
      <c r="C896" s="110"/>
      <c r="D896" s="110"/>
      <c r="E896" s="110"/>
      <c r="F896" s="111"/>
    </row>
    <row r="897" spans="1:6" ht="15.75" customHeight="1" x14ac:dyDescent="0.35">
      <c r="A897" s="109">
        <v>45679</v>
      </c>
      <c r="B897" s="110"/>
      <c r="C897" s="110"/>
      <c r="D897" s="110"/>
      <c r="E897" s="110"/>
      <c r="F897" s="111"/>
    </row>
    <row r="898" spans="1:6" ht="15.75" customHeight="1" x14ac:dyDescent="0.35">
      <c r="A898" s="109">
        <v>45680</v>
      </c>
      <c r="B898" s="110"/>
      <c r="C898" s="110"/>
      <c r="D898" s="110"/>
      <c r="E898" s="110"/>
      <c r="F898" s="111"/>
    </row>
    <row r="899" spans="1:6" ht="15.75" customHeight="1" x14ac:dyDescent="0.35">
      <c r="A899" s="109">
        <v>45681</v>
      </c>
      <c r="B899" s="110"/>
      <c r="C899" s="110"/>
      <c r="D899" s="110"/>
      <c r="E899" s="110"/>
      <c r="F899" s="111"/>
    </row>
    <row r="900" spans="1:6" ht="15.75" customHeight="1" x14ac:dyDescent="0.35">
      <c r="A900" s="109">
        <v>45682</v>
      </c>
      <c r="B900" s="110"/>
      <c r="C900" s="110"/>
      <c r="D900" s="110"/>
      <c r="E900" s="110"/>
      <c r="F900" s="111"/>
    </row>
    <row r="901" spans="1:6" ht="15.75" customHeight="1" x14ac:dyDescent="0.35">
      <c r="A901" s="109">
        <v>45683</v>
      </c>
      <c r="B901" s="110"/>
      <c r="C901" s="110"/>
      <c r="D901" s="110"/>
      <c r="E901" s="110"/>
      <c r="F901" s="111"/>
    </row>
    <row r="902" spans="1:6" ht="15.75" customHeight="1" x14ac:dyDescent="0.35">
      <c r="A902" s="109">
        <v>45684</v>
      </c>
      <c r="B902" s="110"/>
      <c r="C902" s="110"/>
      <c r="D902" s="110"/>
      <c r="E902" s="110"/>
      <c r="F902" s="111"/>
    </row>
    <row r="903" spans="1:6" ht="15.75" customHeight="1" x14ac:dyDescent="0.35">
      <c r="A903" s="109">
        <v>45685</v>
      </c>
      <c r="B903" s="110"/>
      <c r="C903" s="110"/>
      <c r="D903" s="110"/>
      <c r="E903" s="110"/>
      <c r="F903" s="111"/>
    </row>
    <row r="904" spans="1:6" ht="15.75" customHeight="1" x14ac:dyDescent="0.35">
      <c r="A904" s="109">
        <v>45686</v>
      </c>
      <c r="B904" s="110"/>
      <c r="C904" s="110"/>
      <c r="D904" s="110"/>
      <c r="E904" s="110"/>
      <c r="F904" s="111"/>
    </row>
    <row r="905" spans="1:6" ht="15.75" customHeight="1" x14ac:dyDescent="0.35">
      <c r="A905" s="109">
        <v>45687</v>
      </c>
      <c r="B905" s="110"/>
      <c r="C905" s="110"/>
      <c r="D905" s="110"/>
      <c r="E905" s="110"/>
      <c r="F905" s="111"/>
    </row>
    <row r="906" spans="1:6" ht="15.75" customHeight="1" x14ac:dyDescent="0.35">
      <c r="A906" s="109">
        <v>45688</v>
      </c>
      <c r="B906" s="110"/>
      <c r="C906" s="110"/>
      <c r="D906" s="110"/>
      <c r="E906" s="110"/>
      <c r="F906" s="111"/>
    </row>
    <row r="907" spans="1:6" ht="15.75" customHeight="1" x14ac:dyDescent="0.35">
      <c r="B907" s="1"/>
      <c r="C907" s="1"/>
      <c r="D907" s="1"/>
      <c r="E907" s="1"/>
    </row>
    <row r="908" spans="1:6" ht="15.75" customHeight="1" x14ac:dyDescent="0.35">
      <c r="B908" s="1"/>
      <c r="C908" s="1"/>
      <c r="D908" s="1"/>
      <c r="E908" s="1"/>
    </row>
    <row r="909" spans="1:6" ht="15.75" customHeight="1" x14ac:dyDescent="0.35">
      <c r="B909" s="1"/>
      <c r="C909" s="1"/>
      <c r="D909" s="1"/>
      <c r="E909" s="1"/>
    </row>
    <row r="910" spans="1:6" ht="15.75" customHeight="1" x14ac:dyDescent="0.35">
      <c r="B910" s="1"/>
      <c r="C910" s="1"/>
      <c r="D910" s="1"/>
      <c r="E910" s="1"/>
    </row>
    <row r="911" spans="1:6" ht="15.75" customHeight="1" x14ac:dyDescent="0.35">
      <c r="B911" s="1"/>
      <c r="C911" s="1"/>
      <c r="D911" s="1"/>
      <c r="E911" s="1"/>
    </row>
    <row r="912" spans="1:6" ht="15.75" customHeight="1" x14ac:dyDescent="0.35">
      <c r="B912" s="1"/>
      <c r="C912" s="1"/>
      <c r="D912" s="1"/>
      <c r="E912" s="1"/>
    </row>
    <row r="913" spans="2:5" ht="15.75" customHeight="1" x14ac:dyDescent="0.35">
      <c r="B913" s="1"/>
      <c r="C913" s="1"/>
      <c r="D913" s="1"/>
      <c r="E913" s="1"/>
    </row>
    <row r="914" spans="2:5" ht="15.75" customHeight="1" x14ac:dyDescent="0.35">
      <c r="B914" s="1"/>
      <c r="C914" s="1"/>
      <c r="D914" s="1"/>
      <c r="E914" s="1"/>
    </row>
    <row r="915" spans="2:5" ht="15.75" customHeight="1" x14ac:dyDescent="0.35">
      <c r="B915" s="1"/>
      <c r="C915" s="1"/>
      <c r="D915" s="1"/>
      <c r="E915" s="1"/>
    </row>
    <row r="916" spans="2:5" ht="15.75" customHeight="1" x14ac:dyDescent="0.35">
      <c r="B916" s="1"/>
      <c r="C916" s="1"/>
      <c r="D916" s="1"/>
      <c r="E916" s="1"/>
    </row>
    <row r="917" spans="2:5" ht="15.75" customHeight="1" x14ac:dyDescent="0.35">
      <c r="B917" s="1"/>
      <c r="C917" s="1"/>
      <c r="D917" s="1"/>
      <c r="E917" s="1"/>
    </row>
    <row r="918" spans="2:5" ht="15.75" customHeight="1" x14ac:dyDescent="0.35">
      <c r="B918" s="1"/>
      <c r="C918" s="1"/>
      <c r="D918" s="1"/>
      <c r="E918" s="1"/>
    </row>
    <row r="919" spans="2:5" ht="15.75" customHeight="1" x14ac:dyDescent="0.35">
      <c r="B919" s="1"/>
      <c r="C919" s="1"/>
      <c r="D919" s="1"/>
      <c r="E919" s="1"/>
    </row>
    <row r="920" spans="2:5" ht="15.75" customHeight="1" x14ac:dyDescent="0.35">
      <c r="B920" s="1"/>
      <c r="C920" s="1"/>
      <c r="D920" s="1"/>
      <c r="E920" s="1"/>
    </row>
    <row r="921" spans="2:5" ht="15.75" customHeight="1" x14ac:dyDescent="0.35">
      <c r="B921" s="1"/>
      <c r="C921" s="1"/>
      <c r="D921" s="1"/>
      <c r="E921" s="1"/>
    </row>
    <row r="922" spans="2:5" ht="15.75" customHeight="1" x14ac:dyDescent="0.35">
      <c r="B922" s="1"/>
      <c r="C922" s="1"/>
      <c r="D922" s="1"/>
      <c r="E922" s="1"/>
    </row>
    <row r="923" spans="2:5" ht="15.75" customHeight="1" x14ac:dyDescent="0.35">
      <c r="B923" s="1"/>
      <c r="C923" s="1"/>
      <c r="D923" s="1"/>
      <c r="E923" s="1"/>
    </row>
    <row r="924" spans="2:5" ht="15.75" customHeight="1" x14ac:dyDescent="0.35">
      <c r="B924" s="1"/>
      <c r="C924" s="1"/>
      <c r="D924" s="1"/>
      <c r="E924" s="1"/>
    </row>
    <row r="925" spans="2:5" ht="15.75" customHeight="1" x14ac:dyDescent="0.35">
      <c r="B925" s="1"/>
      <c r="C925" s="1"/>
      <c r="D925" s="1"/>
      <c r="E925" s="1"/>
    </row>
    <row r="926" spans="2:5" ht="15.75" customHeight="1" x14ac:dyDescent="0.35">
      <c r="B926" s="1"/>
      <c r="C926" s="1"/>
      <c r="D926" s="1"/>
      <c r="E926" s="1"/>
    </row>
    <row r="927" spans="2:5" ht="15.75" customHeight="1" x14ac:dyDescent="0.35">
      <c r="B927" s="1"/>
      <c r="C927" s="1"/>
      <c r="D927" s="1"/>
      <c r="E927" s="1"/>
    </row>
    <row r="928" spans="2:5" ht="15.75" customHeight="1" x14ac:dyDescent="0.35">
      <c r="B928" s="1"/>
      <c r="C928" s="1"/>
      <c r="D928" s="1"/>
      <c r="E928" s="1"/>
    </row>
    <row r="929" spans="2:5" ht="15.75" customHeight="1" x14ac:dyDescent="0.35">
      <c r="B929" s="1"/>
      <c r="C929" s="1"/>
      <c r="D929" s="1"/>
      <c r="E929" s="1"/>
    </row>
    <row r="930" spans="2:5" ht="15.75" customHeight="1" x14ac:dyDescent="0.35">
      <c r="B930" s="1"/>
      <c r="C930" s="1"/>
      <c r="D930" s="1"/>
      <c r="E930" s="1"/>
    </row>
    <row r="931" spans="2:5" ht="15.75" customHeight="1" x14ac:dyDescent="0.35">
      <c r="B931" s="1"/>
      <c r="C931" s="1"/>
      <c r="D931" s="1"/>
      <c r="E931" s="1"/>
    </row>
    <row r="932" spans="2:5" ht="15.75" customHeight="1" x14ac:dyDescent="0.35">
      <c r="B932" s="1"/>
      <c r="C932" s="1"/>
      <c r="D932" s="1"/>
      <c r="E932" s="1"/>
    </row>
    <row r="933" spans="2:5" ht="15.75" customHeight="1" x14ac:dyDescent="0.35">
      <c r="B933" s="1"/>
      <c r="C933" s="1"/>
      <c r="D933" s="1"/>
      <c r="E933" s="1"/>
    </row>
    <row r="934" spans="2:5" ht="15.75" customHeight="1" x14ac:dyDescent="0.35">
      <c r="B934" s="1"/>
      <c r="C934" s="1"/>
      <c r="D934" s="1"/>
      <c r="E934" s="1"/>
    </row>
    <row r="935" spans="2:5" ht="15.75" customHeight="1" x14ac:dyDescent="0.35">
      <c r="B935" s="1"/>
      <c r="C935" s="1"/>
      <c r="D935" s="1"/>
      <c r="E935" s="1"/>
    </row>
    <row r="936" spans="2:5" ht="15.75" customHeight="1" x14ac:dyDescent="0.35">
      <c r="B936" s="1"/>
      <c r="C936" s="1"/>
      <c r="D936" s="1"/>
      <c r="E936" s="1"/>
    </row>
    <row r="937" spans="2:5" ht="15.75" customHeight="1" x14ac:dyDescent="0.35">
      <c r="B937" s="1"/>
      <c r="C937" s="1"/>
      <c r="D937" s="1"/>
      <c r="E937" s="1"/>
    </row>
    <row r="938" spans="2:5" ht="15.75" customHeight="1" x14ac:dyDescent="0.35">
      <c r="B938" s="1"/>
      <c r="C938" s="1"/>
      <c r="D938" s="1"/>
      <c r="E938" s="1"/>
    </row>
    <row r="939" spans="2:5" ht="15.75" customHeight="1" x14ac:dyDescent="0.35">
      <c r="B939" s="1"/>
      <c r="C939" s="1"/>
      <c r="D939" s="1"/>
      <c r="E939" s="1"/>
    </row>
    <row r="940" spans="2:5" ht="15.75" customHeight="1" x14ac:dyDescent="0.35">
      <c r="B940" s="1"/>
      <c r="C940" s="1"/>
      <c r="D940" s="1"/>
      <c r="E940" s="1"/>
    </row>
    <row r="941" spans="2:5" ht="15.75" customHeight="1" x14ac:dyDescent="0.35">
      <c r="B941" s="1"/>
      <c r="C941" s="1"/>
      <c r="D941" s="1"/>
      <c r="E941" s="1"/>
    </row>
    <row r="942" spans="2:5" ht="15.75" customHeight="1" x14ac:dyDescent="0.35">
      <c r="B942" s="1"/>
      <c r="C942" s="1"/>
      <c r="D942" s="1"/>
      <c r="E942" s="1"/>
    </row>
    <row r="943" spans="2:5" ht="15.75" customHeight="1" x14ac:dyDescent="0.35">
      <c r="B943" s="1"/>
      <c r="C943" s="1"/>
      <c r="D943" s="1"/>
      <c r="E943" s="1"/>
    </row>
    <row r="944" spans="2:5" ht="15.75" customHeight="1" x14ac:dyDescent="0.35">
      <c r="B944" s="1"/>
      <c r="C944" s="1"/>
      <c r="D944" s="1"/>
      <c r="E944" s="1"/>
    </row>
    <row r="945" spans="2:5" ht="15.75" customHeight="1" x14ac:dyDescent="0.35">
      <c r="B945" s="1"/>
      <c r="C945" s="1"/>
      <c r="D945" s="1"/>
      <c r="E945" s="1"/>
    </row>
    <row r="946" spans="2:5" ht="15.75" customHeight="1" x14ac:dyDescent="0.35">
      <c r="B946" s="1"/>
      <c r="C946" s="1"/>
      <c r="D946" s="1"/>
      <c r="E946" s="1"/>
    </row>
    <row r="947" spans="2:5" ht="15.75" customHeight="1" x14ac:dyDescent="0.35">
      <c r="B947" s="1"/>
      <c r="C947" s="1"/>
      <c r="D947" s="1"/>
      <c r="E947" s="1"/>
    </row>
    <row r="948" spans="2:5" ht="15.75" customHeight="1" x14ac:dyDescent="0.35">
      <c r="B948" s="1"/>
      <c r="C948" s="1"/>
      <c r="D948" s="1"/>
      <c r="E948" s="1"/>
    </row>
    <row r="949" spans="2:5" ht="15.75" customHeight="1" x14ac:dyDescent="0.35">
      <c r="B949" s="1"/>
      <c r="C949" s="1"/>
      <c r="D949" s="1"/>
      <c r="E949" s="1"/>
    </row>
    <row r="950" spans="2:5" ht="15.75" customHeight="1" x14ac:dyDescent="0.35">
      <c r="B950" s="1"/>
      <c r="C950" s="1"/>
      <c r="D950" s="1"/>
      <c r="E950" s="1"/>
    </row>
    <row r="951" spans="2:5" ht="15.75" customHeight="1" x14ac:dyDescent="0.35">
      <c r="B951" s="1"/>
      <c r="C951" s="1"/>
      <c r="D951" s="1"/>
      <c r="E951" s="1"/>
    </row>
    <row r="952" spans="2:5" ht="15.75" customHeight="1" x14ac:dyDescent="0.35">
      <c r="B952" s="1"/>
      <c r="C952" s="1"/>
      <c r="D952" s="1"/>
      <c r="E952" s="1"/>
    </row>
    <row r="953" spans="2:5" ht="15.75" customHeight="1" x14ac:dyDescent="0.35">
      <c r="B953" s="1"/>
      <c r="C953" s="1"/>
      <c r="D953" s="1"/>
      <c r="E953" s="1"/>
    </row>
    <row r="954" spans="2:5" ht="15.75" customHeight="1" x14ac:dyDescent="0.35">
      <c r="B954" s="1"/>
      <c r="C954" s="1"/>
      <c r="D954" s="1"/>
      <c r="E954" s="1"/>
    </row>
    <row r="955" spans="2:5" ht="15.75" customHeight="1" x14ac:dyDescent="0.35">
      <c r="B955" s="1"/>
      <c r="C955" s="1"/>
      <c r="D955" s="1"/>
      <c r="E955" s="1"/>
    </row>
    <row r="956" spans="2:5" ht="15.75" customHeight="1" x14ac:dyDescent="0.35">
      <c r="B956" s="1"/>
      <c r="C956" s="1"/>
      <c r="D956" s="1"/>
      <c r="E956" s="1"/>
    </row>
    <row r="957" spans="2:5" ht="15.75" customHeight="1" x14ac:dyDescent="0.35">
      <c r="B957" s="1"/>
      <c r="C957" s="1"/>
      <c r="D957" s="1"/>
      <c r="E957" s="1"/>
    </row>
    <row r="958" spans="2:5" ht="15.75" customHeight="1" x14ac:dyDescent="0.35">
      <c r="B958" s="1"/>
      <c r="C958" s="1"/>
      <c r="D958" s="1"/>
      <c r="E958" s="1"/>
    </row>
    <row r="959" spans="2:5" ht="15.75" customHeight="1" x14ac:dyDescent="0.35">
      <c r="B959" s="1"/>
      <c r="C959" s="1"/>
      <c r="D959" s="1"/>
      <c r="E959" s="1"/>
    </row>
    <row r="960" spans="2:5" ht="15.75" customHeight="1" x14ac:dyDescent="0.35">
      <c r="B960" s="1"/>
      <c r="C960" s="1"/>
      <c r="D960" s="1"/>
      <c r="E960" s="1"/>
    </row>
    <row r="961" spans="2:5" ht="15.75" customHeight="1" x14ac:dyDescent="0.35">
      <c r="B961" s="1"/>
      <c r="C961" s="1"/>
      <c r="D961" s="1"/>
      <c r="E961" s="1"/>
    </row>
    <row r="962" spans="2:5" ht="15.75" customHeight="1" x14ac:dyDescent="0.35">
      <c r="B962" s="1"/>
      <c r="C962" s="1"/>
      <c r="D962" s="1"/>
      <c r="E962" s="1"/>
    </row>
    <row r="963" spans="2:5" ht="15.75" customHeight="1" x14ac:dyDescent="0.35">
      <c r="B963" s="1"/>
      <c r="C963" s="1"/>
      <c r="D963" s="1"/>
      <c r="E963" s="1"/>
    </row>
    <row r="964" spans="2:5" ht="15.75" customHeight="1" x14ac:dyDescent="0.35">
      <c r="B964" s="1"/>
      <c r="C964" s="1"/>
      <c r="D964" s="1"/>
      <c r="E964" s="1"/>
    </row>
    <row r="965" spans="2:5" ht="15.75" customHeight="1" x14ac:dyDescent="0.35">
      <c r="B965" s="1"/>
      <c r="C965" s="1"/>
      <c r="D965" s="1"/>
      <c r="E965" s="1"/>
    </row>
    <row r="966" spans="2:5" ht="15.75" customHeight="1" x14ac:dyDescent="0.35">
      <c r="B966" s="1"/>
      <c r="C966" s="1"/>
      <c r="D966" s="1"/>
      <c r="E966" s="1"/>
    </row>
    <row r="967" spans="2:5" ht="15.75" customHeight="1" x14ac:dyDescent="0.35">
      <c r="B967" s="1"/>
      <c r="C967" s="1"/>
      <c r="D967" s="1"/>
      <c r="E967" s="1"/>
    </row>
    <row r="968" spans="2:5" ht="15.75" customHeight="1" x14ac:dyDescent="0.35">
      <c r="B968" s="1"/>
      <c r="C968" s="1"/>
      <c r="D968" s="1"/>
      <c r="E968" s="1"/>
    </row>
    <row r="969" spans="2:5" ht="15.75" customHeight="1" x14ac:dyDescent="0.35">
      <c r="B969" s="1"/>
      <c r="C969" s="1"/>
      <c r="D969" s="1"/>
      <c r="E969" s="1"/>
    </row>
    <row r="970" spans="2:5" ht="15.75" customHeight="1" x14ac:dyDescent="0.35">
      <c r="B970" s="1"/>
      <c r="C970" s="1"/>
      <c r="D970" s="1"/>
      <c r="E970" s="1"/>
    </row>
    <row r="971" spans="2:5" ht="15.75" customHeight="1" x14ac:dyDescent="0.35">
      <c r="B971" s="1"/>
      <c r="C971" s="1"/>
      <c r="D971" s="1"/>
      <c r="E971" s="1"/>
    </row>
    <row r="972" spans="2:5" ht="15.75" customHeight="1" x14ac:dyDescent="0.35">
      <c r="B972" s="1"/>
      <c r="C972" s="1"/>
      <c r="D972" s="1"/>
      <c r="E972" s="1"/>
    </row>
    <row r="973" spans="2:5" ht="15.75" customHeight="1" x14ac:dyDescent="0.35">
      <c r="B973" s="1"/>
      <c r="C973" s="1"/>
      <c r="D973" s="1"/>
      <c r="E973" s="1"/>
    </row>
    <row r="974" spans="2:5" ht="15.75" customHeight="1" x14ac:dyDescent="0.35">
      <c r="B974" s="1"/>
      <c r="C974" s="1"/>
      <c r="D974" s="1"/>
      <c r="E974" s="1"/>
    </row>
    <row r="975" spans="2:5" ht="15.75" customHeight="1" x14ac:dyDescent="0.35">
      <c r="B975" s="1"/>
      <c r="C975" s="1"/>
      <c r="D975" s="1"/>
      <c r="E975" s="1"/>
    </row>
    <row r="976" spans="2:5" ht="15.75" customHeight="1" x14ac:dyDescent="0.35">
      <c r="B976" s="1"/>
      <c r="C976" s="1"/>
      <c r="D976" s="1"/>
      <c r="E976" s="1"/>
    </row>
    <row r="977" spans="2:5" ht="15.75" customHeight="1" x14ac:dyDescent="0.35">
      <c r="B977" s="1"/>
      <c r="C977" s="1"/>
      <c r="D977" s="1"/>
      <c r="E977" s="1"/>
    </row>
    <row r="978" spans="2:5" ht="15.75" customHeight="1" x14ac:dyDescent="0.35">
      <c r="B978" s="1"/>
      <c r="C978" s="1"/>
      <c r="D978" s="1"/>
      <c r="E978" s="1"/>
    </row>
    <row r="979" spans="2:5" ht="15.75" customHeight="1" x14ac:dyDescent="0.35">
      <c r="B979" s="1"/>
      <c r="C979" s="1"/>
      <c r="D979" s="1"/>
      <c r="E979" s="1"/>
    </row>
    <row r="980" spans="2:5" ht="15.75" customHeight="1" x14ac:dyDescent="0.35">
      <c r="B980" s="1"/>
      <c r="C980" s="1"/>
      <c r="D980" s="1"/>
      <c r="E980" s="1"/>
    </row>
    <row r="981" spans="2:5" ht="15.75" customHeight="1" x14ac:dyDescent="0.35">
      <c r="B981" s="1"/>
      <c r="C981" s="1"/>
      <c r="D981" s="1"/>
      <c r="E981" s="1"/>
    </row>
    <row r="982" spans="2:5" ht="15.75" customHeight="1" x14ac:dyDescent="0.35">
      <c r="B982" s="1"/>
      <c r="C982" s="1"/>
      <c r="D982" s="1"/>
      <c r="E982" s="1"/>
    </row>
    <row r="983" spans="2:5" ht="15.75" customHeight="1" x14ac:dyDescent="0.35">
      <c r="B983" s="1"/>
      <c r="C983" s="1"/>
      <c r="D983" s="1"/>
      <c r="E983" s="1"/>
    </row>
    <row r="984" spans="2:5" ht="15.75" customHeight="1" x14ac:dyDescent="0.35">
      <c r="B984" s="1"/>
      <c r="C984" s="1"/>
      <c r="D984" s="1"/>
      <c r="E984" s="1"/>
    </row>
    <row r="985" spans="2:5" ht="15.75" customHeight="1" x14ac:dyDescent="0.35">
      <c r="B985" s="1"/>
      <c r="C985" s="1"/>
      <c r="D985" s="1"/>
      <c r="E985" s="1"/>
    </row>
    <row r="986" spans="2:5" ht="15.75" customHeight="1" x14ac:dyDescent="0.35">
      <c r="B986" s="1"/>
      <c r="C986" s="1"/>
      <c r="D986" s="1"/>
      <c r="E986" s="1"/>
    </row>
    <row r="987" spans="2:5" ht="15.75" customHeight="1" x14ac:dyDescent="0.35">
      <c r="B987" s="1"/>
      <c r="C987" s="1"/>
      <c r="D987" s="1"/>
      <c r="E987" s="1"/>
    </row>
    <row r="988" spans="2:5" ht="15.75" customHeight="1" x14ac:dyDescent="0.35">
      <c r="B988" s="1"/>
      <c r="C988" s="1"/>
      <c r="D988" s="1"/>
      <c r="E988" s="1"/>
    </row>
    <row r="989" spans="2:5" ht="15.75" customHeight="1" x14ac:dyDescent="0.35">
      <c r="B989" s="1"/>
      <c r="C989" s="1"/>
      <c r="D989" s="1"/>
      <c r="E989" s="1"/>
    </row>
    <row r="990" spans="2:5" ht="15.75" customHeight="1" x14ac:dyDescent="0.35">
      <c r="B990" s="1"/>
      <c r="C990" s="1"/>
      <c r="D990" s="1"/>
      <c r="E990" s="1"/>
    </row>
    <row r="991" spans="2:5" ht="15.75" customHeight="1" x14ac:dyDescent="0.35">
      <c r="B991" s="1"/>
      <c r="C991" s="1"/>
      <c r="D991" s="1"/>
      <c r="E991" s="1"/>
    </row>
    <row r="992" spans="2:5" ht="15.75" customHeight="1" x14ac:dyDescent="0.35">
      <c r="B992" s="1"/>
      <c r="C992" s="1"/>
      <c r="D992" s="1"/>
      <c r="E992" s="1"/>
    </row>
    <row r="993" spans="2:5" ht="15.75" customHeight="1" x14ac:dyDescent="0.35">
      <c r="B993" s="1"/>
      <c r="C993" s="1"/>
      <c r="D993" s="1"/>
      <c r="E993" s="1"/>
    </row>
    <row r="994" spans="2:5" ht="15.75" customHeight="1" x14ac:dyDescent="0.35">
      <c r="B994" s="1"/>
      <c r="C994" s="1"/>
      <c r="D994" s="1"/>
      <c r="E994" s="1"/>
    </row>
    <row r="995" spans="2:5" ht="15.75" customHeight="1" x14ac:dyDescent="0.35">
      <c r="B995" s="1"/>
      <c r="C995" s="1"/>
      <c r="D995" s="1"/>
      <c r="E995" s="1"/>
    </row>
    <row r="996" spans="2:5" ht="15.75" customHeight="1" x14ac:dyDescent="0.35">
      <c r="B996" s="1"/>
      <c r="C996" s="1"/>
      <c r="D996" s="1"/>
      <c r="E996" s="1"/>
    </row>
    <row r="997" spans="2:5" ht="15.75" customHeight="1" x14ac:dyDescent="0.35">
      <c r="B997" s="1"/>
      <c r="C997" s="1"/>
      <c r="D997" s="1"/>
      <c r="E997" s="1"/>
    </row>
    <row r="998" spans="2:5" ht="15.75" customHeight="1" x14ac:dyDescent="0.35">
      <c r="B998" s="1"/>
      <c r="C998" s="1"/>
      <c r="D998" s="1"/>
      <c r="E998" s="1"/>
    </row>
    <row r="999" spans="2:5" ht="15.75" customHeight="1" x14ac:dyDescent="0.35">
      <c r="B999" s="1"/>
      <c r="C999" s="1"/>
      <c r="D999" s="1"/>
      <c r="E999" s="1"/>
    </row>
    <row r="1000" spans="2:5" ht="15.75" customHeight="1" x14ac:dyDescent="0.35">
      <c r="B1000" s="1"/>
      <c r="C1000" s="1"/>
      <c r="D1000" s="1"/>
      <c r="E1000" s="1"/>
    </row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topLeftCell="B8" workbookViewId="0">
      <selection activeCell="B8" sqref="B8"/>
    </sheetView>
  </sheetViews>
  <sheetFormatPr defaultColWidth="11.25" defaultRowHeight="15" customHeight="1" x14ac:dyDescent="0.35"/>
  <cols>
    <col min="1" max="1" width="11" customWidth="1"/>
    <col min="2" max="2" width="13.33203125" customWidth="1"/>
    <col min="3" max="3" width="11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1.58203125" customWidth="1"/>
    <col min="12" max="12" width="13.33203125" customWidth="1"/>
    <col min="13" max="13" width="11" customWidth="1"/>
    <col min="14" max="14" width="9.58203125" customWidth="1"/>
    <col min="15" max="15" width="12.58203125" customWidth="1"/>
    <col min="16" max="26" width="11" customWidth="1"/>
  </cols>
  <sheetData>
    <row r="1" spans="1:15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2660</v>
      </c>
      <c r="L1" s="23" t="s">
        <v>2661</v>
      </c>
      <c r="M1" s="23" t="s">
        <v>2662</v>
      </c>
      <c r="N1" s="24" t="s">
        <v>2663</v>
      </c>
      <c r="O1" s="25" t="s">
        <v>2664</v>
      </c>
    </row>
    <row r="2" spans="1:15" ht="15.75" customHeight="1" x14ac:dyDescent="0.35">
      <c r="A2" s="26">
        <v>44682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>
        <f t="shared" ref="L2:L32" si="0">C2+D2+E2+F2+G2+H2+I2+J2+K2</f>
        <v>0</v>
      </c>
      <c r="M2" s="27">
        <f t="shared" ref="M2:M7" si="1">K2-N2</f>
        <v>0</v>
      </c>
      <c r="N2" s="70">
        <f t="shared" ref="N2:N32" si="2">L2-B2-F2</f>
        <v>0</v>
      </c>
      <c r="O2" s="28"/>
    </row>
    <row r="3" spans="1:15" ht="15.75" customHeight="1" x14ac:dyDescent="0.35">
      <c r="A3" s="26">
        <v>44683</v>
      </c>
      <c r="B3" s="27"/>
      <c r="C3" s="9"/>
      <c r="D3" s="9"/>
      <c r="E3" s="9"/>
      <c r="F3" s="9"/>
      <c r="G3" s="9"/>
      <c r="H3" s="9"/>
      <c r="I3" s="9"/>
      <c r="J3" s="9"/>
      <c r="K3" s="9"/>
      <c r="L3" s="27">
        <f t="shared" si="0"/>
        <v>0</v>
      </c>
      <c r="M3" s="27">
        <f t="shared" si="1"/>
        <v>0</v>
      </c>
      <c r="N3" s="70">
        <f t="shared" si="2"/>
        <v>0</v>
      </c>
      <c r="O3" s="28"/>
    </row>
    <row r="4" spans="1:15" ht="15.75" customHeight="1" x14ac:dyDescent="0.35">
      <c r="A4" s="26">
        <v>44684</v>
      </c>
      <c r="B4" s="27"/>
      <c r="C4" s="9"/>
      <c r="D4" s="9"/>
      <c r="E4" s="9"/>
      <c r="F4" s="9"/>
      <c r="G4" s="9"/>
      <c r="H4" s="9"/>
      <c r="I4" s="9"/>
      <c r="J4" s="9"/>
      <c r="K4" s="9"/>
      <c r="L4" s="27">
        <f t="shared" si="0"/>
        <v>0</v>
      </c>
      <c r="M4" s="27">
        <f t="shared" si="1"/>
        <v>0</v>
      </c>
      <c r="N4" s="70">
        <f t="shared" si="2"/>
        <v>0</v>
      </c>
      <c r="O4" s="28"/>
    </row>
    <row r="5" spans="1:15" ht="15.75" customHeight="1" x14ac:dyDescent="0.35">
      <c r="A5" s="26">
        <v>44685</v>
      </c>
      <c r="B5" s="27"/>
      <c r="C5" s="9"/>
      <c r="D5" s="9"/>
      <c r="E5" s="9"/>
      <c r="F5" s="9"/>
      <c r="G5" s="9"/>
      <c r="H5" s="9"/>
      <c r="I5" s="9"/>
      <c r="J5" s="9"/>
      <c r="K5" s="9"/>
      <c r="L5" s="27">
        <f t="shared" si="0"/>
        <v>0</v>
      </c>
      <c r="M5" s="27">
        <f t="shared" si="1"/>
        <v>0</v>
      </c>
      <c r="N5" s="70">
        <f t="shared" si="2"/>
        <v>0</v>
      </c>
      <c r="O5" s="28"/>
    </row>
    <row r="6" spans="1:15" ht="15.75" customHeight="1" x14ac:dyDescent="0.35">
      <c r="A6" s="26">
        <v>44686</v>
      </c>
      <c r="B6" s="27"/>
      <c r="C6" s="9"/>
      <c r="D6" s="9"/>
      <c r="E6" s="9"/>
      <c r="F6" s="9"/>
      <c r="G6" s="9"/>
      <c r="H6" s="9"/>
      <c r="I6" s="9"/>
      <c r="J6" s="9"/>
      <c r="K6" s="9"/>
      <c r="L6" s="27">
        <f t="shared" si="0"/>
        <v>0</v>
      </c>
      <c r="M6" s="27">
        <f t="shared" si="1"/>
        <v>0</v>
      </c>
      <c r="N6" s="70">
        <f t="shared" si="2"/>
        <v>0</v>
      </c>
      <c r="O6" s="28"/>
    </row>
    <row r="7" spans="1:15" ht="15.75" customHeight="1" x14ac:dyDescent="0.35">
      <c r="A7" s="26">
        <v>44687</v>
      </c>
      <c r="B7" s="27"/>
      <c r="C7" s="9"/>
      <c r="D7" s="9"/>
      <c r="E7" s="9"/>
      <c r="F7" s="9"/>
      <c r="G7" s="9"/>
      <c r="H7" s="9"/>
      <c r="I7" s="9"/>
      <c r="J7" s="9"/>
      <c r="K7" s="9"/>
      <c r="L7" s="27">
        <f t="shared" si="0"/>
        <v>0</v>
      </c>
      <c r="M7" s="27">
        <f t="shared" si="1"/>
        <v>0</v>
      </c>
      <c r="N7" s="70">
        <f t="shared" si="2"/>
        <v>0</v>
      </c>
      <c r="O7" s="28"/>
    </row>
    <row r="8" spans="1:15" ht="15.75" customHeight="1" x14ac:dyDescent="0.35">
      <c r="A8" s="26">
        <v>44688</v>
      </c>
      <c r="B8" s="9">
        <v>251</v>
      </c>
      <c r="C8" s="9">
        <v>113.16</v>
      </c>
      <c r="D8" s="9">
        <v>54.35</v>
      </c>
      <c r="E8" s="9"/>
      <c r="F8" s="9"/>
      <c r="G8" s="9"/>
      <c r="H8" s="9"/>
      <c r="I8" s="9"/>
      <c r="J8" s="9"/>
      <c r="K8" s="9">
        <v>95</v>
      </c>
      <c r="L8" s="27">
        <f t="shared" si="0"/>
        <v>262.51</v>
      </c>
      <c r="M8" s="27">
        <v>0</v>
      </c>
      <c r="N8" s="70">
        <f t="shared" si="2"/>
        <v>11.509999999999991</v>
      </c>
      <c r="O8" s="29">
        <v>80</v>
      </c>
    </row>
    <row r="9" spans="1:15" ht="15.75" customHeight="1" x14ac:dyDescent="0.35">
      <c r="A9" s="26">
        <v>44689</v>
      </c>
      <c r="B9" s="9">
        <v>1073.7</v>
      </c>
      <c r="C9" s="9">
        <v>659.3</v>
      </c>
      <c r="D9" s="9">
        <v>56.5</v>
      </c>
      <c r="E9" s="9"/>
      <c r="F9" s="9"/>
      <c r="G9" s="9"/>
      <c r="H9" s="9"/>
      <c r="I9" s="9"/>
      <c r="J9" s="9"/>
      <c r="K9" s="9">
        <v>360</v>
      </c>
      <c r="L9" s="27">
        <f t="shared" si="0"/>
        <v>1075.8</v>
      </c>
      <c r="M9" s="27">
        <f t="shared" ref="M9:M32" si="3">K9-N9</f>
        <v>357.90000000000009</v>
      </c>
      <c r="N9" s="70">
        <f t="shared" si="2"/>
        <v>2.0999999999999091</v>
      </c>
      <c r="O9" s="28">
        <v>77.209999999999994</v>
      </c>
    </row>
    <row r="10" spans="1:15" ht="15.75" customHeight="1" x14ac:dyDescent="0.35">
      <c r="A10" s="26">
        <v>44690</v>
      </c>
      <c r="B10" s="9">
        <v>200.9</v>
      </c>
      <c r="C10" s="9">
        <v>126.21</v>
      </c>
      <c r="D10" s="9">
        <v>0</v>
      </c>
      <c r="E10" s="9"/>
      <c r="F10" s="9"/>
      <c r="G10" s="9"/>
      <c r="H10" s="9"/>
      <c r="I10" s="9"/>
      <c r="J10" s="9"/>
      <c r="K10" s="9">
        <v>75</v>
      </c>
      <c r="L10" s="27">
        <f t="shared" si="0"/>
        <v>201.20999999999998</v>
      </c>
      <c r="M10" s="27">
        <f t="shared" si="3"/>
        <v>74.690000000000026</v>
      </c>
      <c r="N10" s="70">
        <f t="shared" si="2"/>
        <v>0.30999999999997385</v>
      </c>
      <c r="O10" s="28">
        <v>83.11</v>
      </c>
    </row>
    <row r="11" spans="1:15" ht="15.75" customHeight="1" x14ac:dyDescent="0.35">
      <c r="A11" s="26">
        <v>44691</v>
      </c>
      <c r="B11" s="9">
        <v>203.8</v>
      </c>
      <c r="C11" s="9">
        <v>112.9</v>
      </c>
      <c r="D11" s="9">
        <v>0</v>
      </c>
      <c r="E11" s="9"/>
      <c r="F11" s="9"/>
      <c r="G11" s="9"/>
      <c r="H11" s="9"/>
      <c r="I11" s="9"/>
      <c r="J11" s="9"/>
      <c r="K11" s="9">
        <v>95</v>
      </c>
      <c r="L11" s="27">
        <f t="shared" si="0"/>
        <v>207.9</v>
      </c>
      <c r="M11" s="27">
        <f t="shared" si="3"/>
        <v>90.9</v>
      </c>
      <c r="N11" s="70">
        <f t="shared" si="2"/>
        <v>4.0999999999999943</v>
      </c>
      <c r="O11" s="28">
        <v>80</v>
      </c>
    </row>
    <row r="12" spans="1:15" ht="15.75" customHeight="1" x14ac:dyDescent="0.35">
      <c r="A12" s="26">
        <v>44692</v>
      </c>
      <c r="B12" s="9">
        <v>311.5</v>
      </c>
      <c r="C12" s="9">
        <v>228.4</v>
      </c>
      <c r="D12" s="9">
        <v>8.6999999999999993</v>
      </c>
      <c r="E12" s="9"/>
      <c r="F12" s="9"/>
      <c r="G12" s="9"/>
      <c r="H12" s="9"/>
      <c r="I12" s="9"/>
      <c r="J12" s="9"/>
      <c r="K12" s="9">
        <v>95</v>
      </c>
      <c r="L12" s="27">
        <f t="shared" si="0"/>
        <v>332.1</v>
      </c>
      <c r="M12" s="27">
        <f t="shared" si="3"/>
        <v>74.399999999999977</v>
      </c>
      <c r="N12" s="70">
        <f t="shared" si="2"/>
        <v>20.600000000000023</v>
      </c>
      <c r="O12" s="28">
        <v>80</v>
      </c>
    </row>
    <row r="13" spans="1:15" ht="15.75" customHeight="1" x14ac:dyDescent="0.35">
      <c r="A13" s="26">
        <v>44693</v>
      </c>
      <c r="B13" s="9">
        <v>237.7</v>
      </c>
      <c r="C13" s="9">
        <v>145.9</v>
      </c>
      <c r="D13" s="9">
        <v>37.5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60</v>
      </c>
      <c r="L13" s="27">
        <f t="shared" si="0"/>
        <v>243.4</v>
      </c>
      <c r="M13" s="27">
        <f t="shared" si="3"/>
        <v>54.299999999999983</v>
      </c>
      <c r="N13" s="70">
        <f t="shared" si="2"/>
        <v>5.7000000000000171</v>
      </c>
      <c r="O13" s="28">
        <v>86</v>
      </c>
    </row>
    <row r="14" spans="1:15" ht="15.75" customHeight="1" x14ac:dyDescent="0.35">
      <c r="A14" s="26">
        <v>44694</v>
      </c>
      <c r="B14" s="9">
        <v>562.22</v>
      </c>
      <c r="C14" s="9">
        <v>346.12</v>
      </c>
      <c r="D14" s="9">
        <v>18.100000000000001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210</v>
      </c>
      <c r="L14" s="27">
        <f t="shared" si="0"/>
        <v>574.22</v>
      </c>
      <c r="M14" s="27">
        <f t="shared" si="3"/>
        <v>198</v>
      </c>
      <c r="N14" s="70">
        <f t="shared" si="2"/>
        <v>12</v>
      </c>
      <c r="O14" s="28">
        <v>89.21</v>
      </c>
    </row>
    <row r="15" spans="1:15" ht="15.75" customHeight="1" x14ac:dyDescent="0.35">
      <c r="A15" s="26">
        <v>44695</v>
      </c>
      <c r="B15" s="9">
        <v>1108.8</v>
      </c>
      <c r="C15" s="9">
        <v>538.6</v>
      </c>
      <c r="D15" s="9">
        <v>63.8</v>
      </c>
      <c r="E15" s="9">
        <f>2.5+5.99</f>
        <v>8.49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510</v>
      </c>
      <c r="L15" s="27">
        <f t="shared" si="0"/>
        <v>1120.8899999999999</v>
      </c>
      <c r="M15" s="27">
        <f t="shared" si="3"/>
        <v>497.91000000000008</v>
      </c>
      <c r="N15" s="70">
        <f t="shared" si="2"/>
        <v>12.089999999999918</v>
      </c>
      <c r="O15" s="28">
        <v>89.61</v>
      </c>
    </row>
    <row r="16" spans="1:15" ht="15.75" customHeight="1" x14ac:dyDescent="0.35">
      <c r="A16" s="26">
        <v>44696</v>
      </c>
      <c r="B16" s="9">
        <v>501.66</v>
      </c>
      <c r="C16" s="9">
        <v>161.30000000000001</v>
      </c>
      <c r="D16" s="9">
        <v>104.3</v>
      </c>
      <c r="E16" s="9">
        <v>36.299999999999997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200</v>
      </c>
      <c r="L16" s="27">
        <f t="shared" si="0"/>
        <v>501.90000000000003</v>
      </c>
      <c r="M16" s="27">
        <f t="shared" si="3"/>
        <v>199.76</v>
      </c>
      <c r="N16" s="70">
        <f t="shared" si="2"/>
        <v>0.24000000000000909</v>
      </c>
      <c r="O16" s="28">
        <v>89.5</v>
      </c>
    </row>
    <row r="17" spans="1:16" ht="15.75" customHeight="1" x14ac:dyDescent="0.35">
      <c r="A17" s="26">
        <v>44697</v>
      </c>
      <c r="B17" s="9">
        <v>115.3</v>
      </c>
      <c r="C17" s="9">
        <v>49.8</v>
      </c>
      <c r="D17" s="9">
        <v>8.6</v>
      </c>
      <c r="E17" s="9">
        <v>5.45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55</v>
      </c>
      <c r="L17" s="27">
        <f t="shared" si="0"/>
        <v>118.85</v>
      </c>
      <c r="M17" s="27">
        <f t="shared" si="3"/>
        <v>51.45</v>
      </c>
      <c r="N17" s="70">
        <f t="shared" si="2"/>
        <v>3.5499999999999972</v>
      </c>
      <c r="O17" s="28"/>
    </row>
    <row r="18" spans="1:16" ht="15.75" customHeight="1" x14ac:dyDescent="0.35">
      <c r="A18" s="26">
        <v>44698</v>
      </c>
      <c r="B18" s="9">
        <v>135.80000000000001</v>
      </c>
      <c r="C18" s="9">
        <v>66.900000000000006</v>
      </c>
      <c r="D18" s="9">
        <v>18.8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55</v>
      </c>
      <c r="L18" s="27">
        <f t="shared" si="0"/>
        <v>140.69999999999999</v>
      </c>
      <c r="M18" s="27">
        <f t="shared" si="3"/>
        <v>50.100000000000023</v>
      </c>
      <c r="N18" s="70">
        <f t="shared" si="2"/>
        <v>4.8999999999999773</v>
      </c>
      <c r="O18" s="28">
        <v>81.040000000000006</v>
      </c>
    </row>
    <row r="19" spans="1:16" ht="15.75" customHeight="1" x14ac:dyDescent="0.35">
      <c r="A19" s="26">
        <v>44699</v>
      </c>
      <c r="B19" s="9">
        <v>300.74</v>
      </c>
      <c r="C19" s="9">
        <v>124.14</v>
      </c>
      <c r="D19" s="9">
        <v>36.200000000000003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145</v>
      </c>
      <c r="L19" s="27">
        <f t="shared" si="0"/>
        <v>305.34000000000003</v>
      </c>
      <c r="M19" s="27">
        <f t="shared" si="3"/>
        <v>140.39999999999998</v>
      </c>
      <c r="N19" s="70">
        <f t="shared" si="2"/>
        <v>4.6000000000000227</v>
      </c>
      <c r="O19" s="28">
        <v>76.8</v>
      </c>
    </row>
    <row r="20" spans="1:16" ht="15.75" customHeight="1" x14ac:dyDescent="0.35">
      <c r="A20" s="26">
        <v>44700</v>
      </c>
      <c r="B20" s="9">
        <v>441.3</v>
      </c>
      <c r="C20" s="9">
        <v>260.89999999999998</v>
      </c>
      <c r="D20" s="9">
        <v>35</v>
      </c>
      <c r="E20" s="9">
        <v>2.79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150</v>
      </c>
      <c r="L20" s="27">
        <f t="shared" si="0"/>
        <v>448.69</v>
      </c>
      <c r="M20" s="27">
        <f t="shared" si="3"/>
        <v>142.61000000000001</v>
      </c>
      <c r="N20" s="70">
        <f t="shared" si="2"/>
        <v>7.3899999999999864</v>
      </c>
      <c r="O20" s="28">
        <v>80</v>
      </c>
    </row>
    <row r="21" spans="1:16" ht="15.75" customHeight="1" x14ac:dyDescent="0.35">
      <c r="A21" s="26">
        <v>44701</v>
      </c>
      <c r="B21" s="9">
        <v>1355.51</v>
      </c>
      <c r="C21" s="9">
        <v>659.1</v>
      </c>
      <c r="D21" s="9">
        <v>219.8</v>
      </c>
      <c r="E21" s="9">
        <f>1.16+6.72</f>
        <v>7.88</v>
      </c>
      <c r="F21" s="9">
        <v>15</v>
      </c>
      <c r="G21" s="9">
        <v>0</v>
      </c>
      <c r="H21" s="9">
        <v>0</v>
      </c>
      <c r="I21" s="9">
        <v>0</v>
      </c>
      <c r="J21" s="9">
        <v>0</v>
      </c>
      <c r="K21" s="9">
        <v>470</v>
      </c>
      <c r="L21" s="27">
        <f t="shared" si="0"/>
        <v>1371.7800000000002</v>
      </c>
      <c r="M21" s="27">
        <f t="shared" si="3"/>
        <v>468.72999999999979</v>
      </c>
      <c r="N21" s="70">
        <f t="shared" si="2"/>
        <v>1.2700000000002092</v>
      </c>
      <c r="O21" s="28">
        <v>88.15</v>
      </c>
    </row>
    <row r="22" spans="1:16" ht="15.75" customHeight="1" x14ac:dyDescent="0.35">
      <c r="A22" s="26">
        <v>44702</v>
      </c>
      <c r="B22" s="9">
        <v>902.1</v>
      </c>
      <c r="C22" s="9">
        <v>469.72</v>
      </c>
      <c r="D22" s="9">
        <v>114.4</v>
      </c>
      <c r="E22" s="9">
        <f>32.85+7.01+70.11</f>
        <v>109.97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210</v>
      </c>
      <c r="L22" s="27">
        <f t="shared" si="0"/>
        <v>904.09</v>
      </c>
      <c r="M22" s="27">
        <f t="shared" si="3"/>
        <v>208.01</v>
      </c>
      <c r="N22" s="70">
        <f t="shared" si="2"/>
        <v>1.9900000000000091</v>
      </c>
      <c r="O22" s="28">
        <v>78.849999999999994</v>
      </c>
    </row>
    <row r="23" spans="1:16" ht="15.75" customHeight="1" x14ac:dyDescent="0.35">
      <c r="A23" s="26">
        <v>44703</v>
      </c>
      <c r="B23" s="9">
        <v>1219.7</v>
      </c>
      <c r="C23" s="9">
        <v>613</v>
      </c>
      <c r="D23" s="9">
        <v>185.1</v>
      </c>
      <c r="E23" s="9">
        <f>2.53+2.93</f>
        <v>5.46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450</v>
      </c>
      <c r="L23" s="27">
        <f t="shared" si="0"/>
        <v>1253.56</v>
      </c>
      <c r="M23" s="27">
        <f t="shared" si="3"/>
        <v>416.1400000000001</v>
      </c>
      <c r="N23" s="70">
        <f t="shared" si="2"/>
        <v>33.8599999999999</v>
      </c>
      <c r="O23" s="28">
        <v>76.97</v>
      </c>
    </row>
    <row r="24" spans="1:16" ht="15.75" customHeight="1" x14ac:dyDescent="0.35">
      <c r="A24" s="26">
        <v>44704</v>
      </c>
      <c r="B24" s="9">
        <v>220.6</v>
      </c>
      <c r="C24" s="9">
        <v>126.6</v>
      </c>
      <c r="D24" s="9">
        <v>15.2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80</v>
      </c>
      <c r="L24" s="27">
        <f t="shared" si="0"/>
        <v>221.79999999999998</v>
      </c>
      <c r="M24" s="27">
        <f t="shared" si="3"/>
        <v>78.800000000000011</v>
      </c>
      <c r="N24" s="70">
        <f t="shared" si="2"/>
        <v>1.1999999999999886</v>
      </c>
      <c r="O24" s="28">
        <v>71.37</v>
      </c>
    </row>
    <row r="25" spans="1:16" ht="15.75" customHeight="1" x14ac:dyDescent="0.35">
      <c r="A25" s="26">
        <v>44705</v>
      </c>
      <c r="B25" s="9">
        <v>300.22000000000003</v>
      </c>
      <c r="C25" s="9">
        <v>187.72</v>
      </c>
      <c r="D25" s="9">
        <v>21.2</v>
      </c>
      <c r="E25" s="9">
        <v>4.59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90</v>
      </c>
      <c r="L25" s="27">
        <f t="shared" si="0"/>
        <v>303.51</v>
      </c>
      <c r="M25" s="27">
        <f t="shared" si="3"/>
        <v>86.710000000000036</v>
      </c>
      <c r="N25" s="70">
        <f t="shared" si="2"/>
        <v>3.2899999999999636</v>
      </c>
      <c r="O25" s="28">
        <v>64.27</v>
      </c>
    </row>
    <row r="26" spans="1:16" ht="15.75" customHeight="1" x14ac:dyDescent="0.35">
      <c r="A26" s="26">
        <v>44706</v>
      </c>
      <c r="B26" s="9">
        <v>404.7</v>
      </c>
      <c r="C26" s="9">
        <v>277.2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130</v>
      </c>
      <c r="L26" s="27">
        <f t="shared" si="0"/>
        <v>407.2</v>
      </c>
      <c r="M26" s="27">
        <f t="shared" si="3"/>
        <v>127.5</v>
      </c>
      <c r="N26" s="70">
        <f t="shared" si="2"/>
        <v>2.5</v>
      </c>
      <c r="O26" s="28">
        <v>70.75</v>
      </c>
    </row>
    <row r="27" spans="1:16" ht="15.75" customHeight="1" x14ac:dyDescent="0.35">
      <c r="A27" s="26">
        <v>44707</v>
      </c>
      <c r="B27" s="9">
        <v>720.6</v>
      </c>
      <c r="C27" s="9">
        <v>417.18</v>
      </c>
      <c r="D27" s="9">
        <v>36.5</v>
      </c>
      <c r="E27" s="9">
        <f>8+2.7</f>
        <v>10.7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260</v>
      </c>
      <c r="L27" s="27">
        <f t="shared" si="0"/>
        <v>724.38</v>
      </c>
      <c r="M27" s="27">
        <f t="shared" si="3"/>
        <v>256.22000000000003</v>
      </c>
      <c r="N27" s="70">
        <f t="shared" si="2"/>
        <v>3.7799999999999727</v>
      </c>
      <c r="O27" s="28">
        <v>79.87</v>
      </c>
    </row>
    <row r="28" spans="1:16" ht="15.75" customHeight="1" x14ac:dyDescent="0.35">
      <c r="A28" s="26">
        <v>44708</v>
      </c>
      <c r="B28" s="9">
        <v>1466.48</v>
      </c>
      <c r="C28" s="9">
        <v>814.18</v>
      </c>
      <c r="D28" s="9">
        <v>182.4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470</v>
      </c>
      <c r="L28" s="27">
        <f t="shared" si="0"/>
        <v>1466.58</v>
      </c>
      <c r="M28" s="27">
        <f t="shared" si="3"/>
        <v>469.90000000000009</v>
      </c>
      <c r="N28" s="70">
        <f t="shared" si="2"/>
        <v>9.9999999999909051E-2</v>
      </c>
      <c r="O28" s="28">
        <f>P28+25</f>
        <v>60.04</v>
      </c>
      <c r="P28" s="2">
        <v>35.04</v>
      </c>
    </row>
    <row r="29" spans="1:16" ht="15.75" customHeight="1" x14ac:dyDescent="0.35">
      <c r="A29" s="26">
        <v>44709</v>
      </c>
      <c r="B29" s="9">
        <v>1635.56</v>
      </c>
      <c r="C29" s="9">
        <v>1059.2</v>
      </c>
      <c r="D29" s="9">
        <v>66.900000000000006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510</v>
      </c>
      <c r="L29" s="27">
        <f t="shared" si="0"/>
        <v>1636.1000000000001</v>
      </c>
      <c r="M29" s="27">
        <f t="shared" si="3"/>
        <v>509.45999999999981</v>
      </c>
      <c r="N29" s="70">
        <f t="shared" si="2"/>
        <v>0.54000000000019099</v>
      </c>
      <c r="O29" s="28">
        <v>71.040000000000006</v>
      </c>
    </row>
    <row r="30" spans="1:16" ht="15.75" customHeight="1" x14ac:dyDescent="0.35">
      <c r="A30" s="26">
        <v>44710</v>
      </c>
      <c r="B30" s="9">
        <v>1100.48</v>
      </c>
      <c r="C30" s="9">
        <v>673.6</v>
      </c>
      <c r="D30" s="9">
        <v>67.8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360</v>
      </c>
      <c r="L30" s="27">
        <f t="shared" si="0"/>
        <v>1101.4000000000001</v>
      </c>
      <c r="M30" s="27">
        <f t="shared" si="3"/>
        <v>359.07999999999993</v>
      </c>
      <c r="N30" s="70">
        <f t="shared" si="2"/>
        <v>0.92000000000007276</v>
      </c>
      <c r="O30" s="28">
        <v>85</v>
      </c>
    </row>
    <row r="31" spans="1:16" ht="15.75" customHeight="1" x14ac:dyDescent="0.35">
      <c r="A31" s="26">
        <v>44711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>
        <f t="shared" si="0"/>
        <v>0</v>
      </c>
      <c r="M31" s="31">
        <f t="shared" si="3"/>
        <v>0</v>
      </c>
      <c r="N31" s="32">
        <f t="shared" si="2"/>
        <v>0</v>
      </c>
      <c r="O31" s="33"/>
    </row>
    <row r="32" spans="1:16" ht="15.75" customHeight="1" x14ac:dyDescent="0.35">
      <c r="A32" s="34">
        <v>44712</v>
      </c>
      <c r="B32" s="9">
        <v>357.55</v>
      </c>
      <c r="C32" s="9">
        <v>287.95</v>
      </c>
      <c r="D32" s="9">
        <v>17.899999999999999</v>
      </c>
      <c r="E32" s="9"/>
      <c r="F32" s="9"/>
      <c r="G32" s="9"/>
      <c r="H32" s="9">
        <v>18.899999999999999</v>
      </c>
      <c r="I32" s="9"/>
      <c r="J32" s="9"/>
      <c r="K32" s="9">
        <v>40</v>
      </c>
      <c r="L32" s="35">
        <f t="shared" si="0"/>
        <v>364.74999999999994</v>
      </c>
      <c r="M32" s="35">
        <f t="shared" si="3"/>
        <v>32.800000000000068</v>
      </c>
      <c r="N32" s="36">
        <f t="shared" si="2"/>
        <v>7.1999999999999318</v>
      </c>
      <c r="O32" s="37">
        <v>77.8</v>
      </c>
    </row>
    <row r="33" spans="1:15" ht="15.75" customHeight="1" x14ac:dyDescent="0.35">
      <c r="A33" s="267">
        <f>SUM(Junho!B33)</f>
        <v>0</v>
      </c>
      <c r="B33" s="268"/>
      <c r="C33" s="268"/>
      <c r="D33" s="268"/>
      <c r="E33" s="268"/>
      <c r="F33" s="268"/>
      <c r="G33" s="268"/>
      <c r="H33" s="268"/>
      <c r="I33" s="268"/>
      <c r="J33" s="268"/>
      <c r="K33" s="269"/>
      <c r="L33" s="38">
        <f t="shared" ref="L33:N33" si="4">SUM(L2:L32)</f>
        <v>15288.66</v>
      </c>
      <c r="M33" s="38">
        <f t="shared" si="4"/>
        <v>4945.7700000000013</v>
      </c>
      <c r="N33" s="39">
        <f t="shared" si="4"/>
        <v>145.73999999999995</v>
      </c>
      <c r="O33" s="40"/>
    </row>
    <row r="34" spans="1:15" ht="15.75" customHeight="1" x14ac:dyDescent="0.35"/>
    <row r="35" spans="1:15" ht="15.75" customHeight="1" x14ac:dyDescent="0.35"/>
    <row r="36" spans="1:15" ht="15.75" customHeight="1" x14ac:dyDescent="0.35"/>
    <row r="37" spans="1:15" ht="15.75" customHeight="1" x14ac:dyDescent="0.35"/>
    <row r="38" spans="1:15" ht="15.75" customHeight="1" x14ac:dyDescent="0.35"/>
    <row r="39" spans="1:15" ht="15.75" customHeight="1" x14ac:dyDescent="0.35"/>
    <row r="40" spans="1:15" ht="15.75" customHeight="1" x14ac:dyDescent="0.35"/>
    <row r="41" spans="1:15" ht="15.75" customHeight="1" x14ac:dyDescent="0.35"/>
    <row r="42" spans="1:15" ht="15.75" customHeight="1" x14ac:dyDescent="0.35"/>
    <row r="43" spans="1:15" ht="15.75" customHeight="1" x14ac:dyDescent="0.35"/>
    <row r="44" spans="1:15" ht="15.75" customHeight="1" x14ac:dyDescent="0.35"/>
    <row r="45" spans="1:15" ht="15.75" customHeight="1" x14ac:dyDescent="0.35"/>
    <row r="46" spans="1:15" ht="15.75" customHeight="1" x14ac:dyDescent="0.35"/>
    <row r="47" spans="1:15" ht="15.75" customHeight="1" x14ac:dyDescent="0.35"/>
    <row r="48" spans="1:1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K33"/>
  </mergeCells>
  <pageMargins left="0.75" right="0.75" top="1" bottom="1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000"/>
  <sheetViews>
    <sheetView workbookViewId="0"/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11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1.58203125" customWidth="1"/>
    <col min="12" max="12" width="13.33203125" customWidth="1"/>
    <col min="13" max="13" width="14.58203125" customWidth="1"/>
    <col min="14" max="14" width="9.58203125" customWidth="1"/>
    <col min="15" max="15" width="12.58203125" customWidth="1"/>
    <col min="16" max="26" width="11" customWidth="1"/>
  </cols>
  <sheetData>
    <row r="1" spans="1:15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2660</v>
      </c>
      <c r="L1" s="23" t="s">
        <v>2661</v>
      </c>
      <c r="M1" s="23" t="s">
        <v>2662</v>
      </c>
      <c r="N1" s="24" t="s">
        <v>2663</v>
      </c>
      <c r="O1" s="25" t="s">
        <v>2664</v>
      </c>
    </row>
    <row r="2" spans="1:15" ht="15.75" customHeight="1" x14ac:dyDescent="0.35">
      <c r="A2" s="26">
        <v>44713</v>
      </c>
      <c r="B2" s="9">
        <v>696.62</v>
      </c>
      <c r="C2" s="9">
        <v>453.08</v>
      </c>
      <c r="D2" s="9">
        <v>82.5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170</v>
      </c>
      <c r="L2" s="27">
        <f t="shared" ref="L2:L13" si="0">C2+D2+E2+F2+G2+H2+I2+J2+K2</f>
        <v>705.57999999999993</v>
      </c>
      <c r="M2" s="27">
        <f t="shared" ref="M2:M13" si="1">K2-N2</f>
        <v>161.04000000000008</v>
      </c>
      <c r="N2" s="70">
        <f t="shared" ref="N2:N13" si="2">L2-B2-F2</f>
        <v>8.9599999999999227</v>
      </c>
      <c r="O2" s="29">
        <v>83.55</v>
      </c>
    </row>
    <row r="3" spans="1:15" ht="15.75" customHeight="1" x14ac:dyDescent="0.35">
      <c r="A3" s="26">
        <v>44714</v>
      </c>
      <c r="B3" s="9">
        <v>546.70000000000005</v>
      </c>
      <c r="C3" s="9">
        <v>343.1</v>
      </c>
      <c r="D3" s="9">
        <v>43.5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165</v>
      </c>
      <c r="L3" s="27">
        <f t="shared" si="0"/>
        <v>551.6</v>
      </c>
      <c r="M3" s="27">
        <f t="shared" si="1"/>
        <v>160.10000000000002</v>
      </c>
      <c r="N3" s="70">
        <f t="shared" si="2"/>
        <v>4.8999999999999773</v>
      </c>
      <c r="O3" s="28">
        <v>86.59</v>
      </c>
    </row>
    <row r="4" spans="1:15" ht="15.75" customHeight="1" x14ac:dyDescent="0.35">
      <c r="A4" s="26">
        <v>44715</v>
      </c>
      <c r="B4" s="9">
        <v>755.7</v>
      </c>
      <c r="C4" s="9">
        <v>342.1</v>
      </c>
      <c r="D4" s="9">
        <v>132.38</v>
      </c>
      <c r="E4" s="9">
        <v>0</v>
      </c>
      <c r="F4" s="9">
        <v>0</v>
      </c>
      <c r="G4" s="9">
        <v>37.799999999999997</v>
      </c>
      <c r="H4" s="9">
        <v>47.8</v>
      </c>
      <c r="I4" s="9">
        <v>0</v>
      </c>
      <c r="J4" s="9">
        <v>0</v>
      </c>
      <c r="K4" s="9">
        <v>235</v>
      </c>
      <c r="L4" s="27">
        <f t="shared" si="0"/>
        <v>795.07999999999993</v>
      </c>
      <c r="M4" s="27">
        <f t="shared" si="1"/>
        <v>195.62000000000012</v>
      </c>
      <c r="N4" s="41">
        <f t="shared" si="2"/>
        <v>39.379999999999882</v>
      </c>
      <c r="O4" s="28">
        <v>0</v>
      </c>
    </row>
    <row r="5" spans="1:15" ht="15.75" customHeight="1" x14ac:dyDescent="0.35">
      <c r="A5" s="26">
        <v>44716</v>
      </c>
      <c r="B5" s="9">
        <v>1609.99</v>
      </c>
      <c r="C5" s="9">
        <v>929.61</v>
      </c>
      <c r="D5" s="9">
        <v>200.1</v>
      </c>
      <c r="E5" s="9">
        <f>1.72+56.35</f>
        <v>58.07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430</v>
      </c>
      <c r="L5" s="27">
        <f t="shared" si="0"/>
        <v>1617.78</v>
      </c>
      <c r="M5" s="27">
        <f t="shared" si="1"/>
        <v>422.21000000000004</v>
      </c>
      <c r="N5" s="70">
        <f t="shared" si="2"/>
        <v>7.7899999999999636</v>
      </c>
      <c r="O5" s="28">
        <v>83.76</v>
      </c>
    </row>
    <row r="6" spans="1:15" ht="15.75" customHeight="1" x14ac:dyDescent="0.35">
      <c r="A6" s="26">
        <v>44717</v>
      </c>
      <c r="B6" s="9">
        <v>1349.52</v>
      </c>
      <c r="C6" s="9">
        <v>844.46</v>
      </c>
      <c r="D6" s="9">
        <v>104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410</v>
      </c>
      <c r="L6" s="27">
        <f t="shared" si="0"/>
        <v>1358.46</v>
      </c>
      <c r="M6" s="27">
        <f t="shared" si="1"/>
        <v>401.05999999999995</v>
      </c>
      <c r="N6" s="70">
        <f t="shared" si="2"/>
        <v>8.9400000000000546</v>
      </c>
      <c r="O6" s="28">
        <v>84.06</v>
      </c>
    </row>
    <row r="7" spans="1:15" ht="15.75" customHeight="1" x14ac:dyDescent="0.35">
      <c r="A7" s="26">
        <v>44718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27">
        <f t="shared" si="0"/>
        <v>0</v>
      </c>
      <c r="M7" s="27">
        <f t="shared" si="1"/>
        <v>0</v>
      </c>
      <c r="N7" s="70">
        <f t="shared" si="2"/>
        <v>0</v>
      </c>
      <c r="O7" s="28">
        <v>0</v>
      </c>
    </row>
    <row r="8" spans="1:15" ht="15.75" customHeight="1" x14ac:dyDescent="0.35">
      <c r="A8" s="26">
        <v>44719</v>
      </c>
      <c r="B8" s="9">
        <v>403.9</v>
      </c>
      <c r="C8" s="9">
        <v>201.7</v>
      </c>
      <c r="D8" s="9">
        <v>49</v>
      </c>
      <c r="E8" s="9">
        <v>9.6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145</v>
      </c>
      <c r="L8" s="27">
        <f t="shared" si="0"/>
        <v>405.3</v>
      </c>
      <c r="M8" s="27">
        <f t="shared" si="1"/>
        <v>143.59999999999997</v>
      </c>
      <c r="N8" s="70">
        <f t="shared" si="2"/>
        <v>1.4000000000000341</v>
      </c>
      <c r="O8" s="28">
        <v>83.7</v>
      </c>
    </row>
    <row r="9" spans="1:15" ht="15.75" customHeight="1" x14ac:dyDescent="0.35">
      <c r="A9" s="26">
        <v>44720</v>
      </c>
      <c r="B9" s="9">
        <v>310.2</v>
      </c>
      <c r="C9" s="9">
        <v>270</v>
      </c>
      <c r="D9" s="9">
        <v>3.8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40</v>
      </c>
      <c r="L9" s="27">
        <f t="shared" si="0"/>
        <v>313.8</v>
      </c>
      <c r="M9" s="27">
        <f t="shared" si="1"/>
        <v>36.399999999999977</v>
      </c>
      <c r="N9" s="70">
        <f t="shared" si="2"/>
        <v>3.6000000000000227</v>
      </c>
      <c r="O9" s="28">
        <v>80.2</v>
      </c>
    </row>
    <row r="10" spans="1:15" ht="15.75" customHeight="1" x14ac:dyDescent="0.35">
      <c r="A10" s="26">
        <v>44721</v>
      </c>
      <c r="B10" s="9">
        <v>481.64</v>
      </c>
      <c r="C10" s="9">
        <v>313.44</v>
      </c>
      <c r="D10" s="9">
        <v>14.4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155</v>
      </c>
      <c r="L10" s="27">
        <f t="shared" si="0"/>
        <v>482.84</v>
      </c>
      <c r="M10" s="27">
        <f t="shared" si="1"/>
        <v>153.80000000000001</v>
      </c>
      <c r="N10" s="70">
        <f t="shared" si="2"/>
        <v>1.1999999999999886</v>
      </c>
      <c r="O10" s="28">
        <v>84.2</v>
      </c>
    </row>
    <row r="11" spans="1:15" ht="15.75" customHeight="1" x14ac:dyDescent="0.35">
      <c r="A11" s="26">
        <v>44722</v>
      </c>
      <c r="B11" s="9">
        <v>1388.99</v>
      </c>
      <c r="C11" s="9">
        <v>866.91</v>
      </c>
      <c r="D11" s="9">
        <v>87.5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445</v>
      </c>
      <c r="L11" s="27">
        <f t="shared" si="0"/>
        <v>1399.4099999999999</v>
      </c>
      <c r="M11" s="27">
        <f t="shared" si="1"/>
        <v>434.58000000000015</v>
      </c>
      <c r="N11" s="70">
        <f t="shared" si="2"/>
        <v>10.419999999999845</v>
      </c>
      <c r="O11" s="28">
        <v>83.73</v>
      </c>
    </row>
    <row r="12" spans="1:15" ht="15.75" customHeight="1" x14ac:dyDescent="0.35">
      <c r="A12" s="26">
        <v>44723</v>
      </c>
      <c r="B12" s="9">
        <v>1438.15</v>
      </c>
      <c r="C12" s="9">
        <v>852.85</v>
      </c>
      <c r="D12" s="9">
        <v>101.5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510</v>
      </c>
      <c r="L12" s="27">
        <f t="shared" si="0"/>
        <v>1464.35</v>
      </c>
      <c r="M12" s="27">
        <f t="shared" si="1"/>
        <v>483.80000000000018</v>
      </c>
      <c r="N12" s="70">
        <f t="shared" si="2"/>
        <v>26.199999999999818</v>
      </c>
      <c r="O12" s="28">
        <v>86.72</v>
      </c>
    </row>
    <row r="13" spans="1:15" ht="15.75" customHeight="1" x14ac:dyDescent="0.35">
      <c r="A13" s="26">
        <v>44724</v>
      </c>
      <c r="B13" s="9">
        <v>1268.28</v>
      </c>
      <c r="C13" s="9">
        <v>791.08</v>
      </c>
      <c r="D13" s="9">
        <v>92.8</v>
      </c>
      <c r="E13" s="9">
        <v>17.79</v>
      </c>
      <c r="F13" s="9">
        <v>0</v>
      </c>
      <c r="G13" s="9">
        <v>0</v>
      </c>
      <c r="H13" s="9">
        <v>18.899999999999999</v>
      </c>
      <c r="I13" s="9">
        <v>0</v>
      </c>
      <c r="J13" s="9">
        <v>0</v>
      </c>
      <c r="K13" s="9">
        <v>350</v>
      </c>
      <c r="L13" s="27">
        <f t="shared" si="0"/>
        <v>1270.57</v>
      </c>
      <c r="M13" s="27">
        <f t="shared" si="1"/>
        <v>347.71000000000004</v>
      </c>
      <c r="N13" s="70">
        <f t="shared" si="2"/>
        <v>2.2899999999999636</v>
      </c>
      <c r="O13" s="28">
        <v>78.02</v>
      </c>
    </row>
    <row r="14" spans="1:15" ht="15.75" customHeight="1" x14ac:dyDescent="0.35">
      <c r="A14" s="26">
        <v>44725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28">
        <v>0</v>
      </c>
    </row>
    <row r="15" spans="1:15" ht="15.75" customHeight="1" x14ac:dyDescent="0.35">
      <c r="A15" s="26">
        <v>44726</v>
      </c>
      <c r="B15" s="9">
        <v>405.24</v>
      </c>
      <c r="C15" s="9">
        <v>204.4</v>
      </c>
      <c r="D15" s="9">
        <v>23.8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180</v>
      </c>
      <c r="L15" s="27">
        <f t="shared" ref="L15:L33" si="3">C15+D15+E15+F15+G15+H15+I15+J15+K15</f>
        <v>408.20000000000005</v>
      </c>
      <c r="M15" s="27">
        <f t="shared" ref="M15:M33" si="4">K15-N15</f>
        <v>177.03999999999996</v>
      </c>
      <c r="N15" s="70">
        <f t="shared" ref="N15:N33" si="5">L15-B15-F15</f>
        <v>2.9600000000000364</v>
      </c>
      <c r="O15" s="28">
        <v>82.09</v>
      </c>
    </row>
    <row r="16" spans="1:15" ht="15.75" customHeight="1" x14ac:dyDescent="0.35">
      <c r="A16" s="26">
        <v>44727</v>
      </c>
      <c r="B16" s="9">
        <v>161.4</v>
      </c>
      <c r="C16" s="9">
        <v>92.2</v>
      </c>
      <c r="D16" s="9">
        <v>3.8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65</v>
      </c>
      <c r="L16" s="27">
        <f t="shared" si="3"/>
        <v>161</v>
      </c>
      <c r="M16" s="27">
        <f t="shared" si="4"/>
        <v>65.400000000000006</v>
      </c>
      <c r="N16" s="70">
        <f t="shared" si="5"/>
        <v>-0.40000000000000568</v>
      </c>
      <c r="O16" s="28">
        <v>83.04</v>
      </c>
    </row>
    <row r="17" spans="1:16" ht="15.75" customHeight="1" x14ac:dyDescent="0.35">
      <c r="A17" s="26">
        <v>44728</v>
      </c>
      <c r="B17" s="9">
        <v>729.5</v>
      </c>
      <c r="C17" s="9">
        <v>393</v>
      </c>
      <c r="D17" s="9">
        <v>59.9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315</v>
      </c>
      <c r="L17" s="27">
        <f t="shared" si="3"/>
        <v>767.9</v>
      </c>
      <c r="M17" s="27">
        <f t="shared" si="4"/>
        <v>276.60000000000002</v>
      </c>
      <c r="N17" s="70">
        <f t="shared" si="5"/>
        <v>38.399999999999977</v>
      </c>
      <c r="O17" s="28">
        <v>80.14</v>
      </c>
    </row>
    <row r="18" spans="1:16" ht="15.75" customHeight="1" x14ac:dyDescent="0.35">
      <c r="A18" s="26">
        <v>44729</v>
      </c>
      <c r="B18" s="9">
        <v>937.4</v>
      </c>
      <c r="C18" s="9">
        <v>521.29999999999995</v>
      </c>
      <c r="D18" s="9">
        <v>83.4</v>
      </c>
      <c r="E18" s="9">
        <v>11.22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340</v>
      </c>
      <c r="L18" s="27">
        <f t="shared" si="3"/>
        <v>955.92</v>
      </c>
      <c r="M18" s="27">
        <f t="shared" si="4"/>
        <v>321.48</v>
      </c>
      <c r="N18" s="70">
        <f t="shared" si="5"/>
        <v>18.519999999999982</v>
      </c>
      <c r="O18" s="28">
        <v>82.58</v>
      </c>
    </row>
    <row r="19" spans="1:16" ht="15.75" customHeight="1" x14ac:dyDescent="0.35">
      <c r="A19" s="26">
        <v>44730</v>
      </c>
      <c r="B19" s="9">
        <v>1100.5999999999999</v>
      </c>
      <c r="C19" s="9">
        <v>608.6</v>
      </c>
      <c r="D19" s="9">
        <v>97.3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415</v>
      </c>
      <c r="L19" s="27">
        <f t="shared" si="3"/>
        <v>1120.9000000000001</v>
      </c>
      <c r="M19" s="27">
        <f t="shared" si="4"/>
        <v>394.69999999999982</v>
      </c>
      <c r="N19" s="70">
        <f t="shared" si="5"/>
        <v>20.300000000000182</v>
      </c>
      <c r="O19" s="28">
        <v>81.599999999999994</v>
      </c>
    </row>
    <row r="20" spans="1:16" ht="15.75" customHeight="1" x14ac:dyDescent="0.35">
      <c r="A20" s="26">
        <v>44731</v>
      </c>
      <c r="B20" s="9">
        <v>1117.1600000000001</v>
      </c>
      <c r="C20" s="9">
        <v>689.38</v>
      </c>
      <c r="D20" s="9">
        <v>63.5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365</v>
      </c>
      <c r="L20" s="27">
        <f t="shared" si="3"/>
        <v>1118.8800000000001</v>
      </c>
      <c r="M20" s="27">
        <f t="shared" si="4"/>
        <v>363.28</v>
      </c>
      <c r="N20" s="70">
        <f t="shared" si="5"/>
        <v>1.7200000000000273</v>
      </c>
      <c r="O20" s="28">
        <v>84.51</v>
      </c>
    </row>
    <row r="21" spans="1:16" ht="15.75" customHeight="1" x14ac:dyDescent="0.35">
      <c r="A21" s="26">
        <v>44732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27">
        <f t="shared" si="3"/>
        <v>0</v>
      </c>
      <c r="M21" s="27">
        <f t="shared" si="4"/>
        <v>0</v>
      </c>
      <c r="N21" s="70">
        <f t="shared" si="5"/>
        <v>0</v>
      </c>
      <c r="O21" s="28">
        <v>0</v>
      </c>
    </row>
    <row r="22" spans="1:16" ht="15.75" customHeight="1" x14ac:dyDescent="0.35">
      <c r="A22" s="26">
        <v>44733</v>
      </c>
      <c r="B22" s="9">
        <v>212.4</v>
      </c>
      <c r="C22" s="9">
        <v>106.8</v>
      </c>
      <c r="D22" s="9">
        <v>11.1</v>
      </c>
      <c r="E22" s="9">
        <v>0</v>
      </c>
      <c r="F22" s="9">
        <v>0</v>
      </c>
      <c r="G22" s="9">
        <v>18.899999999999999</v>
      </c>
      <c r="H22" s="9">
        <v>0</v>
      </c>
      <c r="I22" s="9">
        <v>0</v>
      </c>
      <c r="J22" s="9">
        <v>0</v>
      </c>
      <c r="K22" s="9">
        <v>75</v>
      </c>
      <c r="L22" s="27">
        <f t="shared" si="3"/>
        <v>211.79999999999998</v>
      </c>
      <c r="M22" s="27">
        <f t="shared" si="4"/>
        <v>75.600000000000023</v>
      </c>
      <c r="N22" s="70">
        <f t="shared" si="5"/>
        <v>-0.60000000000002274</v>
      </c>
      <c r="O22" s="28">
        <v>84.58</v>
      </c>
    </row>
    <row r="23" spans="1:16" ht="15.75" customHeight="1" x14ac:dyDescent="0.35">
      <c r="A23" s="26">
        <v>44734</v>
      </c>
      <c r="B23" s="9">
        <v>500.1</v>
      </c>
      <c r="C23" s="9">
        <v>278.8</v>
      </c>
      <c r="D23" s="9">
        <v>37.4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185</v>
      </c>
      <c r="L23" s="27">
        <f t="shared" si="3"/>
        <v>501.2</v>
      </c>
      <c r="M23" s="27">
        <f t="shared" si="4"/>
        <v>183.90000000000003</v>
      </c>
      <c r="N23" s="70">
        <f t="shared" si="5"/>
        <v>1.0999999999999659</v>
      </c>
      <c r="O23" s="28">
        <v>79.849999999999994</v>
      </c>
    </row>
    <row r="24" spans="1:16" ht="15.75" customHeight="1" x14ac:dyDescent="0.35">
      <c r="A24" s="26">
        <v>44735</v>
      </c>
      <c r="B24" s="9">
        <v>354.48</v>
      </c>
      <c r="C24" s="9">
        <v>165.18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190</v>
      </c>
      <c r="L24" s="27">
        <f t="shared" si="3"/>
        <v>355.18</v>
      </c>
      <c r="M24" s="27">
        <f t="shared" si="4"/>
        <v>189.3</v>
      </c>
      <c r="N24" s="70">
        <f t="shared" si="5"/>
        <v>0.69999999999998863</v>
      </c>
      <c r="O24" s="28">
        <v>81.95</v>
      </c>
    </row>
    <row r="25" spans="1:16" ht="15.75" customHeight="1" x14ac:dyDescent="0.35">
      <c r="A25" s="26">
        <v>44736</v>
      </c>
      <c r="B25" s="9">
        <v>934.38</v>
      </c>
      <c r="C25" s="9">
        <v>505.28</v>
      </c>
      <c r="D25" s="9">
        <v>123.9</v>
      </c>
      <c r="E25" s="9">
        <v>0</v>
      </c>
      <c r="F25" s="9">
        <v>0</v>
      </c>
      <c r="G25" s="9">
        <v>0</v>
      </c>
      <c r="H25" s="9">
        <v>19.899999999999999</v>
      </c>
      <c r="I25" s="9">
        <v>0</v>
      </c>
      <c r="J25" s="9">
        <v>0</v>
      </c>
      <c r="K25" s="9">
        <v>305</v>
      </c>
      <c r="L25" s="27">
        <f t="shared" si="3"/>
        <v>954.07999999999993</v>
      </c>
      <c r="M25" s="27">
        <f t="shared" si="4"/>
        <v>285.30000000000007</v>
      </c>
      <c r="N25" s="70">
        <f t="shared" si="5"/>
        <v>19.699999999999932</v>
      </c>
      <c r="O25" s="28">
        <v>82.2</v>
      </c>
    </row>
    <row r="26" spans="1:16" ht="15.75" customHeight="1" x14ac:dyDescent="0.35">
      <c r="A26" s="26">
        <v>44737</v>
      </c>
      <c r="B26" s="9">
        <v>1514.32</v>
      </c>
      <c r="C26" s="9">
        <v>848.64</v>
      </c>
      <c r="D26" s="9">
        <v>119.48</v>
      </c>
      <c r="E26" s="9">
        <v>0</v>
      </c>
      <c r="F26" s="9">
        <v>0</v>
      </c>
      <c r="G26" s="9">
        <v>0</v>
      </c>
      <c r="H26" s="9">
        <v>36.9</v>
      </c>
      <c r="I26" s="9">
        <v>0</v>
      </c>
      <c r="J26" s="9">
        <v>0</v>
      </c>
      <c r="K26" s="9">
        <v>500</v>
      </c>
      <c r="L26" s="27">
        <f t="shared" si="3"/>
        <v>1505.02</v>
      </c>
      <c r="M26" s="27">
        <f t="shared" si="4"/>
        <v>509.29999999999995</v>
      </c>
      <c r="N26" s="70">
        <f t="shared" si="5"/>
        <v>-9.2999999999999545</v>
      </c>
      <c r="O26" s="28">
        <v>86.18</v>
      </c>
    </row>
    <row r="27" spans="1:16" ht="15.75" customHeight="1" x14ac:dyDescent="0.35">
      <c r="A27" s="26">
        <v>44738</v>
      </c>
      <c r="B27" s="9">
        <v>1237.01</v>
      </c>
      <c r="C27" s="9">
        <v>657.86</v>
      </c>
      <c r="D27" s="9">
        <v>104.7</v>
      </c>
      <c r="E27" s="9">
        <v>0</v>
      </c>
      <c r="F27" s="9">
        <v>0</v>
      </c>
      <c r="G27" s="9">
        <v>0</v>
      </c>
      <c r="H27" s="9">
        <v>57.8</v>
      </c>
      <c r="I27" s="9">
        <v>0</v>
      </c>
      <c r="J27" s="9">
        <v>0</v>
      </c>
      <c r="K27" s="9">
        <v>420</v>
      </c>
      <c r="L27" s="27">
        <f t="shared" si="3"/>
        <v>1240.3600000000001</v>
      </c>
      <c r="M27" s="27">
        <f t="shared" si="4"/>
        <v>416.64999999999986</v>
      </c>
      <c r="N27" s="70">
        <f t="shared" si="5"/>
        <v>3.3500000000001364</v>
      </c>
      <c r="O27" s="28">
        <v>82.68</v>
      </c>
    </row>
    <row r="28" spans="1:16" ht="15.75" customHeight="1" x14ac:dyDescent="0.35">
      <c r="A28" s="26">
        <v>44739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27">
        <f t="shared" si="3"/>
        <v>0</v>
      </c>
      <c r="M28" s="27">
        <f t="shared" si="4"/>
        <v>0</v>
      </c>
      <c r="N28" s="70">
        <f t="shared" si="5"/>
        <v>0</v>
      </c>
      <c r="O28" s="28">
        <v>0</v>
      </c>
    </row>
    <row r="29" spans="1:16" ht="15.75" customHeight="1" x14ac:dyDescent="0.35">
      <c r="A29" s="26">
        <v>44740</v>
      </c>
      <c r="B29" s="9">
        <v>576.79999999999995</v>
      </c>
      <c r="C29" s="9">
        <v>319.10000000000002</v>
      </c>
      <c r="D29" s="9">
        <v>40.200000000000003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220</v>
      </c>
      <c r="L29" s="27">
        <f t="shared" si="3"/>
        <v>579.29999999999995</v>
      </c>
      <c r="M29" s="27">
        <f t="shared" si="4"/>
        <v>217.5</v>
      </c>
      <c r="N29" s="70">
        <f t="shared" si="5"/>
        <v>2.5</v>
      </c>
      <c r="O29" s="28">
        <v>81.319999999999993</v>
      </c>
      <c r="P29" s="2">
        <v>35.04</v>
      </c>
    </row>
    <row r="30" spans="1:16" ht="15.75" customHeight="1" x14ac:dyDescent="0.35">
      <c r="A30" s="26">
        <v>44741</v>
      </c>
      <c r="B30" s="9">
        <v>525.79999999999995</v>
      </c>
      <c r="C30" s="9">
        <v>269.2</v>
      </c>
      <c r="D30" s="9">
        <v>52.3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205</v>
      </c>
      <c r="L30" s="27">
        <f t="shared" si="3"/>
        <v>526.5</v>
      </c>
      <c r="M30" s="27">
        <f t="shared" si="4"/>
        <v>204.29999999999995</v>
      </c>
      <c r="N30" s="70">
        <f t="shared" si="5"/>
        <v>0.70000000000004547</v>
      </c>
      <c r="O30" s="28">
        <v>80.27</v>
      </c>
    </row>
    <row r="31" spans="1:16" ht="15.75" customHeight="1" x14ac:dyDescent="0.35">
      <c r="A31" s="34">
        <v>44742</v>
      </c>
      <c r="B31" s="9">
        <v>542.14</v>
      </c>
      <c r="C31" s="9">
        <v>334.94</v>
      </c>
      <c r="D31" s="9">
        <v>33.1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175</v>
      </c>
      <c r="L31" s="27">
        <f t="shared" si="3"/>
        <v>543.04</v>
      </c>
      <c r="M31" s="27">
        <f t="shared" si="4"/>
        <v>174.10000000000002</v>
      </c>
      <c r="N31" s="70">
        <f t="shared" si="5"/>
        <v>0.89999999999997726</v>
      </c>
      <c r="O31" s="28">
        <v>80.680000000000007</v>
      </c>
    </row>
    <row r="32" spans="1:16" ht="15.75" customHeight="1" x14ac:dyDescent="0.35">
      <c r="A32" s="42"/>
      <c r="B32" s="43"/>
      <c r="C32" s="30"/>
      <c r="D32" s="30"/>
      <c r="E32" s="30"/>
      <c r="F32" s="30"/>
      <c r="G32" s="30"/>
      <c r="H32" s="30"/>
      <c r="I32" s="30"/>
      <c r="J32" s="30"/>
      <c r="K32" s="30"/>
      <c r="L32" s="31">
        <f t="shared" si="3"/>
        <v>0</v>
      </c>
      <c r="M32" s="27">
        <f t="shared" si="4"/>
        <v>0</v>
      </c>
      <c r="N32" s="32">
        <f t="shared" si="5"/>
        <v>0</v>
      </c>
      <c r="O32" s="33">
        <v>0</v>
      </c>
    </row>
    <row r="33" spans="1:18" ht="15.75" customHeight="1" x14ac:dyDescent="0.35">
      <c r="A33" s="71"/>
      <c r="B33" s="44">
        <v>0</v>
      </c>
      <c r="C33" s="44">
        <v>0</v>
      </c>
      <c r="D33" s="44">
        <v>0</v>
      </c>
      <c r="E33" s="44"/>
      <c r="F33" s="44"/>
      <c r="G33" s="44"/>
      <c r="H33" s="44">
        <v>0</v>
      </c>
      <c r="I33" s="44"/>
      <c r="J33" s="44"/>
      <c r="K33" s="44">
        <v>0</v>
      </c>
      <c r="L33" s="45">
        <f t="shared" si="3"/>
        <v>0</v>
      </c>
      <c r="M33" s="45">
        <f t="shared" si="4"/>
        <v>0</v>
      </c>
      <c r="N33" s="46">
        <f t="shared" si="5"/>
        <v>0</v>
      </c>
      <c r="O33" s="47">
        <v>0</v>
      </c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2"/>
      <c r="L34" s="48">
        <f>SUM(L2:L33)</f>
        <v>21314.050000000003</v>
      </c>
      <c r="M34" s="72">
        <f>L34-N34</f>
        <v>21098.420000000002</v>
      </c>
      <c r="N34" s="49">
        <f>SUM(N2:N33)</f>
        <v>215.62999999999974</v>
      </c>
      <c r="O34" s="50"/>
      <c r="Q34" s="51">
        <f>L34/26</f>
        <v>819.77115384615399</v>
      </c>
      <c r="R34" s="2" t="s">
        <v>2665</v>
      </c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K34"/>
  </mergeCells>
  <pageMargins left="0.75" right="0.75" top="1" bottom="1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000"/>
  <sheetViews>
    <sheetView workbookViewId="0"/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9.58203125" customWidth="1"/>
    <col min="16" max="16" width="12.58203125" customWidth="1"/>
    <col min="17" max="26" width="11" customWidth="1"/>
  </cols>
  <sheetData>
    <row r="1" spans="1:16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</row>
    <row r="2" spans="1:16" ht="15.75" customHeight="1" x14ac:dyDescent="0.35">
      <c r="A2" s="26">
        <v>44743</v>
      </c>
      <c r="B2" s="9">
        <v>763.46</v>
      </c>
      <c r="C2" s="9">
        <v>459.56</v>
      </c>
      <c r="D2" s="9">
        <v>38.4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/>
      <c r="L2" s="9">
        <v>265</v>
      </c>
      <c r="M2" s="27">
        <f t="shared" ref="M2:M4" si="0">C2+D2+E2+F2+G2+H2+I2+J2+L2</f>
        <v>762.96</v>
      </c>
      <c r="N2" s="27">
        <f t="shared" ref="N2:N4" si="1">L2-O2</f>
        <v>265.5</v>
      </c>
      <c r="O2" s="70">
        <f t="shared" ref="O2:O4" si="2">M2-B2-F2</f>
        <v>-0.5</v>
      </c>
      <c r="P2" s="52">
        <v>80.27</v>
      </c>
    </row>
    <row r="3" spans="1:16" ht="15.75" customHeight="1" x14ac:dyDescent="0.35">
      <c r="A3" s="26">
        <v>44744</v>
      </c>
      <c r="B3" s="9">
        <v>1076.44</v>
      </c>
      <c r="C3" s="9">
        <v>613.64</v>
      </c>
      <c r="D3" s="9">
        <v>116.3</v>
      </c>
      <c r="E3" s="9">
        <v>0.99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/>
      <c r="L3" s="9">
        <v>335</v>
      </c>
      <c r="M3" s="27">
        <f t="shared" si="0"/>
        <v>1065.9299999999998</v>
      </c>
      <c r="N3" s="27">
        <f t="shared" si="1"/>
        <v>345.51000000000022</v>
      </c>
      <c r="O3" s="70">
        <f t="shared" si="2"/>
        <v>-10.510000000000218</v>
      </c>
      <c r="P3" s="28">
        <v>81.42</v>
      </c>
    </row>
    <row r="4" spans="1:16" ht="15.75" customHeight="1" x14ac:dyDescent="0.35">
      <c r="A4" s="26">
        <v>44745</v>
      </c>
      <c r="B4" s="9">
        <v>1300.2</v>
      </c>
      <c r="C4" s="9">
        <v>829.44</v>
      </c>
      <c r="D4" s="9">
        <v>58.84</v>
      </c>
      <c r="E4" s="9">
        <v>11.98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/>
      <c r="L4" s="9">
        <v>400</v>
      </c>
      <c r="M4" s="27">
        <f t="shared" si="0"/>
        <v>1300.2600000000002</v>
      </c>
      <c r="N4" s="27">
        <f t="shared" si="1"/>
        <v>399.93999999999983</v>
      </c>
      <c r="O4" s="41">
        <f t="shared" si="2"/>
        <v>6.0000000000172804E-2</v>
      </c>
      <c r="P4" s="28">
        <v>71.349999999999994</v>
      </c>
    </row>
    <row r="5" spans="1:16" ht="15.75" customHeight="1" x14ac:dyDescent="0.35">
      <c r="A5" s="26">
        <v>44746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/>
      <c r="L5" s="9">
        <v>0</v>
      </c>
      <c r="M5" s="27">
        <v>0</v>
      </c>
      <c r="N5" s="27">
        <v>0</v>
      </c>
      <c r="O5" s="70">
        <v>0</v>
      </c>
      <c r="P5" s="28"/>
    </row>
    <row r="6" spans="1:16" ht="15.75" customHeight="1" x14ac:dyDescent="0.35">
      <c r="A6" s="26">
        <v>44747</v>
      </c>
      <c r="B6" s="9">
        <v>605</v>
      </c>
      <c r="C6" s="9">
        <v>398</v>
      </c>
      <c r="D6" s="9">
        <v>13.6</v>
      </c>
      <c r="E6" s="9">
        <v>0</v>
      </c>
      <c r="F6" s="9">
        <v>0</v>
      </c>
      <c r="G6" s="9">
        <v>36.9</v>
      </c>
      <c r="H6" s="9">
        <v>0</v>
      </c>
      <c r="I6" s="9">
        <v>0</v>
      </c>
      <c r="J6" s="9">
        <v>0</v>
      </c>
      <c r="K6" s="9"/>
      <c r="L6" s="9">
        <v>160</v>
      </c>
      <c r="M6" s="27">
        <f t="shared" ref="M6:M14" si="3">C6+D6+E6+F6+G6+H6+I6+J6+L6</f>
        <v>608.5</v>
      </c>
      <c r="N6" s="27">
        <f t="shared" ref="N6:N18" si="4">L6-O6</f>
        <v>156.5</v>
      </c>
      <c r="O6" s="70">
        <f t="shared" ref="O6:O33" si="5">M6-B6-F6</f>
        <v>3.5</v>
      </c>
      <c r="P6" s="28">
        <v>70.760000000000005</v>
      </c>
    </row>
    <row r="7" spans="1:16" ht="15.75" customHeight="1" x14ac:dyDescent="0.35">
      <c r="A7" s="26">
        <v>44748</v>
      </c>
      <c r="B7" s="9">
        <v>1013.2</v>
      </c>
      <c r="C7" s="9">
        <v>591.20000000000005</v>
      </c>
      <c r="D7" s="9">
        <v>45.7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/>
      <c r="L7" s="9">
        <v>380</v>
      </c>
      <c r="M7" s="27">
        <f t="shared" si="3"/>
        <v>1016.9000000000001</v>
      </c>
      <c r="N7" s="27">
        <f t="shared" si="4"/>
        <v>376.29999999999995</v>
      </c>
      <c r="O7" s="70">
        <f t="shared" si="5"/>
        <v>3.7000000000000455</v>
      </c>
      <c r="P7" s="28">
        <v>71.099999999999994</v>
      </c>
    </row>
    <row r="8" spans="1:16" ht="15.75" customHeight="1" x14ac:dyDescent="0.35">
      <c r="A8" s="26">
        <v>44749</v>
      </c>
      <c r="B8" s="9">
        <v>1400.45</v>
      </c>
      <c r="C8" s="9">
        <v>839.86</v>
      </c>
      <c r="D8" s="9">
        <v>108.4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/>
      <c r="L8" s="9">
        <v>450</v>
      </c>
      <c r="M8" s="27">
        <f t="shared" si="3"/>
        <v>1398.26</v>
      </c>
      <c r="N8" s="27">
        <f t="shared" si="4"/>
        <v>452.19000000000005</v>
      </c>
      <c r="O8" s="70">
        <f t="shared" si="5"/>
        <v>-2.1900000000000546</v>
      </c>
      <c r="P8" s="28">
        <v>74</v>
      </c>
    </row>
    <row r="9" spans="1:16" ht="15.75" customHeight="1" x14ac:dyDescent="0.35">
      <c r="A9" s="26">
        <v>44750</v>
      </c>
      <c r="B9" s="9">
        <v>1682.19</v>
      </c>
      <c r="C9" s="9">
        <v>1023.19</v>
      </c>
      <c r="D9" s="9">
        <v>101.2</v>
      </c>
      <c r="E9" s="9">
        <v>0</v>
      </c>
      <c r="F9" s="9">
        <v>0</v>
      </c>
      <c r="G9" s="9">
        <v>0</v>
      </c>
      <c r="H9" s="9">
        <v>37.799999999999997</v>
      </c>
      <c r="I9" s="9">
        <v>0</v>
      </c>
      <c r="J9" s="9">
        <v>0</v>
      </c>
      <c r="K9" s="9"/>
      <c r="L9" s="9">
        <v>525</v>
      </c>
      <c r="M9" s="27">
        <f t="shared" si="3"/>
        <v>1687.19</v>
      </c>
      <c r="N9" s="27">
        <f t="shared" si="4"/>
        <v>520</v>
      </c>
      <c r="O9" s="70">
        <f t="shared" si="5"/>
        <v>5</v>
      </c>
      <c r="P9" s="28">
        <v>74.69</v>
      </c>
    </row>
    <row r="10" spans="1:16" ht="15.75" customHeight="1" x14ac:dyDescent="0.35">
      <c r="A10" s="26">
        <v>44751</v>
      </c>
      <c r="B10" s="9">
        <v>1836.79</v>
      </c>
      <c r="C10" s="9">
        <v>1185.3900000000001</v>
      </c>
      <c r="D10" s="9">
        <v>165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/>
      <c r="L10" s="9">
        <v>500</v>
      </c>
      <c r="M10" s="27">
        <f t="shared" si="3"/>
        <v>1850.39</v>
      </c>
      <c r="N10" s="27">
        <f t="shared" si="4"/>
        <v>486.39999999999986</v>
      </c>
      <c r="O10" s="70">
        <f t="shared" si="5"/>
        <v>13.600000000000136</v>
      </c>
      <c r="P10" s="28">
        <v>74</v>
      </c>
    </row>
    <row r="11" spans="1:16" ht="15.75" customHeight="1" x14ac:dyDescent="0.35">
      <c r="A11" s="26">
        <v>44752</v>
      </c>
      <c r="B11" s="9">
        <v>1206.0999999999999</v>
      </c>
      <c r="C11" s="9">
        <v>781.32</v>
      </c>
      <c r="D11" s="9">
        <v>67.400000000000006</v>
      </c>
      <c r="E11" s="9">
        <v>7.21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/>
      <c r="L11" s="9">
        <v>350</v>
      </c>
      <c r="M11" s="27">
        <f t="shared" si="3"/>
        <v>1205.93</v>
      </c>
      <c r="N11" s="27">
        <f t="shared" si="4"/>
        <v>350.16999999999985</v>
      </c>
      <c r="O11" s="70">
        <f t="shared" si="5"/>
        <v>-0.16999999999984539</v>
      </c>
      <c r="P11" s="28">
        <v>90.61</v>
      </c>
    </row>
    <row r="12" spans="1:16" ht="15.75" customHeight="1" x14ac:dyDescent="0.35">
      <c r="A12" s="26">
        <v>44753</v>
      </c>
      <c r="B12" s="9">
        <v>0</v>
      </c>
      <c r="C12" s="9"/>
      <c r="D12" s="9"/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/>
      <c r="L12" s="9">
        <v>0</v>
      </c>
      <c r="M12" s="27">
        <f t="shared" si="3"/>
        <v>0</v>
      </c>
      <c r="N12" s="27">
        <f t="shared" si="4"/>
        <v>0</v>
      </c>
      <c r="O12" s="70">
        <f t="shared" si="5"/>
        <v>0</v>
      </c>
      <c r="P12" s="28"/>
    </row>
    <row r="13" spans="1:16" ht="15.75" customHeight="1" x14ac:dyDescent="0.35">
      <c r="A13" s="26">
        <v>44754</v>
      </c>
      <c r="B13" s="9">
        <v>1537.05</v>
      </c>
      <c r="C13" s="9">
        <v>835.85</v>
      </c>
      <c r="D13" s="9">
        <v>182.7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/>
      <c r="L13" s="9">
        <v>525</v>
      </c>
      <c r="M13" s="27">
        <f t="shared" si="3"/>
        <v>1543.55</v>
      </c>
      <c r="N13" s="27">
        <f t="shared" si="4"/>
        <v>518.5</v>
      </c>
      <c r="O13" s="70">
        <f t="shared" si="5"/>
        <v>6.5</v>
      </c>
      <c r="P13" s="28">
        <v>90.04</v>
      </c>
    </row>
    <row r="14" spans="1:16" ht="15.75" customHeight="1" x14ac:dyDescent="0.35">
      <c r="A14" s="26">
        <v>44755</v>
      </c>
      <c r="B14" s="9">
        <v>1401.38</v>
      </c>
      <c r="C14" s="9">
        <v>655.44</v>
      </c>
      <c r="D14" s="9">
        <v>119.6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/>
      <c r="L14" s="9">
        <v>625</v>
      </c>
      <c r="M14" s="27">
        <f t="shared" si="3"/>
        <v>1400.04</v>
      </c>
      <c r="N14" s="27">
        <f t="shared" si="4"/>
        <v>626.34000000000015</v>
      </c>
      <c r="O14" s="70">
        <f t="shared" si="5"/>
        <v>-1.3400000000001455</v>
      </c>
      <c r="P14" s="28">
        <v>83.45</v>
      </c>
    </row>
    <row r="15" spans="1:16" ht="15.75" customHeight="1" x14ac:dyDescent="0.35">
      <c r="A15" s="26">
        <v>44756</v>
      </c>
      <c r="B15" s="9">
        <v>1380.94</v>
      </c>
      <c r="C15" s="9">
        <v>769.54</v>
      </c>
      <c r="D15" s="9">
        <v>53.6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156.80000000000001</v>
      </c>
      <c r="L15" s="9">
        <v>400</v>
      </c>
      <c r="M15" s="27">
        <f>C15+D15+E15+F15+G15+H15+I15+J15+L15+K15</f>
        <v>1379.9399999999998</v>
      </c>
      <c r="N15" s="27">
        <f t="shared" si="4"/>
        <v>401.00000000000023</v>
      </c>
      <c r="O15" s="70">
        <f t="shared" si="5"/>
        <v>-1.0000000000002274</v>
      </c>
      <c r="P15" s="28">
        <v>78.81</v>
      </c>
    </row>
    <row r="16" spans="1:16" ht="15.75" customHeight="1" x14ac:dyDescent="0.35">
      <c r="A16" s="26">
        <v>44757</v>
      </c>
      <c r="B16" s="9">
        <v>1250.8499999999999</v>
      </c>
      <c r="C16" s="9">
        <v>719.25</v>
      </c>
      <c r="D16" s="9">
        <v>48.8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/>
      <c r="L16" s="9">
        <v>495</v>
      </c>
      <c r="M16" s="27">
        <f t="shared" ref="M16:M18" si="6">C16+D16+E16+F16+G16+H16+I16+J16+L16</f>
        <v>1263.05</v>
      </c>
      <c r="N16" s="27">
        <f t="shared" si="4"/>
        <v>482.79999999999995</v>
      </c>
      <c r="O16" s="70">
        <f t="shared" si="5"/>
        <v>12.200000000000045</v>
      </c>
      <c r="P16" s="28">
        <v>80.2</v>
      </c>
    </row>
    <row r="17" spans="1:17" ht="15.75" customHeight="1" x14ac:dyDescent="0.35">
      <c r="A17" s="26">
        <v>44758</v>
      </c>
      <c r="B17" s="9">
        <v>1834.2</v>
      </c>
      <c r="C17" s="9">
        <v>939.16</v>
      </c>
      <c r="D17" s="9">
        <v>161</v>
      </c>
      <c r="E17" s="9">
        <v>12</v>
      </c>
      <c r="F17" s="9">
        <v>0</v>
      </c>
      <c r="G17" s="9">
        <v>0</v>
      </c>
      <c r="H17" s="9">
        <v>103.5</v>
      </c>
      <c r="I17" s="9">
        <v>0</v>
      </c>
      <c r="J17" s="9">
        <v>0</v>
      </c>
      <c r="K17" s="9"/>
      <c r="L17" s="9">
        <v>618.34</v>
      </c>
      <c r="M17" s="27">
        <f t="shared" si="6"/>
        <v>1834</v>
      </c>
      <c r="N17" s="27">
        <f t="shared" si="4"/>
        <v>618.54000000000008</v>
      </c>
      <c r="O17" s="70">
        <f t="shared" si="5"/>
        <v>-0.20000000000004547</v>
      </c>
      <c r="P17" s="28">
        <f>46.67+45</f>
        <v>91.67</v>
      </c>
    </row>
    <row r="18" spans="1:17" ht="15.75" customHeight="1" x14ac:dyDescent="0.35">
      <c r="A18" s="26">
        <v>44759</v>
      </c>
      <c r="B18" s="9">
        <v>1630</v>
      </c>
      <c r="C18" s="9">
        <v>987.35</v>
      </c>
      <c r="D18" s="9">
        <v>108.5</v>
      </c>
      <c r="E18" s="9">
        <v>0</v>
      </c>
      <c r="F18" s="9">
        <v>0</v>
      </c>
      <c r="G18" s="9">
        <v>0</v>
      </c>
      <c r="H18" s="9">
        <v>19.899999999999999</v>
      </c>
      <c r="I18" s="9">
        <v>0</v>
      </c>
      <c r="J18" s="9">
        <v>0</v>
      </c>
      <c r="K18" s="9"/>
      <c r="L18" s="9">
        <v>520</v>
      </c>
      <c r="M18" s="27">
        <f t="shared" si="6"/>
        <v>1635.75</v>
      </c>
      <c r="N18" s="27">
        <f t="shared" si="4"/>
        <v>514.25</v>
      </c>
      <c r="O18" s="70">
        <f t="shared" si="5"/>
        <v>5.75</v>
      </c>
      <c r="P18" s="28">
        <v>85.29</v>
      </c>
    </row>
    <row r="19" spans="1:17" ht="15.75" customHeight="1" x14ac:dyDescent="0.35">
      <c r="A19" s="26">
        <v>44760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/>
      <c r="L19" s="9">
        <v>0</v>
      </c>
      <c r="M19" s="27">
        <v>0</v>
      </c>
      <c r="N19" s="27">
        <v>0</v>
      </c>
      <c r="O19" s="70">
        <f t="shared" si="5"/>
        <v>0</v>
      </c>
      <c r="P19" s="28"/>
    </row>
    <row r="20" spans="1:17" ht="15.75" customHeight="1" x14ac:dyDescent="0.35">
      <c r="A20" s="26">
        <v>44761</v>
      </c>
      <c r="B20" s="9">
        <v>957.54</v>
      </c>
      <c r="C20" s="9">
        <v>602.29999999999995</v>
      </c>
      <c r="D20" s="9">
        <v>57.04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/>
      <c r="L20" s="9">
        <v>300</v>
      </c>
      <c r="M20" s="27">
        <f t="shared" ref="M20:M26" si="7">C20+D20+E20+F20+G20+H20+I20+J20+L20</f>
        <v>959.33999999999992</v>
      </c>
      <c r="N20" s="27">
        <f t="shared" ref="N20:N33" si="8">L20-O20</f>
        <v>298.20000000000005</v>
      </c>
      <c r="O20" s="70">
        <f t="shared" si="5"/>
        <v>1.7999999999999545</v>
      </c>
      <c r="P20" s="28">
        <v>83.35</v>
      </c>
    </row>
    <row r="21" spans="1:17" ht="15.75" customHeight="1" x14ac:dyDescent="0.35">
      <c r="A21" s="26">
        <v>44762</v>
      </c>
      <c r="B21" s="9">
        <v>963.38</v>
      </c>
      <c r="C21" s="9">
        <v>531.17999999999995</v>
      </c>
      <c r="D21" s="9">
        <v>43.5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/>
      <c r="L21" s="9">
        <v>385</v>
      </c>
      <c r="M21" s="27">
        <f t="shared" si="7"/>
        <v>959.68</v>
      </c>
      <c r="N21" s="27">
        <f t="shared" si="8"/>
        <v>388.70000000000005</v>
      </c>
      <c r="O21" s="70">
        <f t="shared" si="5"/>
        <v>-3.7000000000000455</v>
      </c>
      <c r="P21" s="28">
        <v>74</v>
      </c>
    </row>
    <row r="22" spans="1:17" ht="15.75" customHeight="1" x14ac:dyDescent="0.35">
      <c r="A22" s="26">
        <v>44763</v>
      </c>
      <c r="B22" s="9">
        <v>1070.5</v>
      </c>
      <c r="C22" s="9">
        <v>582.95000000000005</v>
      </c>
      <c r="D22" s="9">
        <v>104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/>
      <c r="L22" s="9">
        <v>385</v>
      </c>
      <c r="M22" s="27">
        <f t="shared" si="7"/>
        <v>1071.95</v>
      </c>
      <c r="N22" s="27">
        <f t="shared" si="8"/>
        <v>383.54999999999995</v>
      </c>
      <c r="O22" s="70">
        <f t="shared" si="5"/>
        <v>1.4500000000000455</v>
      </c>
      <c r="P22" s="28">
        <v>72.69</v>
      </c>
    </row>
    <row r="23" spans="1:17" ht="15.75" customHeight="1" x14ac:dyDescent="0.35">
      <c r="A23" s="26">
        <v>44764</v>
      </c>
      <c r="B23" s="9">
        <v>1180.8800000000001</v>
      </c>
      <c r="C23" s="9">
        <f>793.78-D23</f>
        <v>723.98</v>
      </c>
      <c r="D23" s="9">
        <v>69.8</v>
      </c>
      <c r="E23" s="9">
        <v>0</v>
      </c>
      <c r="F23" s="9">
        <v>0</v>
      </c>
      <c r="G23" s="9">
        <v>0</v>
      </c>
      <c r="H23" s="9">
        <v>37.799999999999997</v>
      </c>
      <c r="I23" s="9">
        <v>0</v>
      </c>
      <c r="J23" s="9">
        <v>0</v>
      </c>
      <c r="K23" s="9"/>
      <c r="L23" s="9">
        <v>350</v>
      </c>
      <c r="M23" s="27">
        <f t="shared" si="7"/>
        <v>1181.58</v>
      </c>
      <c r="N23" s="27">
        <f t="shared" si="8"/>
        <v>349.30000000000018</v>
      </c>
      <c r="O23" s="70">
        <f t="shared" si="5"/>
        <v>0.6999999999998181</v>
      </c>
      <c r="P23" s="28">
        <v>75.52</v>
      </c>
    </row>
    <row r="24" spans="1:17" ht="15.75" customHeight="1" x14ac:dyDescent="0.35">
      <c r="A24" s="26">
        <v>44765</v>
      </c>
      <c r="B24" s="9">
        <v>1611</v>
      </c>
      <c r="C24" s="9">
        <v>881.9</v>
      </c>
      <c r="D24" s="9">
        <v>79.5</v>
      </c>
      <c r="E24" s="9">
        <v>0</v>
      </c>
      <c r="F24" s="9">
        <v>0</v>
      </c>
      <c r="G24" s="9">
        <v>0</v>
      </c>
      <c r="H24" s="9">
        <v>18.899999999999999</v>
      </c>
      <c r="I24" s="9">
        <v>0</v>
      </c>
      <c r="J24" s="9">
        <v>0</v>
      </c>
      <c r="K24" s="9"/>
      <c r="L24" s="9">
        <v>630</v>
      </c>
      <c r="M24" s="27">
        <f t="shared" si="7"/>
        <v>1610.3</v>
      </c>
      <c r="N24" s="27">
        <f t="shared" si="8"/>
        <v>630.70000000000005</v>
      </c>
      <c r="O24" s="70">
        <f t="shared" si="5"/>
        <v>-0.70000000000004547</v>
      </c>
      <c r="P24" s="28">
        <v>73.599999999999994</v>
      </c>
    </row>
    <row r="25" spans="1:17" ht="15.75" customHeight="1" x14ac:dyDescent="0.35">
      <c r="A25" s="26">
        <v>44766</v>
      </c>
      <c r="B25" s="9">
        <v>1291.56</v>
      </c>
      <c r="C25" s="9">
        <v>727.34</v>
      </c>
      <c r="D25" s="9">
        <v>112.3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/>
      <c r="L25" s="9">
        <v>460</v>
      </c>
      <c r="M25" s="27">
        <f t="shared" si="7"/>
        <v>1299.6399999999999</v>
      </c>
      <c r="N25" s="27">
        <f t="shared" si="8"/>
        <v>451.92000000000007</v>
      </c>
      <c r="O25" s="70">
        <f t="shared" si="5"/>
        <v>8.0799999999999272</v>
      </c>
      <c r="P25" s="28">
        <v>74.25</v>
      </c>
    </row>
    <row r="26" spans="1:17" ht="15.75" customHeight="1" x14ac:dyDescent="0.35">
      <c r="A26" s="26">
        <v>44767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/>
      <c r="L26" s="9">
        <v>0</v>
      </c>
      <c r="M26" s="27">
        <f t="shared" si="7"/>
        <v>0</v>
      </c>
      <c r="N26" s="27">
        <f t="shared" si="8"/>
        <v>0</v>
      </c>
      <c r="O26" s="70">
        <f t="shared" si="5"/>
        <v>0</v>
      </c>
      <c r="P26" s="28"/>
    </row>
    <row r="27" spans="1:17" ht="15.75" customHeight="1" x14ac:dyDescent="0.35">
      <c r="A27" s="26">
        <v>44768</v>
      </c>
      <c r="B27" s="9">
        <v>1194.1300000000001</v>
      </c>
      <c r="C27" s="9">
        <v>621.84</v>
      </c>
      <c r="D27" s="9">
        <v>41.2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195.99</v>
      </c>
      <c r="L27" s="9">
        <v>335</v>
      </c>
      <c r="M27" s="27">
        <f>C27+D27+E27+F27+G27+H27+I27+J27+L27+K27</f>
        <v>1194.0300000000002</v>
      </c>
      <c r="N27" s="27">
        <f t="shared" si="8"/>
        <v>335.09999999999991</v>
      </c>
      <c r="O27" s="70">
        <f t="shared" si="5"/>
        <v>-9.9999999999909051E-2</v>
      </c>
      <c r="P27" s="28">
        <v>76.23</v>
      </c>
    </row>
    <row r="28" spans="1:17" ht="15.75" customHeight="1" x14ac:dyDescent="0.35">
      <c r="A28" s="26">
        <v>44769</v>
      </c>
      <c r="B28" s="9">
        <v>905.52</v>
      </c>
      <c r="C28" s="9">
        <v>533.72</v>
      </c>
      <c r="D28" s="9">
        <v>54.8</v>
      </c>
      <c r="E28" s="9">
        <v>0</v>
      </c>
      <c r="F28" s="9">
        <v>0</v>
      </c>
      <c r="G28" s="9">
        <v>0</v>
      </c>
      <c r="H28" s="9">
        <v>18.899999999999999</v>
      </c>
      <c r="I28" s="9">
        <v>0</v>
      </c>
      <c r="J28" s="9">
        <v>0</v>
      </c>
      <c r="K28" s="9"/>
      <c r="L28" s="9">
        <v>300</v>
      </c>
      <c r="M28" s="27">
        <f t="shared" ref="M28:M33" si="9">C28+D28+E28+F28+G28+H28+I28+J28+L28</f>
        <v>907.42</v>
      </c>
      <c r="N28" s="27">
        <f t="shared" si="8"/>
        <v>298.10000000000002</v>
      </c>
      <c r="O28" s="70">
        <f t="shared" si="5"/>
        <v>1.8999999999999773</v>
      </c>
      <c r="P28" s="28">
        <v>70.75</v>
      </c>
    </row>
    <row r="29" spans="1:17" ht="15.75" customHeight="1" x14ac:dyDescent="0.35">
      <c r="A29" s="26">
        <v>44770</v>
      </c>
      <c r="B29" s="9">
        <v>679.9</v>
      </c>
      <c r="C29" s="9">
        <v>333.8</v>
      </c>
      <c r="D29" s="9">
        <v>67.7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/>
      <c r="L29" s="9">
        <v>275</v>
      </c>
      <c r="M29" s="27">
        <f t="shared" si="9"/>
        <v>676.5</v>
      </c>
      <c r="N29" s="27">
        <f t="shared" si="8"/>
        <v>278.39999999999998</v>
      </c>
      <c r="O29" s="70">
        <f t="shared" si="5"/>
        <v>-3.3999999999999773</v>
      </c>
      <c r="P29" s="28">
        <v>70.33</v>
      </c>
      <c r="Q29" s="2">
        <v>35.04</v>
      </c>
    </row>
    <row r="30" spans="1:17" ht="15.75" customHeight="1" x14ac:dyDescent="0.35">
      <c r="A30" s="26">
        <v>44771</v>
      </c>
      <c r="B30" s="9">
        <v>1340.5</v>
      </c>
      <c r="C30" s="9">
        <v>843.16</v>
      </c>
      <c r="D30" s="9">
        <v>160.4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/>
      <c r="L30" s="9">
        <v>350</v>
      </c>
      <c r="M30" s="27">
        <f t="shared" si="9"/>
        <v>1353.56</v>
      </c>
      <c r="N30" s="27">
        <f t="shared" si="8"/>
        <v>336.94000000000005</v>
      </c>
      <c r="O30" s="70">
        <f t="shared" si="5"/>
        <v>13.059999999999945</v>
      </c>
      <c r="P30" s="28">
        <v>75.88</v>
      </c>
    </row>
    <row r="31" spans="1:17" ht="15.75" customHeight="1" x14ac:dyDescent="0.35">
      <c r="A31" s="26">
        <v>44772</v>
      </c>
      <c r="B31" s="9">
        <v>1723.62</v>
      </c>
      <c r="C31" s="9">
        <v>938.72</v>
      </c>
      <c r="D31" s="9">
        <v>112.9</v>
      </c>
      <c r="E31" s="9">
        <v>0</v>
      </c>
      <c r="F31" s="9">
        <v>0</v>
      </c>
      <c r="G31" s="9">
        <v>0</v>
      </c>
      <c r="H31" s="9">
        <v>46.8</v>
      </c>
      <c r="I31" s="9">
        <v>0</v>
      </c>
      <c r="J31" s="9">
        <v>0</v>
      </c>
      <c r="K31" s="9"/>
      <c r="L31" s="9">
        <v>625</v>
      </c>
      <c r="M31" s="27">
        <f t="shared" si="9"/>
        <v>1723.42</v>
      </c>
      <c r="N31" s="27">
        <f t="shared" si="8"/>
        <v>625.19999999999982</v>
      </c>
      <c r="O31" s="70">
        <f t="shared" si="5"/>
        <v>-0.1999999999998181</v>
      </c>
      <c r="P31" s="28">
        <v>76.2</v>
      </c>
    </row>
    <row r="32" spans="1:17" ht="15.75" customHeight="1" x14ac:dyDescent="0.35">
      <c r="A32" s="26">
        <v>44773</v>
      </c>
      <c r="B32" s="53">
        <v>1543.92</v>
      </c>
      <c r="C32" s="54">
        <v>1026.1600000000001</v>
      </c>
      <c r="D32" s="54">
        <v>73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/>
      <c r="L32" s="54">
        <v>440</v>
      </c>
      <c r="M32" s="27">
        <f t="shared" si="9"/>
        <v>1539.16</v>
      </c>
      <c r="N32" s="27">
        <f t="shared" si="8"/>
        <v>444.76</v>
      </c>
      <c r="O32" s="70">
        <f t="shared" si="5"/>
        <v>-4.7599999999999909</v>
      </c>
      <c r="P32" s="33">
        <v>79.459999999999994</v>
      </c>
    </row>
    <row r="33" spans="1:19" ht="15.75" customHeight="1" x14ac:dyDescent="0.35">
      <c r="A33" s="71"/>
      <c r="B33" s="44">
        <v>0</v>
      </c>
      <c r="C33" s="44">
        <v>0</v>
      </c>
      <c r="D33" s="44">
        <v>0</v>
      </c>
      <c r="E33" s="9">
        <v>0</v>
      </c>
      <c r="F33" s="9">
        <v>0</v>
      </c>
      <c r="G33" s="9">
        <v>0</v>
      </c>
      <c r="H33" s="44">
        <v>0</v>
      </c>
      <c r="I33" s="9">
        <v>0</v>
      </c>
      <c r="J33" s="9">
        <v>0</v>
      </c>
      <c r="K33" s="55"/>
      <c r="L33" s="44">
        <v>0</v>
      </c>
      <c r="M33" s="27">
        <f t="shared" si="9"/>
        <v>0</v>
      </c>
      <c r="N33" s="27">
        <f t="shared" si="8"/>
        <v>0</v>
      </c>
      <c r="O33" s="70">
        <f t="shared" si="5"/>
        <v>0</v>
      </c>
      <c r="P33" s="47"/>
    </row>
    <row r="34" spans="1:19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34429.230000000003</v>
      </c>
      <c r="N34" s="72">
        <f>M34-O34</f>
        <v>34380.700000000004</v>
      </c>
      <c r="O34" s="49">
        <f>SUM(O2:O33)</f>
        <v>48.529999999999745</v>
      </c>
      <c r="P34" s="50"/>
      <c r="R34" s="51">
        <f>M34/26</f>
        <v>1324.2011538461541</v>
      </c>
      <c r="S34" s="2" t="s">
        <v>2665</v>
      </c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000"/>
  <sheetViews>
    <sheetView workbookViewId="0"/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9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</row>
    <row r="2" spans="1:19" ht="15.75" customHeight="1" x14ac:dyDescent="0.35">
      <c r="A2" s="26">
        <v>44774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>
        <f t="shared" ref="M2:M3" si="0">C2+D2+E2+F2+G2+H2+I2+J2+L2</f>
        <v>0</v>
      </c>
      <c r="N2" s="31">
        <f t="shared" ref="N2:N8" si="1">L2-O2</f>
        <v>0</v>
      </c>
      <c r="O2" s="32">
        <f t="shared" ref="O2:O8" si="2">M2-B2-F2</f>
        <v>0</v>
      </c>
      <c r="P2" s="33">
        <v>79.459999999999994</v>
      </c>
    </row>
    <row r="3" spans="1:19" ht="15.75" customHeight="1" x14ac:dyDescent="0.35">
      <c r="A3" s="26">
        <v>44775</v>
      </c>
      <c r="B3" s="9">
        <v>755.54</v>
      </c>
      <c r="C3" s="9">
        <v>430.74</v>
      </c>
      <c r="D3" s="9">
        <v>11.4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310</v>
      </c>
      <c r="M3" s="27">
        <f t="shared" si="0"/>
        <v>752.14</v>
      </c>
      <c r="N3" s="27">
        <f t="shared" si="1"/>
        <v>313.39999999999998</v>
      </c>
      <c r="O3" s="70">
        <f t="shared" si="2"/>
        <v>-3.3999999999999773</v>
      </c>
      <c r="P3" s="28">
        <v>82.93</v>
      </c>
      <c r="Q3" s="56" t="s">
        <v>2667</v>
      </c>
    </row>
    <row r="4" spans="1:19" ht="15.75" customHeight="1" x14ac:dyDescent="0.35">
      <c r="A4" s="26">
        <v>44776</v>
      </c>
      <c r="B4" s="9">
        <v>1087</v>
      </c>
      <c r="C4" s="9">
        <v>642.52</v>
      </c>
      <c r="D4" s="9">
        <v>43.2</v>
      </c>
      <c r="E4" s="9"/>
      <c r="F4" s="9"/>
      <c r="G4" s="9"/>
      <c r="H4" s="9"/>
      <c r="I4" s="9"/>
      <c r="J4" s="9"/>
      <c r="K4" s="9"/>
      <c r="L4" s="9">
        <v>400</v>
      </c>
      <c r="M4" s="27">
        <f t="shared" ref="M4:M8" si="3">C4+D4+E4+F4+G4+H4+I4+J4+L4+K4</f>
        <v>1085.72</v>
      </c>
      <c r="N4" s="27">
        <f t="shared" si="1"/>
        <v>401.28</v>
      </c>
      <c r="O4" s="41">
        <f t="shared" si="2"/>
        <v>-1.2799999999999727</v>
      </c>
      <c r="P4" s="28">
        <v>71.349999999999994</v>
      </c>
    </row>
    <row r="5" spans="1:19" ht="15.75" customHeight="1" x14ac:dyDescent="0.35">
      <c r="A5" s="26">
        <v>44777</v>
      </c>
      <c r="B5" s="9">
        <v>965.21</v>
      </c>
      <c r="C5" s="9">
        <v>532.86</v>
      </c>
      <c r="D5" s="9">
        <v>35.799999999999997</v>
      </c>
      <c r="E5" s="9"/>
      <c r="F5" s="9"/>
      <c r="G5" s="9"/>
      <c r="H5" s="9"/>
      <c r="I5" s="9"/>
      <c r="J5" s="9"/>
      <c r="K5" s="9"/>
      <c r="L5" s="9">
        <v>398.71999999999997</v>
      </c>
      <c r="M5" s="27">
        <f t="shared" si="3"/>
        <v>967.37999999999988</v>
      </c>
      <c r="N5" s="27">
        <f t="shared" si="1"/>
        <v>396.55000000000013</v>
      </c>
      <c r="O5" s="41">
        <f t="shared" si="2"/>
        <v>2.1699999999998454</v>
      </c>
      <c r="P5" s="28">
        <f>26.65+50</f>
        <v>76.650000000000006</v>
      </c>
    </row>
    <row r="6" spans="1:19" ht="15.75" customHeight="1" x14ac:dyDescent="0.35">
      <c r="A6" s="26">
        <v>44778</v>
      </c>
      <c r="B6" s="9">
        <v>871.88</v>
      </c>
      <c r="C6" s="9">
        <v>347.28</v>
      </c>
      <c r="D6" s="9">
        <v>89</v>
      </c>
      <c r="E6" s="9"/>
      <c r="F6" s="9"/>
      <c r="G6" s="9">
        <v>18.899999999999999</v>
      </c>
      <c r="H6" s="9">
        <v>37.799999999999997</v>
      </c>
      <c r="I6" s="9"/>
      <c r="J6" s="9"/>
      <c r="K6" s="9"/>
      <c r="L6" s="9">
        <v>440</v>
      </c>
      <c r="M6" s="27">
        <f t="shared" si="3"/>
        <v>932.98</v>
      </c>
      <c r="N6" s="27">
        <f t="shared" si="1"/>
        <v>378.9</v>
      </c>
      <c r="O6" s="41">
        <f t="shared" si="2"/>
        <v>61.100000000000023</v>
      </c>
      <c r="P6" s="28">
        <v>75.709999999999994</v>
      </c>
    </row>
    <row r="7" spans="1:19" ht="15.75" customHeight="1" x14ac:dyDescent="0.35">
      <c r="A7" s="26">
        <v>44779</v>
      </c>
      <c r="B7" s="9">
        <v>1079.92</v>
      </c>
      <c r="C7" s="9">
        <v>660.52</v>
      </c>
      <c r="D7" s="9">
        <v>39.200000000000003</v>
      </c>
      <c r="E7" s="9"/>
      <c r="F7" s="9"/>
      <c r="G7" s="9"/>
      <c r="H7" s="9"/>
      <c r="I7" s="9"/>
      <c r="J7" s="9"/>
      <c r="K7" s="9"/>
      <c r="L7" s="9">
        <v>382.22</v>
      </c>
      <c r="M7" s="27">
        <f t="shared" si="3"/>
        <v>1081.94</v>
      </c>
      <c r="N7" s="27">
        <f t="shared" si="1"/>
        <v>380.20000000000005</v>
      </c>
      <c r="O7" s="41">
        <f t="shared" si="2"/>
        <v>2.0199999999999818</v>
      </c>
      <c r="P7" s="28">
        <f>50+37.93</f>
        <v>87.93</v>
      </c>
      <c r="Q7" s="2">
        <v>29.37</v>
      </c>
    </row>
    <row r="8" spans="1:19" ht="15.75" customHeight="1" x14ac:dyDescent="0.35">
      <c r="A8" s="26">
        <v>44780</v>
      </c>
      <c r="B8" s="9">
        <v>1011.56</v>
      </c>
      <c r="C8" s="9">
        <v>649.16</v>
      </c>
      <c r="D8" s="9">
        <v>51.5</v>
      </c>
      <c r="E8" s="9"/>
      <c r="F8" s="9"/>
      <c r="G8" s="9"/>
      <c r="H8" s="9"/>
      <c r="I8" s="9"/>
      <c r="J8" s="9"/>
      <c r="K8" s="9"/>
      <c r="L8" s="9">
        <v>310</v>
      </c>
      <c r="M8" s="27">
        <f t="shared" si="3"/>
        <v>1010.66</v>
      </c>
      <c r="N8" s="27">
        <f t="shared" si="1"/>
        <v>310.89999999999998</v>
      </c>
      <c r="O8" s="41">
        <f t="shared" si="2"/>
        <v>-0.89999999999997726</v>
      </c>
      <c r="P8" s="28">
        <v>86.63</v>
      </c>
    </row>
    <row r="9" spans="1:19" ht="15.75" customHeight="1" x14ac:dyDescent="0.35">
      <c r="A9" s="26">
        <v>44781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27">
        <v>0</v>
      </c>
      <c r="N9" s="27">
        <v>0</v>
      </c>
      <c r="O9" s="41">
        <v>0</v>
      </c>
      <c r="P9" s="28"/>
    </row>
    <row r="10" spans="1:19" ht="15.75" customHeight="1" x14ac:dyDescent="0.35">
      <c r="A10" s="26">
        <v>44782</v>
      </c>
      <c r="B10" s="9">
        <v>957.66</v>
      </c>
      <c r="C10" s="9">
        <v>567.55999999999995</v>
      </c>
      <c r="D10" s="9">
        <v>19</v>
      </c>
      <c r="E10" s="9"/>
      <c r="F10" s="9"/>
      <c r="G10" s="9"/>
      <c r="H10" s="9">
        <v>56.7</v>
      </c>
      <c r="I10" s="9"/>
      <c r="J10" s="9"/>
      <c r="K10" s="9"/>
      <c r="L10" s="9">
        <v>315</v>
      </c>
      <c r="M10" s="27">
        <f t="shared" ref="M10:M22" si="4">C10+D10+E10+F10+G10+H10+I10+J10+L10+K10</f>
        <v>958.26</v>
      </c>
      <c r="N10" s="27">
        <f t="shared" ref="N10:N22" si="5">L10-O10</f>
        <v>314.39999999999998</v>
      </c>
      <c r="O10" s="41">
        <f t="shared" ref="O10:O22" si="6">M10-B10-F10</f>
        <v>0.60000000000002274</v>
      </c>
      <c r="P10" s="28">
        <v>86.12</v>
      </c>
    </row>
    <row r="11" spans="1:19" ht="15.75" customHeight="1" x14ac:dyDescent="0.35">
      <c r="A11" s="26">
        <v>44783</v>
      </c>
      <c r="B11" s="9">
        <v>1146.49</v>
      </c>
      <c r="C11" s="9">
        <v>732.99</v>
      </c>
      <c r="D11" s="9">
        <v>73.400000000000006</v>
      </c>
      <c r="E11" s="9"/>
      <c r="F11" s="9"/>
      <c r="G11" s="9"/>
      <c r="H11" s="9"/>
      <c r="I11" s="9"/>
      <c r="J11" s="9"/>
      <c r="K11" s="9"/>
      <c r="L11" s="9">
        <v>340</v>
      </c>
      <c r="M11" s="27">
        <f t="shared" si="4"/>
        <v>1146.3899999999999</v>
      </c>
      <c r="N11" s="27">
        <f t="shared" si="5"/>
        <v>340.10000000000014</v>
      </c>
      <c r="O11" s="41">
        <f t="shared" si="6"/>
        <v>-0.10000000000013642</v>
      </c>
      <c r="P11" s="28">
        <v>89.22</v>
      </c>
    </row>
    <row r="12" spans="1:19" ht="15.75" customHeight="1" x14ac:dyDescent="0.35">
      <c r="A12" s="26">
        <v>44784</v>
      </c>
      <c r="B12" s="9">
        <v>1002.65</v>
      </c>
      <c r="C12" s="9">
        <v>434.58</v>
      </c>
      <c r="D12" s="9">
        <v>61.7</v>
      </c>
      <c r="E12" s="9"/>
      <c r="F12" s="9"/>
      <c r="G12" s="9"/>
      <c r="H12" s="9"/>
      <c r="I12" s="9"/>
      <c r="J12" s="9"/>
      <c r="K12" s="9"/>
      <c r="L12" s="9">
        <v>510</v>
      </c>
      <c r="M12" s="27">
        <f t="shared" si="4"/>
        <v>1006.28</v>
      </c>
      <c r="N12" s="27">
        <f t="shared" si="5"/>
        <v>506.37</v>
      </c>
      <c r="O12" s="41">
        <f t="shared" si="6"/>
        <v>3.6299999999999955</v>
      </c>
      <c r="P12" s="28">
        <v>87.52</v>
      </c>
      <c r="Q12" s="56" t="s">
        <v>2668</v>
      </c>
      <c r="S12" s="2" t="s">
        <v>2669</v>
      </c>
    </row>
    <row r="13" spans="1:19" ht="15.75" customHeight="1" x14ac:dyDescent="0.35">
      <c r="A13" s="26">
        <v>44785</v>
      </c>
      <c r="B13" s="9">
        <v>1366.1</v>
      </c>
      <c r="C13" s="9">
        <v>757.22</v>
      </c>
      <c r="D13" s="9">
        <v>92.1</v>
      </c>
      <c r="E13" s="9"/>
      <c r="F13" s="9"/>
      <c r="G13" s="9"/>
      <c r="H13" s="9">
        <v>18.899999999999999</v>
      </c>
      <c r="I13" s="9"/>
      <c r="J13" s="9"/>
      <c r="K13" s="9"/>
      <c r="L13" s="9">
        <v>520</v>
      </c>
      <c r="M13" s="27">
        <f t="shared" si="4"/>
        <v>1388.22</v>
      </c>
      <c r="N13" s="27">
        <f t="shared" si="5"/>
        <v>497.87999999999988</v>
      </c>
      <c r="O13" s="41">
        <f t="shared" si="6"/>
        <v>22.120000000000118</v>
      </c>
      <c r="P13" s="28"/>
    </row>
    <row r="14" spans="1:19" ht="15.75" customHeight="1" x14ac:dyDescent="0.35">
      <c r="A14" s="26">
        <v>44786</v>
      </c>
      <c r="B14" s="9">
        <v>1404.78</v>
      </c>
      <c r="C14" s="9">
        <v>796.28</v>
      </c>
      <c r="D14" s="9">
        <v>74.900000000000006</v>
      </c>
      <c r="E14" s="9"/>
      <c r="F14" s="9"/>
      <c r="G14" s="9"/>
      <c r="H14" s="9"/>
      <c r="I14" s="9"/>
      <c r="J14" s="9"/>
      <c r="K14" s="9"/>
      <c r="L14" s="9">
        <v>530</v>
      </c>
      <c r="M14" s="27">
        <f t="shared" si="4"/>
        <v>1401.1799999999998</v>
      </c>
      <c r="N14" s="27">
        <f t="shared" si="5"/>
        <v>533.60000000000014</v>
      </c>
      <c r="O14" s="41">
        <f t="shared" si="6"/>
        <v>-3.6000000000001364</v>
      </c>
      <c r="P14" s="28">
        <v>100.72</v>
      </c>
    </row>
    <row r="15" spans="1:19" ht="15.75" customHeight="1" x14ac:dyDescent="0.35">
      <c r="A15" s="26">
        <v>44787</v>
      </c>
      <c r="B15" s="9">
        <v>1300.92</v>
      </c>
      <c r="C15" s="9">
        <v>724.74</v>
      </c>
      <c r="D15" s="9">
        <v>63.9</v>
      </c>
      <c r="E15" s="9"/>
      <c r="F15" s="9"/>
      <c r="G15" s="9"/>
      <c r="H15" s="9"/>
      <c r="I15" s="9"/>
      <c r="J15" s="9"/>
      <c r="K15" s="9"/>
      <c r="L15" s="9">
        <v>515</v>
      </c>
      <c r="M15" s="27">
        <f t="shared" si="4"/>
        <v>1303.6399999999999</v>
      </c>
      <c r="N15" s="27">
        <f t="shared" si="5"/>
        <v>512.2800000000002</v>
      </c>
      <c r="O15" s="41">
        <f t="shared" si="6"/>
        <v>2.7199999999997999</v>
      </c>
      <c r="P15" s="28">
        <v>98.62</v>
      </c>
    </row>
    <row r="16" spans="1:19" ht="15.75" customHeight="1" x14ac:dyDescent="0.35">
      <c r="A16" s="26">
        <v>44788</v>
      </c>
      <c r="B16" s="9">
        <v>1253.9000000000001</v>
      </c>
      <c r="C16" s="9">
        <v>635.20000000000005</v>
      </c>
      <c r="D16" s="9">
        <v>78.599999999999994</v>
      </c>
      <c r="E16" s="9"/>
      <c r="F16" s="9"/>
      <c r="G16" s="9"/>
      <c r="H16" s="9"/>
      <c r="I16" s="9"/>
      <c r="J16" s="9"/>
      <c r="K16" s="9"/>
      <c r="L16" s="9">
        <v>540</v>
      </c>
      <c r="M16" s="27">
        <f t="shared" si="4"/>
        <v>1253.8000000000002</v>
      </c>
      <c r="N16" s="27">
        <f t="shared" si="5"/>
        <v>540.09999999999991</v>
      </c>
      <c r="O16" s="41">
        <f t="shared" si="6"/>
        <v>-9.9999999999909051E-2</v>
      </c>
      <c r="P16" s="28">
        <v>98.87</v>
      </c>
    </row>
    <row r="17" spans="1:17" ht="15.75" customHeight="1" x14ac:dyDescent="0.35">
      <c r="A17" s="26">
        <v>44789</v>
      </c>
      <c r="B17" s="9">
        <v>0</v>
      </c>
      <c r="C17" s="9">
        <v>0</v>
      </c>
      <c r="D17" s="9">
        <v>0</v>
      </c>
      <c r="E17" s="9"/>
      <c r="F17" s="9"/>
      <c r="G17" s="9"/>
      <c r="H17" s="9"/>
      <c r="I17" s="9"/>
      <c r="J17" s="9"/>
      <c r="K17" s="9"/>
      <c r="L17" s="9">
        <v>0</v>
      </c>
      <c r="M17" s="27">
        <f t="shared" si="4"/>
        <v>0</v>
      </c>
      <c r="N17" s="27">
        <f t="shared" si="5"/>
        <v>0</v>
      </c>
      <c r="O17" s="41">
        <f t="shared" si="6"/>
        <v>0</v>
      </c>
      <c r="P17" s="28"/>
    </row>
    <row r="18" spans="1:17" ht="15.75" customHeight="1" x14ac:dyDescent="0.35">
      <c r="A18" s="26">
        <v>44790</v>
      </c>
      <c r="B18" s="9">
        <v>762.34</v>
      </c>
      <c r="C18" s="9">
        <v>402.98</v>
      </c>
      <c r="D18" s="9">
        <v>52.4</v>
      </c>
      <c r="E18" s="9"/>
      <c r="F18" s="9"/>
      <c r="G18" s="9"/>
      <c r="H18" s="9"/>
      <c r="I18" s="9"/>
      <c r="J18" s="9"/>
      <c r="K18" s="9"/>
      <c r="L18" s="9">
        <v>310</v>
      </c>
      <c r="M18" s="27">
        <f t="shared" si="4"/>
        <v>765.38</v>
      </c>
      <c r="N18" s="27">
        <f t="shared" si="5"/>
        <v>306.96000000000004</v>
      </c>
      <c r="O18" s="41">
        <f t="shared" si="6"/>
        <v>3.0399999999999636</v>
      </c>
      <c r="P18" s="28">
        <v>84.77</v>
      </c>
    </row>
    <row r="19" spans="1:17" ht="15.75" customHeight="1" x14ac:dyDescent="0.35">
      <c r="A19" s="26">
        <v>44791</v>
      </c>
      <c r="B19" s="9">
        <v>1119.8399999999999</v>
      </c>
      <c r="C19" s="9">
        <v>652.36</v>
      </c>
      <c r="D19" s="9">
        <v>38.4</v>
      </c>
      <c r="E19" s="9"/>
      <c r="F19" s="9"/>
      <c r="G19" s="9"/>
      <c r="H19" s="9"/>
      <c r="I19" s="9"/>
      <c r="J19" s="9"/>
      <c r="K19" s="9"/>
      <c r="L19" s="9">
        <v>450</v>
      </c>
      <c r="M19" s="27">
        <f t="shared" si="4"/>
        <v>1140.76</v>
      </c>
      <c r="N19" s="27">
        <f t="shared" si="5"/>
        <v>429.07999999999993</v>
      </c>
      <c r="O19" s="41">
        <f t="shared" si="6"/>
        <v>20.920000000000073</v>
      </c>
      <c r="P19" s="28">
        <v>83.57</v>
      </c>
    </row>
    <row r="20" spans="1:17" ht="15.75" customHeight="1" x14ac:dyDescent="0.35">
      <c r="A20" s="26">
        <v>44792</v>
      </c>
      <c r="B20" s="9">
        <v>1517.72</v>
      </c>
      <c r="C20" s="9">
        <v>799.28</v>
      </c>
      <c r="D20" s="9">
        <v>117.1</v>
      </c>
      <c r="E20" s="9"/>
      <c r="F20" s="9"/>
      <c r="G20" s="9"/>
      <c r="H20" s="9">
        <v>27.9</v>
      </c>
      <c r="I20" s="9"/>
      <c r="J20" s="9"/>
      <c r="K20" s="9"/>
      <c r="L20" s="9">
        <v>574.71</v>
      </c>
      <c r="M20" s="27">
        <f t="shared" si="4"/>
        <v>1518.99</v>
      </c>
      <c r="N20" s="27">
        <f t="shared" si="5"/>
        <v>573.44000000000005</v>
      </c>
      <c r="O20" s="41">
        <f t="shared" si="6"/>
        <v>1.2699999999999818</v>
      </c>
      <c r="P20" s="28">
        <v>78.28</v>
      </c>
    </row>
    <row r="21" spans="1:17" ht="15.75" customHeight="1" x14ac:dyDescent="0.35">
      <c r="A21" s="26">
        <v>44793</v>
      </c>
      <c r="B21" s="9">
        <v>1400.8</v>
      </c>
      <c r="C21" s="9">
        <v>850.2</v>
      </c>
      <c r="D21" s="9">
        <v>71.02</v>
      </c>
      <c r="E21" s="9"/>
      <c r="F21" s="9"/>
      <c r="G21" s="9"/>
      <c r="H21" s="9"/>
      <c r="I21" s="9"/>
      <c r="J21" s="9">
        <v>27.9</v>
      </c>
      <c r="K21" s="9"/>
      <c r="L21" s="9">
        <v>452.8900000000001</v>
      </c>
      <c r="M21" s="27">
        <f t="shared" si="4"/>
        <v>1402.0100000000002</v>
      </c>
      <c r="N21" s="27">
        <f t="shared" si="5"/>
        <v>451.67999999999984</v>
      </c>
      <c r="O21" s="41">
        <f t="shared" si="6"/>
        <v>1.2100000000002638</v>
      </c>
      <c r="P21" s="28">
        <v>71.17</v>
      </c>
    </row>
    <row r="22" spans="1:17" ht="15.75" customHeight="1" x14ac:dyDescent="0.35">
      <c r="A22" s="26">
        <v>44794</v>
      </c>
      <c r="B22" s="9">
        <v>1142.68</v>
      </c>
      <c r="C22" s="9">
        <v>649.29999999999995</v>
      </c>
      <c r="D22" s="9">
        <v>43.3</v>
      </c>
      <c r="E22" s="9"/>
      <c r="F22" s="9"/>
      <c r="G22" s="9"/>
      <c r="H22" s="9"/>
      <c r="I22" s="9"/>
      <c r="J22" s="9"/>
      <c r="K22" s="9"/>
      <c r="L22" s="9">
        <v>440</v>
      </c>
      <c r="M22" s="27">
        <f t="shared" si="4"/>
        <v>1132.5999999999999</v>
      </c>
      <c r="N22" s="27">
        <f t="shared" si="5"/>
        <v>450.08000000000015</v>
      </c>
      <c r="O22" s="41">
        <f t="shared" si="6"/>
        <v>-10.080000000000155</v>
      </c>
      <c r="P22" s="28">
        <v>78.62</v>
      </c>
    </row>
    <row r="23" spans="1:17" ht="15.75" customHeight="1" x14ac:dyDescent="0.35">
      <c r="A23" s="26">
        <v>44795</v>
      </c>
      <c r="B23" s="9">
        <v>0</v>
      </c>
      <c r="C23" s="9">
        <v>0</v>
      </c>
      <c r="D23" s="9">
        <v>0</v>
      </c>
      <c r="E23" s="9"/>
      <c r="F23" s="9"/>
      <c r="G23" s="9"/>
      <c r="H23" s="9"/>
      <c r="I23" s="9"/>
      <c r="J23" s="9"/>
      <c r="K23" s="9"/>
      <c r="L23" s="9">
        <v>0</v>
      </c>
      <c r="M23" s="27">
        <v>0</v>
      </c>
      <c r="N23" s="27">
        <v>0</v>
      </c>
      <c r="O23" s="41">
        <v>0</v>
      </c>
      <c r="P23" s="28">
        <v>0</v>
      </c>
    </row>
    <row r="24" spans="1:17" ht="15.75" customHeight="1" x14ac:dyDescent="0.35">
      <c r="A24" s="26">
        <v>44796</v>
      </c>
      <c r="B24" s="9">
        <v>1035.55</v>
      </c>
      <c r="C24" s="9">
        <v>613.25</v>
      </c>
      <c r="D24" s="9">
        <v>36.799999999999997</v>
      </c>
      <c r="E24" s="9"/>
      <c r="F24" s="9"/>
      <c r="G24" s="9"/>
      <c r="H24" s="9"/>
      <c r="I24" s="9"/>
      <c r="J24" s="9"/>
      <c r="K24" s="9"/>
      <c r="L24" s="9">
        <v>430</v>
      </c>
      <c r="M24" s="27">
        <f t="shared" ref="M24:M29" si="7">C24+D24+E24+F24+G24+H24+I24+J24+L24+K24</f>
        <v>1080.05</v>
      </c>
      <c r="N24" s="27">
        <f t="shared" ref="N24:N29" si="8">L24-O24</f>
        <v>385.5</v>
      </c>
      <c r="O24" s="41">
        <f t="shared" ref="O24:O33" si="9">M24-B24-F24</f>
        <v>44.5</v>
      </c>
      <c r="P24" s="28">
        <v>84.41</v>
      </c>
    </row>
    <row r="25" spans="1:17" ht="15.75" customHeight="1" x14ac:dyDescent="0.35">
      <c r="A25" s="26">
        <v>44797</v>
      </c>
      <c r="B25" s="9">
        <v>576.05999999999995</v>
      </c>
      <c r="C25" s="9">
        <v>317.64</v>
      </c>
      <c r="D25" s="9">
        <v>24.4</v>
      </c>
      <c r="E25" s="9"/>
      <c r="F25" s="9"/>
      <c r="G25" s="9"/>
      <c r="H25" s="9"/>
      <c r="I25" s="9"/>
      <c r="J25" s="9"/>
      <c r="K25" s="9"/>
      <c r="L25" s="9">
        <v>240</v>
      </c>
      <c r="M25" s="27">
        <f t="shared" si="7"/>
        <v>582.04</v>
      </c>
      <c r="N25" s="27">
        <f t="shared" si="8"/>
        <v>234.01999999999998</v>
      </c>
      <c r="O25" s="41">
        <f t="shared" si="9"/>
        <v>5.9800000000000182</v>
      </c>
      <c r="P25" s="28">
        <v>81.319999999999993</v>
      </c>
    </row>
    <row r="26" spans="1:17" ht="15.75" customHeight="1" x14ac:dyDescent="0.35">
      <c r="A26" s="26">
        <v>44798</v>
      </c>
      <c r="B26" s="9">
        <v>887.72</v>
      </c>
      <c r="C26" s="9">
        <v>486.8</v>
      </c>
      <c r="D26" s="9">
        <v>11.4</v>
      </c>
      <c r="E26" s="9"/>
      <c r="F26" s="9"/>
      <c r="G26" s="9"/>
      <c r="H26" s="9"/>
      <c r="I26" s="9"/>
      <c r="J26" s="9"/>
      <c r="K26" s="9"/>
      <c r="L26" s="9">
        <v>390</v>
      </c>
      <c r="M26" s="27">
        <f t="shared" si="7"/>
        <v>888.2</v>
      </c>
      <c r="N26" s="27">
        <f t="shared" si="8"/>
        <v>389.52</v>
      </c>
      <c r="O26" s="41">
        <f t="shared" si="9"/>
        <v>0.48000000000001819</v>
      </c>
      <c r="P26" s="28">
        <v>83.32</v>
      </c>
    </row>
    <row r="27" spans="1:17" ht="15.75" customHeight="1" x14ac:dyDescent="0.35">
      <c r="A27" s="26">
        <v>44799</v>
      </c>
      <c r="B27" s="9">
        <v>1189.92</v>
      </c>
      <c r="C27" s="9">
        <v>685.08</v>
      </c>
      <c r="D27" s="9">
        <v>91.64</v>
      </c>
      <c r="E27" s="9"/>
      <c r="F27" s="9"/>
      <c r="G27" s="9"/>
      <c r="H27" s="9"/>
      <c r="I27" s="9"/>
      <c r="J27" s="9"/>
      <c r="K27" s="9"/>
      <c r="L27" s="9">
        <v>410</v>
      </c>
      <c r="M27" s="27">
        <f t="shared" si="7"/>
        <v>1186.72</v>
      </c>
      <c r="N27" s="27">
        <f t="shared" si="8"/>
        <v>413.20000000000005</v>
      </c>
      <c r="O27" s="41">
        <f t="shared" si="9"/>
        <v>-3.2000000000000455</v>
      </c>
      <c r="P27" s="28">
        <v>86.72</v>
      </c>
    </row>
    <row r="28" spans="1:17" ht="15.75" customHeight="1" x14ac:dyDescent="0.35">
      <c r="A28" s="26">
        <v>44800</v>
      </c>
      <c r="B28" s="9">
        <v>1482.84</v>
      </c>
      <c r="C28" s="9">
        <v>877.86</v>
      </c>
      <c r="D28" s="9">
        <v>141</v>
      </c>
      <c r="E28" s="9"/>
      <c r="F28" s="9"/>
      <c r="G28" s="9"/>
      <c r="H28" s="9"/>
      <c r="I28" s="9"/>
      <c r="J28" s="9"/>
      <c r="K28" s="9"/>
      <c r="L28" s="9">
        <v>465</v>
      </c>
      <c r="M28" s="27">
        <f t="shared" si="7"/>
        <v>1483.8600000000001</v>
      </c>
      <c r="N28" s="27">
        <f t="shared" si="8"/>
        <v>463.97999999999979</v>
      </c>
      <c r="O28" s="41">
        <f t="shared" si="9"/>
        <v>1.0200000000002092</v>
      </c>
      <c r="P28" s="28">
        <v>85.92</v>
      </c>
    </row>
    <row r="29" spans="1:17" ht="15.75" customHeight="1" x14ac:dyDescent="0.35">
      <c r="A29" s="26">
        <v>44801</v>
      </c>
      <c r="B29" s="9">
        <v>1360.2</v>
      </c>
      <c r="C29" s="9">
        <v>693.1</v>
      </c>
      <c r="D29" s="9">
        <v>139.19999999999999</v>
      </c>
      <c r="E29" s="9"/>
      <c r="F29" s="9"/>
      <c r="G29" s="9"/>
      <c r="H29" s="9">
        <v>55.8</v>
      </c>
      <c r="I29" s="9"/>
      <c r="J29" s="9"/>
      <c r="K29" s="9"/>
      <c r="L29" s="9">
        <v>470</v>
      </c>
      <c r="M29" s="27">
        <f t="shared" si="7"/>
        <v>1358.1</v>
      </c>
      <c r="N29" s="27">
        <f t="shared" si="8"/>
        <v>472.10000000000014</v>
      </c>
      <c r="O29" s="41">
        <f t="shared" si="9"/>
        <v>-2.1000000000001364</v>
      </c>
      <c r="P29" s="28">
        <v>84.22</v>
      </c>
      <c r="Q29" s="2">
        <v>35.04</v>
      </c>
    </row>
    <row r="30" spans="1:17" ht="15.75" customHeight="1" x14ac:dyDescent="0.35">
      <c r="A30" s="26">
        <v>44802</v>
      </c>
      <c r="B30" s="9">
        <v>0</v>
      </c>
      <c r="C30" s="9">
        <v>0</v>
      </c>
      <c r="D30" s="9">
        <v>0</v>
      </c>
      <c r="E30" s="9"/>
      <c r="F30" s="9"/>
      <c r="G30" s="9"/>
      <c r="H30" s="9"/>
      <c r="I30" s="9"/>
      <c r="J30" s="9"/>
      <c r="K30" s="9"/>
      <c r="L30" s="9">
        <v>0</v>
      </c>
      <c r="M30" s="27">
        <v>0</v>
      </c>
      <c r="N30" s="27">
        <v>0</v>
      </c>
      <c r="O30" s="41">
        <f t="shared" si="9"/>
        <v>0</v>
      </c>
      <c r="P30" s="28">
        <v>0</v>
      </c>
    </row>
    <row r="31" spans="1:17" ht="15.75" customHeight="1" x14ac:dyDescent="0.35">
      <c r="A31" s="26">
        <v>44803</v>
      </c>
      <c r="B31" s="9">
        <v>811.5</v>
      </c>
      <c r="C31" s="9">
        <v>427.14</v>
      </c>
      <c r="D31" s="9">
        <v>66</v>
      </c>
      <c r="E31" s="9"/>
      <c r="F31" s="9"/>
      <c r="G31" s="9"/>
      <c r="H31" s="9"/>
      <c r="I31" s="9"/>
      <c r="J31" s="9"/>
      <c r="K31" s="9"/>
      <c r="L31" s="9">
        <v>320</v>
      </c>
      <c r="M31" s="27">
        <f t="shared" ref="M31:M33" si="10">C31+D31+E31+F31+G31+H31+I31+J31+L31+K31</f>
        <v>813.14</v>
      </c>
      <c r="N31" s="27">
        <f t="shared" ref="N31:N33" si="11">L31-O31</f>
        <v>318.36</v>
      </c>
      <c r="O31" s="41">
        <f t="shared" si="9"/>
        <v>1.6399999999999864</v>
      </c>
      <c r="P31" s="28">
        <v>82.82</v>
      </c>
    </row>
    <row r="32" spans="1:17" ht="15.75" customHeight="1" x14ac:dyDescent="0.35">
      <c r="A32" s="26">
        <v>44804</v>
      </c>
      <c r="B32" s="53">
        <v>1055.6600000000001</v>
      </c>
      <c r="C32" s="54">
        <v>573.21</v>
      </c>
      <c r="D32" s="54">
        <v>57.46</v>
      </c>
      <c r="E32" s="9"/>
      <c r="F32" s="9"/>
      <c r="G32" s="9"/>
      <c r="H32" s="9">
        <v>18.899999999999999</v>
      </c>
      <c r="I32" s="9"/>
      <c r="J32" s="9"/>
      <c r="K32" s="9"/>
      <c r="L32" s="54">
        <v>405</v>
      </c>
      <c r="M32" s="27">
        <f t="shared" si="10"/>
        <v>1054.5700000000002</v>
      </c>
      <c r="N32" s="27">
        <f t="shared" si="11"/>
        <v>406.08999999999992</v>
      </c>
      <c r="O32" s="41">
        <f t="shared" si="9"/>
        <v>-1.0899999999999181</v>
      </c>
      <c r="P32" s="33">
        <v>80.569999999999993</v>
      </c>
    </row>
    <row r="33" spans="1:19" ht="15.75" customHeight="1" x14ac:dyDescent="0.35">
      <c r="A33" s="71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27">
        <f t="shared" si="10"/>
        <v>0</v>
      </c>
      <c r="N33" s="27">
        <f t="shared" si="11"/>
        <v>0</v>
      </c>
      <c r="O33" s="41">
        <f t="shared" si="9"/>
        <v>0</v>
      </c>
      <c r="P33" s="47"/>
    </row>
    <row r="34" spans="1:19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28695.010000000002</v>
      </c>
      <c r="N34" s="72">
        <f>M34-O34</f>
        <v>28546.440000000002</v>
      </c>
      <c r="O34" s="49">
        <f>SUM(O2:O33)</f>
        <v>148.56999999999994</v>
      </c>
      <c r="P34" s="50"/>
      <c r="R34" s="51">
        <f>M34/26</f>
        <v>1103.6542307692309</v>
      </c>
      <c r="S34" s="2" t="s">
        <v>2665</v>
      </c>
    </row>
    <row r="35" spans="1:19" ht="15.75" customHeight="1" x14ac:dyDescent="0.35"/>
    <row r="36" spans="1:19" ht="15.75" customHeight="1" x14ac:dyDescent="0.35">
      <c r="N36" s="51">
        <f>SUM(N26:N33)</f>
        <v>2463.25</v>
      </c>
    </row>
    <row r="37" spans="1:19" ht="15.75" customHeight="1" x14ac:dyDescent="0.35">
      <c r="N37" s="2">
        <v>2158</v>
      </c>
    </row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00"/>
  <sheetViews>
    <sheetView workbookViewId="0">
      <pane ySplit="1" topLeftCell="A19" activePane="bottomLeft" state="frozen"/>
      <selection pane="bottomLeft" activeCell="B19" sqref="B19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44805</v>
      </c>
      <c r="B2" s="30">
        <v>800.88</v>
      </c>
      <c r="C2" s="30">
        <v>455.78</v>
      </c>
      <c r="D2" s="30">
        <v>109.3</v>
      </c>
      <c r="E2" s="30"/>
      <c r="F2" s="30"/>
      <c r="G2" s="30"/>
      <c r="H2" s="30">
        <v>18.899999999999999</v>
      </c>
      <c r="I2" s="30"/>
      <c r="J2" s="30"/>
      <c r="K2" s="30"/>
      <c r="L2" s="30">
        <v>220</v>
      </c>
      <c r="M2" s="31">
        <f t="shared" ref="M2:M3" si="0">C2+D2+E2+F2+G2+H2+I2+J2+L2</f>
        <v>803.9799999999999</v>
      </c>
      <c r="N2" s="31">
        <f t="shared" ref="N2:N5" si="1">L2-O2</f>
        <v>216.90000000000009</v>
      </c>
      <c r="O2" s="32">
        <f t="shared" ref="O2:O12" si="2">M2-B2-F2</f>
        <v>3.0999999999999091</v>
      </c>
      <c r="P2" s="33">
        <v>82.57</v>
      </c>
    </row>
    <row r="3" spans="1:18" ht="15.75" customHeight="1" x14ac:dyDescent="0.35">
      <c r="A3" s="26">
        <v>44806</v>
      </c>
      <c r="B3" s="9">
        <v>1035.27</v>
      </c>
      <c r="C3" s="9">
        <v>554.47</v>
      </c>
      <c r="D3" s="9">
        <v>102.6</v>
      </c>
      <c r="E3" s="9"/>
      <c r="F3" s="9"/>
      <c r="G3" s="9"/>
      <c r="H3" s="9"/>
      <c r="I3" s="9"/>
      <c r="J3" s="9"/>
      <c r="K3" s="9"/>
      <c r="L3" s="9">
        <v>380</v>
      </c>
      <c r="M3" s="27">
        <f t="shared" si="0"/>
        <v>1037.0700000000002</v>
      </c>
      <c r="N3" s="27">
        <f t="shared" si="1"/>
        <v>378.19999999999982</v>
      </c>
      <c r="O3" s="70">
        <f t="shared" si="2"/>
        <v>1.8000000000001819</v>
      </c>
      <c r="P3" s="28">
        <v>82.07</v>
      </c>
      <c r="Q3" s="56"/>
    </row>
    <row r="4" spans="1:18" ht="15.75" customHeight="1" x14ac:dyDescent="0.35">
      <c r="A4" s="26">
        <v>44807</v>
      </c>
      <c r="B4" s="9">
        <v>1138.0999999999999</v>
      </c>
      <c r="C4" s="9">
        <v>785.76</v>
      </c>
      <c r="D4" s="9">
        <v>58.36</v>
      </c>
      <c r="E4" s="9"/>
      <c r="F4" s="9"/>
      <c r="G4" s="9"/>
      <c r="H4" s="9"/>
      <c r="I4" s="9"/>
      <c r="J4" s="9"/>
      <c r="K4" s="9"/>
      <c r="L4" s="9">
        <v>275</v>
      </c>
      <c r="M4" s="27">
        <f t="shared" ref="M4:M5" si="3">C4+D4+E4+F4+G4+H4+I4+J4+L4+K4</f>
        <v>1119.1199999999999</v>
      </c>
      <c r="N4" s="27">
        <f t="shared" si="1"/>
        <v>293.98</v>
      </c>
      <c r="O4" s="41">
        <f t="shared" si="2"/>
        <v>-18.980000000000018</v>
      </c>
      <c r="P4" s="28">
        <v>83.07</v>
      </c>
    </row>
    <row r="5" spans="1:18" ht="15.75" customHeight="1" x14ac:dyDescent="0.35">
      <c r="A5" s="26">
        <v>44808</v>
      </c>
      <c r="B5" s="9">
        <v>1004.64</v>
      </c>
      <c r="C5" s="9">
        <v>601.44000000000005</v>
      </c>
      <c r="D5" s="9">
        <v>65.5</v>
      </c>
      <c r="E5" s="9"/>
      <c r="F5" s="9"/>
      <c r="G5" s="9"/>
      <c r="H5" s="9">
        <v>37.799999999999997</v>
      </c>
      <c r="I5" s="9"/>
      <c r="J5" s="9"/>
      <c r="K5" s="9"/>
      <c r="L5" s="9">
        <v>320.04000000000002</v>
      </c>
      <c r="M5" s="27">
        <f t="shared" si="3"/>
        <v>1024.78</v>
      </c>
      <c r="N5" s="27">
        <f t="shared" si="1"/>
        <v>299.90000000000003</v>
      </c>
      <c r="O5" s="41">
        <f t="shared" si="2"/>
        <v>20.139999999999986</v>
      </c>
      <c r="P5" s="28">
        <v>83.11</v>
      </c>
    </row>
    <row r="6" spans="1:18" ht="15.75" customHeight="1" x14ac:dyDescent="0.35">
      <c r="A6" s="26">
        <v>44809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27">
        <v>0</v>
      </c>
      <c r="N6" s="27">
        <v>0</v>
      </c>
      <c r="O6" s="41">
        <f t="shared" si="2"/>
        <v>0</v>
      </c>
      <c r="P6" s="28"/>
    </row>
    <row r="7" spans="1:18" ht="15.75" customHeight="1" x14ac:dyDescent="0.35">
      <c r="A7" s="26">
        <v>44810</v>
      </c>
      <c r="B7" s="9">
        <v>727.22</v>
      </c>
      <c r="C7" s="9">
        <v>410.74</v>
      </c>
      <c r="D7" s="9">
        <v>94.26</v>
      </c>
      <c r="E7" s="9"/>
      <c r="F7" s="9"/>
      <c r="G7" s="9"/>
      <c r="H7" s="9"/>
      <c r="I7" s="9"/>
      <c r="J7" s="9"/>
      <c r="K7" s="9"/>
      <c r="L7" s="9">
        <v>225</v>
      </c>
      <c r="M7" s="27">
        <f t="shared" ref="M7:M12" si="4">C7+D7+E7+F7+G7+H7+I7+J7+L7+K7</f>
        <v>730</v>
      </c>
      <c r="N7" s="27">
        <f t="shared" ref="N7:N12" si="5">L7-O7</f>
        <v>222.22000000000003</v>
      </c>
      <c r="O7" s="41">
        <f t="shared" si="2"/>
        <v>2.7799999999999727</v>
      </c>
      <c r="P7" s="28">
        <v>80.66</v>
      </c>
    </row>
    <row r="8" spans="1:18" ht="15.75" customHeight="1" x14ac:dyDescent="0.35">
      <c r="A8" s="26">
        <v>44811</v>
      </c>
      <c r="B8" s="9">
        <v>528.63</v>
      </c>
      <c r="C8" s="9">
        <v>260.77999999999997</v>
      </c>
      <c r="D8" s="9">
        <v>24.9</v>
      </c>
      <c r="E8" s="9"/>
      <c r="F8" s="9"/>
      <c r="G8" s="9"/>
      <c r="H8" s="9">
        <v>18.899999999999999</v>
      </c>
      <c r="I8" s="9"/>
      <c r="J8" s="9"/>
      <c r="K8" s="9"/>
      <c r="L8" s="9">
        <v>225</v>
      </c>
      <c r="M8" s="27">
        <f t="shared" si="4"/>
        <v>529.57999999999993</v>
      </c>
      <c r="N8" s="27">
        <f t="shared" si="5"/>
        <v>224.05000000000007</v>
      </c>
      <c r="O8" s="41">
        <f t="shared" si="2"/>
        <v>0.94999999999993179</v>
      </c>
      <c r="P8" s="28">
        <v>80.61</v>
      </c>
    </row>
    <row r="9" spans="1:18" ht="15.75" customHeight="1" x14ac:dyDescent="0.35">
      <c r="A9" s="26">
        <v>44812</v>
      </c>
      <c r="B9" s="9">
        <v>625.4</v>
      </c>
      <c r="C9" s="9">
        <v>345.94</v>
      </c>
      <c r="D9" s="9">
        <v>47.46</v>
      </c>
      <c r="E9" s="9"/>
      <c r="F9" s="9"/>
      <c r="G9" s="9"/>
      <c r="H9" s="9">
        <v>27.9</v>
      </c>
      <c r="I9" s="9"/>
      <c r="J9" s="9"/>
      <c r="K9" s="9"/>
      <c r="L9" s="9">
        <v>205</v>
      </c>
      <c r="M9" s="27">
        <f t="shared" si="4"/>
        <v>626.29999999999995</v>
      </c>
      <c r="N9" s="27">
        <f t="shared" si="5"/>
        <v>204.10000000000002</v>
      </c>
      <c r="O9" s="41">
        <f t="shared" si="2"/>
        <v>0.89999999999997726</v>
      </c>
      <c r="P9" s="28">
        <v>80.209999999999994</v>
      </c>
    </row>
    <row r="10" spans="1:18" ht="15.75" customHeight="1" x14ac:dyDescent="0.35">
      <c r="A10" s="26">
        <v>44813</v>
      </c>
      <c r="B10" s="9">
        <v>856.66</v>
      </c>
      <c r="C10" s="9">
        <v>483.64</v>
      </c>
      <c r="D10" s="9">
        <v>53.7</v>
      </c>
      <c r="E10" s="9"/>
      <c r="F10" s="9"/>
      <c r="G10" s="9"/>
      <c r="H10" s="9"/>
      <c r="I10" s="9"/>
      <c r="J10" s="9"/>
      <c r="K10" s="9"/>
      <c r="L10" s="9">
        <v>320.49</v>
      </c>
      <c r="M10" s="27">
        <f t="shared" si="4"/>
        <v>857.83</v>
      </c>
      <c r="N10" s="27">
        <f t="shared" si="5"/>
        <v>319.31999999999994</v>
      </c>
      <c r="O10" s="41">
        <f t="shared" si="2"/>
        <v>1.1700000000000728</v>
      </c>
      <c r="P10" s="28"/>
    </row>
    <row r="11" spans="1:18" ht="15.75" customHeight="1" x14ac:dyDescent="0.35">
      <c r="A11" s="26">
        <v>44814</v>
      </c>
      <c r="B11" s="9">
        <v>1386.78</v>
      </c>
      <c r="C11" s="9">
        <v>787.48</v>
      </c>
      <c r="D11" s="9">
        <v>94.5</v>
      </c>
      <c r="E11" s="9"/>
      <c r="F11" s="9"/>
      <c r="G11" s="9"/>
      <c r="H11" s="9"/>
      <c r="I11" s="9"/>
      <c r="J11" s="9"/>
      <c r="K11" s="9"/>
      <c r="L11" s="9">
        <v>545</v>
      </c>
      <c r="M11" s="27">
        <f t="shared" si="4"/>
        <v>1426.98</v>
      </c>
      <c r="N11" s="27">
        <f t="shared" si="5"/>
        <v>504.79999999999995</v>
      </c>
      <c r="O11" s="41">
        <f t="shared" si="2"/>
        <v>40.200000000000045</v>
      </c>
      <c r="P11" s="28">
        <v>84.1</v>
      </c>
    </row>
    <row r="12" spans="1:18" ht="15.75" customHeight="1" x14ac:dyDescent="0.35">
      <c r="A12" s="26">
        <v>44815</v>
      </c>
      <c r="B12" s="9">
        <v>1632.97</v>
      </c>
      <c r="C12" s="9">
        <v>967.74</v>
      </c>
      <c r="D12" s="9">
        <v>89.3</v>
      </c>
      <c r="E12" s="9"/>
      <c r="F12" s="9"/>
      <c r="G12" s="9"/>
      <c r="H12" s="9"/>
      <c r="I12" s="9"/>
      <c r="J12" s="9"/>
      <c r="K12" s="9"/>
      <c r="L12" s="57">
        <v>611.65</v>
      </c>
      <c r="M12" s="27">
        <f t="shared" si="4"/>
        <v>1668.69</v>
      </c>
      <c r="N12" s="27">
        <f t="shared" si="5"/>
        <v>575.92999999999995</v>
      </c>
      <c r="O12" s="41">
        <f t="shared" si="2"/>
        <v>35.720000000000027</v>
      </c>
      <c r="P12" s="28">
        <v>85.75</v>
      </c>
      <c r="Q12" s="56"/>
    </row>
    <row r="13" spans="1:18" ht="15.75" customHeight="1" x14ac:dyDescent="0.35">
      <c r="A13" s="26">
        <v>44816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27">
        <v>0</v>
      </c>
      <c r="N13" s="27">
        <v>0</v>
      </c>
      <c r="O13" s="41">
        <v>0</v>
      </c>
      <c r="P13" s="28">
        <v>0</v>
      </c>
    </row>
    <row r="14" spans="1:18" ht="15.75" customHeight="1" x14ac:dyDescent="0.35">
      <c r="A14" s="26">
        <v>44817</v>
      </c>
      <c r="B14" s="9">
        <v>304.47000000000003</v>
      </c>
      <c r="C14" s="9">
        <v>211.57</v>
      </c>
      <c r="D14" s="9">
        <v>22.8</v>
      </c>
      <c r="E14" s="9"/>
      <c r="F14" s="9"/>
      <c r="G14" s="9"/>
      <c r="H14" s="9"/>
      <c r="I14" s="9"/>
      <c r="J14" s="9"/>
      <c r="K14" s="9"/>
      <c r="L14" s="9">
        <v>75</v>
      </c>
      <c r="M14" s="27">
        <f t="shared" ref="M14:M19" si="6">C14+D14+E14+F14+G14+H14+I14+J14+L14+K14</f>
        <v>309.37</v>
      </c>
      <c r="N14" s="27">
        <f t="shared" ref="N14:N33" si="7">L14-O14</f>
        <v>70.100000000000023</v>
      </c>
      <c r="O14" s="41">
        <f t="shared" ref="O14:O33" si="8">M14-B14-F14</f>
        <v>4.8999999999999773</v>
      </c>
      <c r="P14" s="28">
        <v>83.05</v>
      </c>
    </row>
    <row r="15" spans="1:18" ht="15.75" customHeight="1" x14ac:dyDescent="0.35">
      <c r="A15" s="26">
        <v>44818</v>
      </c>
      <c r="B15" s="9">
        <v>400.17</v>
      </c>
      <c r="C15" s="9">
        <v>182.15</v>
      </c>
      <c r="D15" s="9">
        <v>20.2</v>
      </c>
      <c r="E15" s="9"/>
      <c r="F15" s="9"/>
      <c r="G15" s="9"/>
      <c r="H15" s="9"/>
      <c r="I15" s="9"/>
      <c r="J15" s="9"/>
      <c r="K15" s="9"/>
      <c r="L15" s="9">
        <v>200</v>
      </c>
      <c r="M15" s="27">
        <f t="shared" si="6"/>
        <v>402.35</v>
      </c>
      <c r="N15" s="27">
        <f t="shared" si="7"/>
        <v>197.82</v>
      </c>
      <c r="O15" s="41">
        <f t="shared" si="8"/>
        <v>2.1800000000000068</v>
      </c>
      <c r="P15" s="28">
        <v>83.94</v>
      </c>
    </row>
    <row r="16" spans="1:18" ht="15.75" customHeight="1" x14ac:dyDescent="0.35">
      <c r="A16" s="26">
        <v>44819</v>
      </c>
      <c r="B16" s="9">
        <v>886.85</v>
      </c>
      <c r="C16" s="9">
        <v>152.51</v>
      </c>
      <c r="D16" s="9">
        <v>24.5</v>
      </c>
      <c r="E16" s="9"/>
      <c r="F16" s="9"/>
      <c r="G16" s="9"/>
      <c r="H16" s="9"/>
      <c r="I16" s="9"/>
      <c r="J16" s="9"/>
      <c r="K16" s="9">
        <v>544</v>
      </c>
      <c r="L16" s="9">
        <v>165</v>
      </c>
      <c r="M16" s="27">
        <f t="shared" si="6"/>
        <v>886.01</v>
      </c>
      <c r="N16" s="27">
        <f t="shared" si="7"/>
        <v>165.84000000000003</v>
      </c>
      <c r="O16" s="41">
        <f t="shared" si="8"/>
        <v>-0.84000000000003183</v>
      </c>
      <c r="P16" s="28">
        <v>83.26</v>
      </c>
    </row>
    <row r="17" spans="1:16" ht="15.75" customHeight="1" x14ac:dyDescent="0.35">
      <c r="A17" s="26">
        <v>44820</v>
      </c>
      <c r="B17" s="9">
        <v>967.99</v>
      </c>
      <c r="C17" s="9">
        <v>613.75</v>
      </c>
      <c r="D17" s="9">
        <v>40.24</v>
      </c>
      <c r="E17" s="9"/>
      <c r="F17" s="9"/>
      <c r="G17" s="9"/>
      <c r="H17" s="9"/>
      <c r="I17" s="9"/>
      <c r="J17" s="9"/>
      <c r="K17" s="9"/>
      <c r="L17" s="9">
        <v>315.3</v>
      </c>
      <c r="M17" s="27">
        <f t="shared" si="6"/>
        <v>969.29</v>
      </c>
      <c r="N17" s="27">
        <f t="shared" si="7"/>
        <v>314.00000000000006</v>
      </c>
      <c r="O17" s="41">
        <f t="shared" si="8"/>
        <v>1.2999999999999545</v>
      </c>
      <c r="P17" s="28">
        <v>78.56</v>
      </c>
    </row>
    <row r="18" spans="1:16" ht="15.75" customHeight="1" x14ac:dyDescent="0.35">
      <c r="A18" s="26">
        <v>44821</v>
      </c>
      <c r="B18" s="9">
        <v>1444.28</v>
      </c>
      <c r="C18" s="9">
        <v>811.98</v>
      </c>
      <c r="D18" s="9">
        <v>88.4</v>
      </c>
      <c r="E18" s="9"/>
      <c r="F18" s="9"/>
      <c r="G18" s="9"/>
      <c r="H18" s="9"/>
      <c r="I18" s="9"/>
      <c r="J18" s="9"/>
      <c r="K18" s="9"/>
      <c r="L18" s="9">
        <v>545</v>
      </c>
      <c r="M18" s="27">
        <f t="shared" si="6"/>
        <v>1445.38</v>
      </c>
      <c r="N18" s="27">
        <f t="shared" si="7"/>
        <v>543.89999999999986</v>
      </c>
      <c r="O18" s="41">
        <f t="shared" si="8"/>
        <v>1.1000000000001364</v>
      </c>
      <c r="P18" s="28">
        <v>80.959999999999994</v>
      </c>
    </row>
    <row r="19" spans="1:16" ht="15.75" customHeight="1" x14ac:dyDescent="0.35">
      <c r="A19" s="26">
        <v>44822</v>
      </c>
      <c r="B19" s="9">
        <v>1811.36</v>
      </c>
      <c r="C19" s="9">
        <v>1080.9000000000001</v>
      </c>
      <c r="D19" s="9">
        <v>136.66</v>
      </c>
      <c r="E19" s="9"/>
      <c r="F19" s="9"/>
      <c r="G19" s="9"/>
      <c r="H19" s="9"/>
      <c r="I19" s="9"/>
      <c r="J19" s="9"/>
      <c r="K19" s="9"/>
      <c r="L19" s="9">
        <v>590</v>
      </c>
      <c r="M19" s="27">
        <f t="shared" si="6"/>
        <v>1807.5600000000002</v>
      </c>
      <c r="N19" s="27">
        <f t="shared" si="7"/>
        <v>593.79999999999973</v>
      </c>
      <c r="O19" s="41">
        <f t="shared" si="8"/>
        <v>-3.7999999999997272</v>
      </c>
      <c r="P19" s="28">
        <v>73.66</v>
      </c>
    </row>
    <row r="20" spans="1:16" ht="15.75" customHeight="1" x14ac:dyDescent="0.35">
      <c r="A20" s="26">
        <v>44823</v>
      </c>
      <c r="B20" s="9">
        <v>0</v>
      </c>
      <c r="C20" s="9">
        <v>0</v>
      </c>
      <c r="D20" s="9">
        <v>0</v>
      </c>
      <c r="E20" s="9">
        <v>0</v>
      </c>
      <c r="F20" s="9"/>
      <c r="G20" s="9"/>
      <c r="H20" s="9"/>
      <c r="I20" s="9"/>
      <c r="J20" s="9"/>
      <c r="K20" s="9"/>
      <c r="L20" s="9">
        <v>0</v>
      </c>
      <c r="M20" s="27">
        <v>0</v>
      </c>
      <c r="N20" s="27">
        <f t="shared" si="7"/>
        <v>0</v>
      </c>
      <c r="O20" s="41">
        <f t="shared" si="8"/>
        <v>0</v>
      </c>
      <c r="P20" s="28"/>
    </row>
    <row r="21" spans="1:16" ht="15.75" customHeight="1" x14ac:dyDescent="0.35">
      <c r="A21" s="26">
        <v>44824</v>
      </c>
      <c r="B21" s="9">
        <v>663.66</v>
      </c>
      <c r="C21" s="9">
        <v>313.3</v>
      </c>
      <c r="D21" s="9">
        <v>35.4</v>
      </c>
      <c r="E21" s="9"/>
      <c r="F21" s="9"/>
      <c r="G21" s="9"/>
      <c r="H21" s="9"/>
      <c r="I21" s="9"/>
      <c r="J21" s="9"/>
      <c r="K21" s="9"/>
      <c r="L21" s="9">
        <v>315</v>
      </c>
      <c r="M21" s="27">
        <f t="shared" ref="M21:M26" si="9">C21+D21+E21+F21+G21+H21+I21+J21+L21+K21</f>
        <v>663.7</v>
      </c>
      <c r="N21" s="27">
        <f t="shared" si="7"/>
        <v>314.95999999999992</v>
      </c>
      <c r="O21" s="41">
        <f t="shared" si="8"/>
        <v>4.0000000000077307E-2</v>
      </c>
      <c r="P21" s="28">
        <v>73.64</v>
      </c>
    </row>
    <row r="22" spans="1:16" ht="15.75" customHeight="1" x14ac:dyDescent="0.35">
      <c r="A22" s="26">
        <v>44825</v>
      </c>
      <c r="B22" s="9">
        <v>604.84</v>
      </c>
      <c r="C22" s="9">
        <v>359.46</v>
      </c>
      <c r="D22" s="9">
        <v>43.8</v>
      </c>
      <c r="E22" s="9"/>
      <c r="F22" s="9"/>
      <c r="G22" s="9"/>
      <c r="H22" s="9">
        <v>18.899999999999999</v>
      </c>
      <c r="I22" s="9"/>
      <c r="J22" s="9"/>
      <c r="K22" s="9"/>
      <c r="L22" s="9">
        <v>185</v>
      </c>
      <c r="M22" s="27">
        <f t="shared" si="9"/>
        <v>607.16</v>
      </c>
      <c r="N22" s="27">
        <f t="shared" si="7"/>
        <v>182.68000000000006</v>
      </c>
      <c r="O22" s="41">
        <f t="shared" si="8"/>
        <v>2.3199999999999363</v>
      </c>
      <c r="P22" s="28">
        <v>73.290000000000006</v>
      </c>
    </row>
    <row r="23" spans="1:16" ht="15.75" customHeight="1" x14ac:dyDescent="0.35">
      <c r="A23" s="26">
        <v>44826</v>
      </c>
      <c r="B23" s="9">
        <v>634.63</v>
      </c>
      <c r="C23" s="9">
        <v>337.75</v>
      </c>
      <c r="D23" s="9">
        <v>46.3</v>
      </c>
      <c r="E23" s="9"/>
      <c r="F23" s="9"/>
      <c r="G23" s="9"/>
      <c r="H23" s="9"/>
      <c r="I23" s="9"/>
      <c r="J23" s="9"/>
      <c r="K23" s="9"/>
      <c r="L23" s="9">
        <v>250</v>
      </c>
      <c r="M23" s="27">
        <f t="shared" si="9"/>
        <v>634.04999999999995</v>
      </c>
      <c r="N23" s="27">
        <f t="shared" si="7"/>
        <v>250.58000000000004</v>
      </c>
      <c r="O23" s="41">
        <f t="shared" si="8"/>
        <v>-0.58000000000004093</v>
      </c>
      <c r="P23" s="28">
        <v>72.040000000000006</v>
      </c>
    </row>
    <row r="24" spans="1:16" ht="15.75" customHeight="1" x14ac:dyDescent="0.35">
      <c r="A24" s="26">
        <v>44827</v>
      </c>
      <c r="B24" s="9">
        <v>847.18</v>
      </c>
      <c r="C24" s="9">
        <v>594.48</v>
      </c>
      <c r="D24" s="9">
        <v>59.4</v>
      </c>
      <c r="E24" s="9"/>
      <c r="F24" s="9"/>
      <c r="G24" s="9"/>
      <c r="H24" s="9"/>
      <c r="I24" s="9"/>
      <c r="J24" s="9"/>
      <c r="K24" s="9"/>
      <c r="L24" s="9">
        <v>204.36</v>
      </c>
      <c r="M24" s="27">
        <f t="shared" si="9"/>
        <v>858.24</v>
      </c>
      <c r="N24" s="27">
        <f t="shared" si="7"/>
        <v>193.29999999999995</v>
      </c>
      <c r="O24" s="41">
        <f t="shared" si="8"/>
        <v>11.060000000000059</v>
      </c>
      <c r="P24" s="28">
        <v>71.040000000000006</v>
      </c>
    </row>
    <row r="25" spans="1:16" ht="15.75" customHeight="1" x14ac:dyDescent="0.35">
      <c r="A25" s="26">
        <v>44828</v>
      </c>
      <c r="B25" s="9">
        <v>1289.5999999999999</v>
      </c>
      <c r="C25" s="9">
        <v>840.1</v>
      </c>
      <c r="D25" s="9">
        <v>107.1</v>
      </c>
      <c r="E25" s="9">
        <v>3.85</v>
      </c>
      <c r="F25" s="9"/>
      <c r="G25" s="9"/>
      <c r="H25" s="9"/>
      <c r="I25" s="9"/>
      <c r="J25" s="9"/>
      <c r="K25" s="9"/>
      <c r="L25" s="9">
        <f>329.83+15</f>
        <v>344.83</v>
      </c>
      <c r="M25" s="27">
        <f t="shared" si="9"/>
        <v>1295.8800000000001</v>
      </c>
      <c r="N25" s="27">
        <f t="shared" si="7"/>
        <v>338.54999999999978</v>
      </c>
      <c r="O25" s="41">
        <f t="shared" si="8"/>
        <v>6.2800000000002001</v>
      </c>
      <c r="P25" s="28">
        <v>80.87</v>
      </c>
    </row>
    <row r="26" spans="1:16" ht="15.75" customHeight="1" x14ac:dyDescent="0.35">
      <c r="A26" s="26">
        <v>44829</v>
      </c>
      <c r="B26" s="9">
        <v>1208.78</v>
      </c>
      <c r="C26" s="9">
        <v>599.66</v>
      </c>
      <c r="D26" s="9">
        <v>170.63</v>
      </c>
      <c r="E26" s="9"/>
      <c r="F26" s="9"/>
      <c r="G26" s="9"/>
      <c r="H26" s="9">
        <f>29+18.9</f>
        <v>47.9</v>
      </c>
      <c r="I26" s="9"/>
      <c r="J26" s="9">
        <v>18.899999999999999</v>
      </c>
      <c r="K26" s="9"/>
      <c r="L26" s="9">
        <v>410.79</v>
      </c>
      <c r="M26" s="27">
        <f t="shared" si="9"/>
        <v>1247.8799999999999</v>
      </c>
      <c r="N26" s="27">
        <f t="shared" si="7"/>
        <v>371.69000000000011</v>
      </c>
      <c r="O26" s="41">
        <f t="shared" si="8"/>
        <v>39.099999999999909</v>
      </c>
      <c r="P26" s="28">
        <v>76.66</v>
      </c>
    </row>
    <row r="27" spans="1:16" ht="15.75" customHeight="1" x14ac:dyDescent="0.35">
      <c r="A27" s="26">
        <v>44830</v>
      </c>
      <c r="B27" s="9">
        <v>0</v>
      </c>
      <c r="C27" s="9">
        <v>0</v>
      </c>
      <c r="D27" s="9">
        <v>0</v>
      </c>
      <c r="E27" s="9"/>
      <c r="F27" s="9"/>
      <c r="G27" s="9"/>
      <c r="H27" s="9"/>
      <c r="I27" s="9"/>
      <c r="J27" s="9"/>
      <c r="K27" s="9"/>
      <c r="L27" s="9">
        <v>0</v>
      </c>
      <c r="M27" s="27">
        <v>0</v>
      </c>
      <c r="N27" s="27">
        <f t="shared" si="7"/>
        <v>0</v>
      </c>
      <c r="O27" s="41">
        <f t="shared" si="8"/>
        <v>0</v>
      </c>
      <c r="P27" s="28">
        <v>0</v>
      </c>
    </row>
    <row r="28" spans="1:16" ht="15.75" customHeight="1" x14ac:dyDescent="0.35">
      <c r="A28" s="26">
        <v>44831</v>
      </c>
      <c r="B28" s="9">
        <v>443.48</v>
      </c>
      <c r="C28" s="9">
        <v>279.5</v>
      </c>
      <c r="D28" s="9">
        <v>64.48</v>
      </c>
      <c r="E28" s="9"/>
      <c r="F28" s="9"/>
      <c r="G28" s="9"/>
      <c r="H28" s="9"/>
      <c r="I28" s="9"/>
      <c r="J28" s="9"/>
      <c r="K28" s="9"/>
      <c r="L28" s="9">
        <v>100</v>
      </c>
      <c r="M28" s="27">
        <f t="shared" ref="M28:M33" si="10">C28+D28+E28+F28+G28+H28+I28+J28+L28+K28</f>
        <v>443.98</v>
      </c>
      <c r="N28" s="27">
        <f t="shared" si="7"/>
        <v>99.5</v>
      </c>
      <c r="O28" s="41">
        <f t="shared" si="8"/>
        <v>0.5</v>
      </c>
      <c r="P28" s="28">
        <v>76.16</v>
      </c>
    </row>
    <row r="29" spans="1:16" ht="15.75" customHeight="1" x14ac:dyDescent="0.35">
      <c r="A29" s="26">
        <v>44832</v>
      </c>
      <c r="B29" s="9">
        <v>300.5</v>
      </c>
      <c r="C29" s="9">
        <v>202.4</v>
      </c>
      <c r="D29" s="9">
        <v>26</v>
      </c>
      <c r="E29" s="9"/>
      <c r="F29" s="9"/>
      <c r="G29" s="9"/>
      <c r="H29" s="9"/>
      <c r="I29" s="9"/>
      <c r="J29" s="9"/>
      <c r="K29" s="9"/>
      <c r="L29" s="9">
        <v>70</v>
      </c>
      <c r="M29" s="27">
        <f t="shared" si="10"/>
        <v>298.39999999999998</v>
      </c>
      <c r="N29" s="27">
        <f t="shared" si="7"/>
        <v>72.100000000000023</v>
      </c>
      <c r="O29" s="41">
        <f t="shared" si="8"/>
        <v>-2.1000000000000227</v>
      </c>
      <c r="P29" s="28">
        <v>75.36</v>
      </c>
    </row>
    <row r="30" spans="1:16" ht="15.75" customHeight="1" x14ac:dyDescent="0.35">
      <c r="A30" s="26">
        <v>44833</v>
      </c>
      <c r="B30" s="9">
        <v>201.06</v>
      </c>
      <c r="C30" s="9">
        <v>64.58</v>
      </c>
      <c r="D30" s="9">
        <v>40</v>
      </c>
      <c r="E30" s="9"/>
      <c r="F30" s="9"/>
      <c r="G30" s="9"/>
      <c r="H30" s="9"/>
      <c r="I30" s="9"/>
      <c r="J30" s="9"/>
      <c r="K30" s="9"/>
      <c r="L30" s="9">
        <v>100</v>
      </c>
      <c r="M30" s="27">
        <f t="shared" si="10"/>
        <v>204.57999999999998</v>
      </c>
      <c r="N30" s="27">
        <f t="shared" si="7"/>
        <v>96.480000000000018</v>
      </c>
      <c r="O30" s="41">
        <f t="shared" si="8"/>
        <v>3.5199999999999818</v>
      </c>
      <c r="P30" s="28">
        <v>75.36</v>
      </c>
    </row>
    <row r="31" spans="1:16" ht="15.75" customHeight="1" x14ac:dyDescent="0.35">
      <c r="A31" s="26">
        <v>44834</v>
      </c>
      <c r="B31" s="9">
        <v>420</v>
      </c>
      <c r="C31" s="9">
        <v>279.5</v>
      </c>
      <c r="D31" s="9">
        <v>41.2</v>
      </c>
      <c r="E31" s="9"/>
      <c r="F31" s="9"/>
      <c r="G31" s="9"/>
      <c r="H31" s="9">
        <v>18.899999999999999</v>
      </c>
      <c r="I31" s="9"/>
      <c r="J31" s="9"/>
      <c r="K31" s="9"/>
      <c r="L31" s="9">
        <v>80</v>
      </c>
      <c r="M31" s="27">
        <f t="shared" si="10"/>
        <v>419.59999999999997</v>
      </c>
      <c r="N31" s="27">
        <f t="shared" si="7"/>
        <v>80.400000000000034</v>
      </c>
      <c r="O31" s="41">
        <f t="shared" si="8"/>
        <v>-0.40000000000003411</v>
      </c>
      <c r="P31" s="28">
        <v>74.77</v>
      </c>
    </row>
    <row r="32" spans="1:16" ht="15.75" customHeight="1" x14ac:dyDescent="0.35">
      <c r="A32" s="26"/>
      <c r="B32" s="53"/>
      <c r="C32" s="54"/>
      <c r="D32" s="54"/>
      <c r="E32" s="9"/>
      <c r="F32" s="9"/>
      <c r="G32" s="9"/>
      <c r="H32" s="9"/>
      <c r="I32" s="9"/>
      <c r="J32" s="9"/>
      <c r="K32" s="9"/>
      <c r="L32" s="54"/>
      <c r="M32" s="27">
        <f t="shared" si="10"/>
        <v>0</v>
      </c>
      <c r="N32" s="27">
        <f t="shared" si="7"/>
        <v>0</v>
      </c>
      <c r="O32" s="41">
        <f t="shared" si="8"/>
        <v>0</v>
      </c>
      <c r="P32" s="33"/>
    </row>
    <row r="33" spans="1:18" ht="15.75" customHeight="1" x14ac:dyDescent="0.35">
      <c r="A33" s="71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27">
        <f t="shared" si="10"/>
        <v>0</v>
      </c>
      <c r="N33" s="27">
        <f t="shared" si="7"/>
        <v>0</v>
      </c>
      <c r="O33" s="41">
        <f t="shared" si="8"/>
        <v>0</v>
      </c>
      <c r="P33" s="47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22317.760000000009</v>
      </c>
      <c r="N34" s="72">
        <f>M34-O34</f>
        <v>22165.400000000009</v>
      </c>
      <c r="O34" s="49">
        <f>SUM(O2:O33)</f>
        <v>152.36000000000047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000"/>
  <sheetViews>
    <sheetView workbookViewId="0">
      <pane ySplit="1" topLeftCell="A22" activePane="bottomLeft" state="frozen"/>
      <selection pane="bottomLeft" activeCell="L4" sqref="L4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44866</v>
      </c>
      <c r="B2" s="30">
        <v>770.28</v>
      </c>
      <c r="C2" s="30">
        <v>555.58000000000004</v>
      </c>
      <c r="D2" s="30">
        <v>65.8</v>
      </c>
      <c r="E2" s="30"/>
      <c r="F2" s="30"/>
      <c r="G2" s="30"/>
      <c r="H2" s="30"/>
      <c r="I2" s="30"/>
      <c r="J2" s="30"/>
      <c r="K2" s="30"/>
      <c r="L2" s="30">
        <v>150</v>
      </c>
      <c r="M2" s="31">
        <f t="shared" ref="M2:M3" si="0">C2+D2+E2+F2+G2+H2+I2+J2+L2</f>
        <v>771.38</v>
      </c>
      <c r="N2" s="27">
        <f t="shared" ref="N2:N7" si="1">L2-O2</f>
        <v>148.89999999999998</v>
      </c>
      <c r="O2" s="32">
        <f t="shared" ref="O2:O7" si="2">M2-B2-F2</f>
        <v>1.1000000000000227</v>
      </c>
      <c r="P2" s="33">
        <v>73.33</v>
      </c>
    </row>
    <row r="3" spans="1:18" ht="15.75" customHeight="1" x14ac:dyDescent="0.35">
      <c r="A3" s="26">
        <v>44867</v>
      </c>
      <c r="B3" s="9">
        <v>276.18</v>
      </c>
      <c r="C3" s="9">
        <v>126.46</v>
      </c>
      <c r="D3" s="9">
        <v>35.979999999999997</v>
      </c>
      <c r="E3" s="9"/>
      <c r="F3" s="9"/>
      <c r="G3" s="9"/>
      <c r="H3" s="9"/>
      <c r="I3" s="9"/>
      <c r="J3" s="9"/>
      <c r="K3" s="9"/>
      <c r="L3" s="9">
        <v>115</v>
      </c>
      <c r="M3" s="27">
        <f t="shared" si="0"/>
        <v>277.44</v>
      </c>
      <c r="N3" s="27">
        <f t="shared" si="1"/>
        <v>113.74000000000001</v>
      </c>
      <c r="O3" s="70">
        <f t="shared" si="2"/>
        <v>1.2599999999999909</v>
      </c>
      <c r="P3" s="28">
        <v>73.89</v>
      </c>
      <c r="Q3" s="56"/>
    </row>
    <row r="4" spans="1:18" ht="15.75" customHeight="1" x14ac:dyDescent="0.35">
      <c r="A4" s="26">
        <v>44868</v>
      </c>
      <c r="B4" s="9">
        <v>279.3</v>
      </c>
      <c r="C4" s="9">
        <v>202.3</v>
      </c>
      <c r="D4" s="9">
        <v>12.4</v>
      </c>
      <c r="E4" s="9"/>
      <c r="F4" s="9"/>
      <c r="G4" s="9"/>
      <c r="H4" s="9">
        <v>20.9</v>
      </c>
      <c r="I4" s="9"/>
      <c r="J4" s="9"/>
      <c r="K4" s="9"/>
      <c r="L4" s="9">
        <v>50</v>
      </c>
      <c r="M4" s="27">
        <f t="shared" ref="M4:M14" si="3">C4+D4+E4+F4+G4+H4+I4+J4+L4+K4</f>
        <v>285.60000000000002</v>
      </c>
      <c r="N4" s="27">
        <f t="shared" si="1"/>
        <v>43.699999999999989</v>
      </c>
      <c r="O4" s="41">
        <f t="shared" si="2"/>
        <v>6.3000000000000114</v>
      </c>
      <c r="P4" s="28">
        <v>77.290000000000006</v>
      </c>
    </row>
    <row r="5" spans="1:18" ht="15.75" customHeight="1" x14ac:dyDescent="0.35">
      <c r="A5" s="26">
        <v>44869</v>
      </c>
      <c r="B5" s="9">
        <v>438.72</v>
      </c>
      <c r="C5" s="9">
        <v>235.12</v>
      </c>
      <c r="D5" s="9">
        <v>44.9</v>
      </c>
      <c r="E5" s="9"/>
      <c r="F5" s="9"/>
      <c r="G5" s="9"/>
      <c r="H5" s="9">
        <v>93.6</v>
      </c>
      <c r="I5" s="9"/>
      <c r="J5" s="9"/>
      <c r="K5" s="9"/>
      <c r="L5" s="9">
        <v>70</v>
      </c>
      <c r="M5" s="27">
        <f t="shared" si="3"/>
        <v>443.62</v>
      </c>
      <c r="N5" s="27">
        <f t="shared" si="1"/>
        <v>65.100000000000023</v>
      </c>
      <c r="O5" s="41">
        <f t="shared" si="2"/>
        <v>4.8999999999999773</v>
      </c>
      <c r="P5" s="28">
        <v>72.900000000000006</v>
      </c>
    </row>
    <row r="6" spans="1:18" ht="15.75" customHeight="1" x14ac:dyDescent="0.35">
      <c r="A6" s="26">
        <v>44870</v>
      </c>
      <c r="B6" s="9">
        <v>1158.47</v>
      </c>
      <c r="C6" s="9">
        <v>627.95000000000005</v>
      </c>
      <c r="D6" s="9">
        <v>183.4</v>
      </c>
      <c r="E6" s="9"/>
      <c r="F6" s="9"/>
      <c r="G6" s="9"/>
      <c r="H6" s="9">
        <v>18.899999999999999</v>
      </c>
      <c r="I6" s="9"/>
      <c r="J6" s="9"/>
      <c r="K6" s="9"/>
      <c r="L6" s="9">
        <v>320</v>
      </c>
      <c r="M6" s="27">
        <f t="shared" si="3"/>
        <v>1150.25</v>
      </c>
      <c r="N6" s="27">
        <f t="shared" si="1"/>
        <v>328.22</v>
      </c>
      <c r="O6" s="41">
        <f t="shared" si="2"/>
        <v>-8.2200000000000273</v>
      </c>
      <c r="P6" s="28">
        <v>76</v>
      </c>
    </row>
    <row r="7" spans="1:18" ht="15.75" customHeight="1" x14ac:dyDescent="0.35">
      <c r="A7" s="26">
        <v>44871</v>
      </c>
      <c r="B7" s="9">
        <v>750.68</v>
      </c>
      <c r="C7" s="9">
        <v>404.98</v>
      </c>
      <c r="D7" s="9">
        <v>114.1</v>
      </c>
      <c r="E7" s="9"/>
      <c r="F7" s="9"/>
      <c r="G7" s="9"/>
      <c r="H7" s="9">
        <v>83.7</v>
      </c>
      <c r="I7" s="9"/>
      <c r="J7" s="9"/>
      <c r="K7" s="9"/>
      <c r="L7" s="9">
        <v>150</v>
      </c>
      <c r="M7" s="27">
        <f t="shared" si="3"/>
        <v>752.78000000000009</v>
      </c>
      <c r="N7" s="27">
        <f t="shared" si="1"/>
        <v>147.89999999999986</v>
      </c>
      <c r="O7" s="41">
        <f t="shared" si="2"/>
        <v>2.1000000000001364</v>
      </c>
      <c r="P7" s="28">
        <v>73.099999999999994</v>
      </c>
    </row>
    <row r="8" spans="1:18" ht="15.75" customHeight="1" x14ac:dyDescent="0.35">
      <c r="A8" s="26">
        <v>44872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27">
        <f t="shared" si="3"/>
        <v>0</v>
      </c>
      <c r="N8" s="27">
        <v>0</v>
      </c>
      <c r="O8" s="41">
        <v>0</v>
      </c>
      <c r="P8" s="28">
        <v>0</v>
      </c>
    </row>
    <row r="9" spans="1:18" ht="15.75" customHeight="1" x14ac:dyDescent="0.35">
      <c r="A9" s="26">
        <v>44873</v>
      </c>
      <c r="B9" s="9">
        <v>76.7</v>
      </c>
      <c r="C9" s="9">
        <v>25.5</v>
      </c>
      <c r="D9" s="9">
        <v>3.8</v>
      </c>
      <c r="E9" s="9"/>
      <c r="F9" s="9"/>
      <c r="G9" s="9"/>
      <c r="H9" s="9">
        <v>18.899999999999999</v>
      </c>
      <c r="I9" s="9"/>
      <c r="J9" s="9"/>
      <c r="K9" s="9"/>
      <c r="L9" s="9">
        <v>25</v>
      </c>
      <c r="M9" s="27">
        <f t="shared" si="3"/>
        <v>73.2</v>
      </c>
      <c r="N9" s="27">
        <f t="shared" ref="N9:N14" si="4">L9-O9</f>
        <v>28.5</v>
      </c>
      <c r="O9" s="41">
        <f t="shared" ref="O9:O14" si="5">M9-B9-F9</f>
        <v>-3.5</v>
      </c>
      <c r="P9" s="28"/>
    </row>
    <row r="10" spans="1:18" ht="15.75" customHeight="1" x14ac:dyDescent="0.35">
      <c r="A10" s="26">
        <v>44874</v>
      </c>
      <c r="B10" s="9">
        <v>130</v>
      </c>
      <c r="C10" s="9">
        <v>54.1</v>
      </c>
      <c r="D10" s="9">
        <v>27</v>
      </c>
      <c r="E10" s="9"/>
      <c r="F10" s="9"/>
      <c r="G10" s="9"/>
      <c r="H10" s="9"/>
      <c r="I10" s="9"/>
      <c r="J10" s="9"/>
      <c r="K10" s="9"/>
      <c r="L10" s="9">
        <v>40</v>
      </c>
      <c r="M10" s="27">
        <f t="shared" si="3"/>
        <v>121.1</v>
      </c>
      <c r="N10" s="27">
        <f t="shared" si="4"/>
        <v>48.900000000000006</v>
      </c>
      <c r="O10" s="41">
        <f t="shared" si="5"/>
        <v>-8.9000000000000057</v>
      </c>
      <c r="P10" s="28"/>
    </row>
    <row r="11" spans="1:18" ht="15.75" customHeight="1" x14ac:dyDescent="0.35">
      <c r="A11" s="26">
        <v>44875</v>
      </c>
      <c r="B11" s="9">
        <v>286.22000000000003</v>
      </c>
      <c r="C11" s="9">
        <v>146.19999999999999</v>
      </c>
      <c r="D11" s="9">
        <v>11.4</v>
      </c>
      <c r="E11" s="9"/>
      <c r="F11" s="9"/>
      <c r="G11" s="9"/>
      <c r="H11" s="9"/>
      <c r="I11" s="9"/>
      <c r="J11" s="9"/>
      <c r="K11" s="9"/>
      <c r="L11" s="9">
        <v>130</v>
      </c>
      <c r="M11" s="27">
        <f t="shared" si="3"/>
        <v>287.60000000000002</v>
      </c>
      <c r="N11" s="27">
        <f t="shared" si="4"/>
        <v>128.62</v>
      </c>
      <c r="O11" s="41">
        <f t="shared" si="5"/>
        <v>1.3799999999999955</v>
      </c>
      <c r="P11" s="28">
        <v>75.86</v>
      </c>
    </row>
    <row r="12" spans="1:18" ht="15.75" customHeight="1" x14ac:dyDescent="0.35">
      <c r="A12" s="26">
        <v>44876</v>
      </c>
      <c r="B12" s="9">
        <v>345.57</v>
      </c>
      <c r="C12" s="9">
        <v>205.48</v>
      </c>
      <c r="D12" s="9">
        <v>50</v>
      </c>
      <c r="E12" s="9"/>
      <c r="F12" s="9"/>
      <c r="G12" s="9"/>
      <c r="H12" s="9"/>
      <c r="I12" s="9"/>
      <c r="J12" s="9"/>
      <c r="K12" s="9"/>
      <c r="L12" s="9">
        <v>95</v>
      </c>
      <c r="M12" s="27">
        <f t="shared" si="3"/>
        <v>350.48</v>
      </c>
      <c r="N12" s="27">
        <f t="shared" si="4"/>
        <v>90.089999999999975</v>
      </c>
      <c r="O12" s="41">
        <f t="shared" si="5"/>
        <v>4.910000000000025</v>
      </c>
      <c r="P12" s="28">
        <v>70.959999999999994</v>
      </c>
      <c r="Q12" s="56"/>
    </row>
    <row r="13" spans="1:18" ht="15.75" customHeight="1" x14ac:dyDescent="0.35">
      <c r="A13" s="26">
        <v>44877</v>
      </c>
      <c r="B13" s="9">
        <v>1435.64</v>
      </c>
      <c r="C13" s="9">
        <v>847.52</v>
      </c>
      <c r="D13" s="9">
        <v>169.5</v>
      </c>
      <c r="E13" s="9"/>
      <c r="F13" s="9"/>
      <c r="G13" s="9"/>
      <c r="H13" s="9">
        <v>74.7</v>
      </c>
      <c r="I13" s="9"/>
      <c r="J13" s="9"/>
      <c r="K13" s="9"/>
      <c r="L13" s="9">
        <v>365</v>
      </c>
      <c r="M13" s="27">
        <f t="shared" si="3"/>
        <v>1456.72</v>
      </c>
      <c r="N13" s="27">
        <f t="shared" si="4"/>
        <v>343.92000000000007</v>
      </c>
      <c r="O13" s="41">
        <f t="shared" si="5"/>
        <v>21.079999999999927</v>
      </c>
      <c r="P13" s="28">
        <v>70.53</v>
      </c>
    </row>
    <row r="14" spans="1:18" ht="15.75" customHeight="1" x14ac:dyDescent="0.35">
      <c r="A14" s="26">
        <v>44878</v>
      </c>
      <c r="B14" s="9">
        <v>443.78</v>
      </c>
      <c r="C14" s="9">
        <v>265.27999999999997</v>
      </c>
      <c r="D14" s="9">
        <v>49</v>
      </c>
      <c r="E14" s="9"/>
      <c r="F14" s="9"/>
      <c r="G14" s="9"/>
      <c r="H14" s="9"/>
      <c r="I14" s="9"/>
      <c r="J14" s="9"/>
      <c r="K14" s="9"/>
      <c r="L14" s="9">
        <v>115</v>
      </c>
      <c r="M14" s="27">
        <f t="shared" si="3"/>
        <v>429.28</v>
      </c>
      <c r="N14" s="27">
        <f t="shared" si="4"/>
        <v>129.5</v>
      </c>
      <c r="O14" s="41">
        <f t="shared" si="5"/>
        <v>-14.5</v>
      </c>
      <c r="P14" s="28">
        <v>76.739999999999995</v>
      </c>
    </row>
    <row r="15" spans="1:18" ht="15.75" customHeight="1" x14ac:dyDescent="0.35">
      <c r="A15" s="26">
        <v>44879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27">
        <v>0</v>
      </c>
      <c r="N15" s="27">
        <v>0</v>
      </c>
      <c r="O15" s="41">
        <v>0</v>
      </c>
      <c r="P15" s="28"/>
    </row>
    <row r="16" spans="1:18" ht="15.75" customHeight="1" x14ac:dyDescent="0.35">
      <c r="A16" s="26">
        <v>44880</v>
      </c>
      <c r="B16" s="9">
        <v>192.14</v>
      </c>
      <c r="C16" s="9">
        <v>172.44</v>
      </c>
      <c r="D16" s="9">
        <v>0</v>
      </c>
      <c r="E16" s="9"/>
      <c r="F16" s="9"/>
      <c r="G16" s="9"/>
      <c r="H16" s="9"/>
      <c r="I16" s="9"/>
      <c r="J16" s="9"/>
      <c r="K16" s="9"/>
      <c r="L16" s="9">
        <v>20</v>
      </c>
      <c r="M16" s="27">
        <f t="shared" ref="M16:M21" si="6">C16+D16+E16+F16+G16+H16+I16+J16+L16+K16</f>
        <v>192.44</v>
      </c>
      <c r="N16" s="27">
        <f t="shared" ref="N16:N33" si="7">L16-O16</f>
        <v>19.699999999999989</v>
      </c>
      <c r="O16" s="41">
        <f t="shared" ref="O16:O21" si="8">M16-B16-F16</f>
        <v>0.30000000000001137</v>
      </c>
      <c r="P16" s="28">
        <v>76.739999999999995</v>
      </c>
    </row>
    <row r="17" spans="1:16" ht="15.75" customHeight="1" x14ac:dyDescent="0.35">
      <c r="A17" s="26">
        <v>44881</v>
      </c>
      <c r="B17" s="9">
        <v>59.2</v>
      </c>
      <c r="C17" s="9">
        <v>59.2</v>
      </c>
      <c r="D17" s="9">
        <v>0</v>
      </c>
      <c r="E17" s="9"/>
      <c r="F17" s="9"/>
      <c r="G17" s="9"/>
      <c r="H17" s="9"/>
      <c r="I17" s="9"/>
      <c r="J17" s="9"/>
      <c r="K17" s="9"/>
      <c r="L17" s="9">
        <v>0</v>
      </c>
      <c r="M17" s="27">
        <f t="shared" si="6"/>
        <v>59.2</v>
      </c>
      <c r="N17" s="27">
        <f t="shared" si="7"/>
        <v>0</v>
      </c>
      <c r="O17" s="41">
        <f t="shared" si="8"/>
        <v>0</v>
      </c>
      <c r="P17" s="28">
        <v>74.459999999999994</v>
      </c>
    </row>
    <row r="18" spans="1:16" ht="15.75" customHeight="1" x14ac:dyDescent="0.35">
      <c r="A18" s="26">
        <v>44882</v>
      </c>
      <c r="B18" s="9">
        <v>155.76</v>
      </c>
      <c r="C18" s="9">
        <v>88.76</v>
      </c>
      <c r="D18" s="9">
        <v>4.8</v>
      </c>
      <c r="E18" s="9"/>
      <c r="F18" s="9"/>
      <c r="G18" s="9"/>
      <c r="H18" s="9"/>
      <c r="I18" s="9"/>
      <c r="J18" s="9"/>
      <c r="K18" s="9"/>
      <c r="L18" s="9">
        <v>65</v>
      </c>
      <c r="M18" s="27">
        <f t="shared" si="6"/>
        <v>158.56</v>
      </c>
      <c r="N18" s="27">
        <f t="shared" si="7"/>
        <v>62.199999999999989</v>
      </c>
      <c r="O18" s="41">
        <f t="shared" si="8"/>
        <v>2.8000000000000114</v>
      </c>
      <c r="P18" s="28">
        <v>70.510000000000005</v>
      </c>
    </row>
    <row r="19" spans="1:16" ht="15.75" customHeight="1" x14ac:dyDescent="0.35">
      <c r="A19" s="26">
        <v>44883</v>
      </c>
      <c r="B19" s="9">
        <v>176.18</v>
      </c>
      <c r="C19" s="9">
        <v>102.28</v>
      </c>
      <c r="D19" s="9">
        <v>20.5</v>
      </c>
      <c r="E19" s="9"/>
      <c r="F19" s="9"/>
      <c r="G19" s="9"/>
      <c r="H19" s="9"/>
      <c r="I19" s="9"/>
      <c r="J19" s="9"/>
      <c r="K19" s="9"/>
      <c r="L19" s="9">
        <v>30</v>
      </c>
      <c r="M19" s="27">
        <f t="shared" si="6"/>
        <v>152.78</v>
      </c>
      <c r="N19" s="27">
        <f t="shared" si="7"/>
        <v>53.400000000000006</v>
      </c>
      <c r="O19" s="41">
        <f t="shared" si="8"/>
        <v>-23.400000000000006</v>
      </c>
      <c r="P19" s="28">
        <v>75.010000000000005</v>
      </c>
    </row>
    <row r="20" spans="1:16" ht="15.75" customHeight="1" x14ac:dyDescent="0.35">
      <c r="A20" s="26">
        <v>44884</v>
      </c>
      <c r="B20" s="9">
        <v>386.4</v>
      </c>
      <c r="C20" s="9">
        <v>253.1</v>
      </c>
      <c r="D20" s="9">
        <v>48.2</v>
      </c>
      <c r="E20" s="9">
        <v>11.7</v>
      </c>
      <c r="F20" s="9"/>
      <c r="G20" s="9"/>
      <c r="H20" s="9">
        <v>18.899999999999999</v>
      </c>
      <c r="I20" s="9"/>
      <c r="J20" s="9"/>
      <c r="K20" s="9"/>
      <c r="L20" s="9">
        <v>55</v>
      </c>
      <c r="M20" s="27">
        <f t="shared" si="6"/>
        <v>386.9</v>
      </c>
      <c r="N20" s="27">
        <f t="shared" si="7"/>
        <v>54.5</v>
      </c>
      <c r="O20" s="41">
        <f t="shared" si="8"/>
        <v>0.5</v>
      </c>
      <c r="P20" s="28">
        <v>74.540000000000006</v>
      </c>
    </row>
    <row r="21" spans="1:16" ht="15.75" customHeight="1" x14ac:dyDescent="0.35">
      <c r="A21" s="26">
        <v>44885</v>
      </c>
      <c r="B21" s="9">
        <v>340.76</v>
      </c>
      <c r="C21" s="9">
        <v>168.18</v>
      </c>
      <c r="D21" s="9">
        <v>63.54</v>
      </c>
      <c r="E21" s="9"/>
      <c r="F21" s="9"/>
      <c r="G21" s="9"/>
      <c r="H21" s="9">
        <v>18.899999999999999</v>
      </c>
      <c r="I21" s="9"/>
      <c r="J21" s="9"/>
      <c r="K21" s="9"/>
      <c r="L21" s="9">
        <v>90</v>
      </c>
      <c r="M21" s="27">
        <f t="shared" si="6"/>
        <v>340.62</v>
      </c>
      <c r="N21" s="27">
        <f t="shared" si="7"/>
        <v>90.139999999999986</v>
      </c>
      <c r="O21" s="41">
        <f t="shared" si="8"/>
        <v>-0.13999999999998636</v>
      </c>
      <c r="P21" s="28">
        <v>73.66</v>
      </c>
    </row>
    <row r="22" spans="1:16" ht="15.75" customHeight="1" x14ac:dyDescent="0.35">
      <c r="A22" s="26">
        <v>44886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27">
        <v>0</v>
      </c>
      <c r="N22" s="27">
        <f t="shared" si="7"/>
        <v>0</v>
      </c>
      <c r="O22" s="41">
        <v>0</v>
      </c>
      <c r="P22" s="28">
        <v>0</v>
      </c>
    </row>
    <row r="23" spans="1:16" ht="15.75" customHeight="1" x14ac:dyDescent="0.35">
      <c r="A23" s="26">
        <v>44887</v>
      </c>
      <c r="B23" s="9">
        <v>101.72</v>
      </c>
      <c r="C23" s="9">
        <v>80.52</v>
      </c>
      <c r="D23" s="9">
        <v>13.6</v>
      </c>
      <c r="E23" s="9"/>
      <c r="F23" s="9"/>
      <c r="G23" s="9"/>
      <c r="H23" s="9"/>
      <c r="I23" s="9"/>
      <c r="J23" s="9"/>
      <c r="K23" s="9"/>
      <c r="L23" s="9">
        <v>10</v>
      </c>
      <c r="M23" s="27">
        <f t="shared" ref="M23:M33" si="9">C23+D23+E23+F23+G23+H23+I23+J23+L23+K23</f>
        <v>104.11999999999999</v>
      </c>
      <c r="N23" s="27">
        <f t="shared" si="7"/>
        <v>7.6000000000000085</v>
      </c>
      <c r="O23" s="41">
        <f t="shared" ref="O23:O31" si="10">M23-B23-F23</f>
        <v>2.3999999999999915</v>
      </c>
      <c r="P23" s="28">
        <v>71.260000000000005</v>
      </c>
    </row>
    <row r="24" spans="1:16" ht="15.75" customHeight="1" x14ac:dyDescent="0.35">
      <c r="A24" s="26">
        <v>44888</v>
      </c>
      <c r="B24" s="9">
        <v>200.03</v>
      </c>
      <c r="C24" s="9">
        <v>124.13</v>
      </c>
      <c r="D24" s="9">
        <v>11.4</v>
      </c>
      <c r="E24" s="9"/>
      <c r="F24" s="9"/>
      <c r="G24" s="9"/>
      <c r="H24" s="9"/>
      <c r="I24" s="9"/>
      <c r="J24" s="9"/>
      <c r="K24" s="9"/>
      <c r="L24" s="9">
        <v>60</v>
      </c>
      <c r="M24" s="27">
        <f t="shared" si="9"/>
        <v>195.53</v>
      </c>
      <c r="N24" s="27">
        <f t="shared" si="7"/>
        <v>64.5</v>
      </c>
      <c r="O24" s="41">
        <f t="shared" si="10"/>
        <v>-4.5</v>
      </c>
      <c r="P24" s="28"/>
    </row>
    <row r="25" spans="1:16" ht="15.75" customHeight="1" x14ac:dyDescent="0.35">
      <c r="A25" s="26">
        <v>44889</v>
      </c>
      <c r="B25" s="9">
        <v>104.7</v>
      </c>
      <c r="C25" s="9">
        <v>55.2</v>
      </c>
      <c r="D25" s="9">
        <v>0</v>
      </c>
      <c r="E25" s="9"/>
      <c r="F25" s="9"/>
      <c r="G25" s="9"/>
      <c r="H25" s="9"/>
      <c r="I25" s="9"/>
      <c r="J25" s="9"/>
      <c r="K25" s="9"/>
      <c r="L25" s="9">
        <v>50</v>
      </c>
      <c r="M25" s="27">
        <f t="shared" si="9"/>
        <v>105.2</v>
      </c>
      <c r="N25" s="27">
        <f t="shared" si="7"/>
        <v>49.5</v>
      </c>
      <c r="O25" s="41">
        <f t="shared" si="10"/>
        <v>0.5</v>
      </c>
      <c r="P25" s="28">
        <v>75.260000000000005</v>
      </c>
    </row>
    <row r="26" spans="1:16" ht="15.75" customHeight="1" x14ac:dyDescent="0.35">
      <c r="A26" s="26">
        <v>44890</v>
      </c>
      <c r="B26" s="9">
        <v>518.91999999999996</v>
      </c>
      <c r="C26" s="9">
        <v>121.4</v>
      </c>
      <c r="D26" s="9">
        <v>28.9</v>
      </c>
      <c r="E26" s="9"/>
      <c r="F26" s="9"/>
      <c r="G26" s="9">
        <v>18.899999999999999</v>
      </c>
      <c r="H26" s="9">
        <v>18.899999999999999</v>
      </c>
      <c r="I26" s="9"/>
      <c r="J26" s="9"/>
      <c r="K26" s="59">
        <v>254.22</v>
      </c>
      <c r="L26" s="9">
        <v>75</v>
      </c>
      <c r="M26" s="27">
        <f t="shared" si="9"/>
        <v>517.32000000000005</v>
      </c>
      <c r="N26" s="27">
        <f t="shared" si="7"/>
        <v>76.599999999999909</v>
      </c>
      <c r="O26" s="41">
        <f t="shared" si="10"/>
        <v>-1.5999999999999091</v>
      </c>
      <c r="P26" s="28"/>
    </row>
    <row r="27" spans="1:16" ht="15.75" customHeight="1" x14ac:dyDescent="0.35">
      <c r="A27" s="26">
        <v>44891</v>
      </c>
      <c r="B27" s="9">
        <v>777.96</v>
      </c>
      <c r="C27" s="9">
        <v>524.44000000000005</v>
      </c>
      <c r="D27" s="9">
        <v>78.319999999999993</v>
      </c>
      <c r="E27" s="9"/>
      <c r="F27" s="9"/>
      <c r="G27" s="9"/>
      <c r="H27" s="9"/>
      <c r="I27" s="9"/>
      <c r="J27" s="9"/>
      <c r="K27" s="9"/>
      <c r="L27" s="9">
        <v>175</v>
      </c>
      <c r="M27" s="27">
        <f t="shared" si="9"/>
        <v>777.76</v>
      </c>
      <c r="N27" s="27">
        <f t="shared" si="7"/>
        <v>175.20000000000005</v>
      </c>
      <c r="O27" s="41">
        <f t="shared" si="10"/>
        <v>-0.20000000000004547</v>
      </c>
      <c r="P27" s="28">
        <v>76.650000000000006</v>
      </c>
    </row>
    <row r="28" spans="1:16" ht="15.75" customHeight="1" x14ac:dyDescent="0.35">
      <c r="A28" s="26">
        <v>44892</v>
      </c>
      <c r="B28" s="9">
        <v>379.81</v>
      </c>
      <c r="C28" s="9">
        <v>192.93</v>
      </c>
      <c r="D28" s="9">
        <v>107.18</v>
      </c>
      <c r="E28" s="9"/>
      <c r="F28" s="9"/>
      <c r="G28" s="9"/>
      <c r="H28" s="9"/>
      <c r="I28" s="9"/>
      <c r="J28" s="9"/>
      <c r="K28" s="9"/>
      <c r="L28" s="9">
        <v>100</v>
      </c>
      <c r="M28" s="27">
        <f t="shared" si="9"/>
        <v>400.11</v>
      </c>
      <c r="N28" s="27">
        <f t="shared" si="7"/>
        <v>79.699999999999989</v>
      </c>
      <c r="O28" s="41">
        <f t="shared" si="10"/>
        <v>20.300000000000011</v>
      </c>
      <c r="P28" s="28">
        <v>72.760000000000005</v>
      </c>
    </row>
    <row r="29" spans="1:16" ht="15.75" customHeight="1" x14ac:dyDescent="0.35">
      <c r="A29" s="26">
        <v>44893</v>
      </c>
      <c r="B29" s="9">
        <v>675</v>
      </c>
      <c r="C29" s="9">
        <v>0</v>
      </c>
      <c r="D29" s="9">
        <v>0</v>
      </c>
      <c r="E29" s="9"/>
      <c r="F29" s="9"/>
      <c r="G29" s="9"/>
      <c r="H29" s="9"/>
      <c r="I29" s="9"/>
      <c r="J29" s="9"/>
      <c r="K29" s="58">
        <v>675</v>
      </c>
      <c r="L29" s="9">
        <v>0</v>
      </c>
      <c r="M29" s="27">
        <f t="shared" si="9"/>
        <v>675</v>
      </c>
      <c r="N29" s="27">
        <f t="shared" si="7"/>
        <v>0</v>
      </c>
      <c r="O29" s="41">
        <f t="shared" si="10"/>
        <v>0</v>
      </c>
      <c r="P29" s="28"/>
    </row>
    <row r="30" spans="1:16" ht="15.75" customHeight="1" x14ac:dyDescent="0.35">
      <c r="A30" s="26">
        <v>44894</v>
      </c>
      <c r="B30" s="9">
        <v>0</v>
      </c>
      <c r="C30" s="9">
        <v>0</v>
      </c>
      <c r="D30" s="9">
        <v>0</v>
      </c>
      <c r="E30" s="9"/>
      <c r="F30" s="9"/>
      <c r="G30" s="9"/>
      <c r="H30" s="9"/>
      <c r="I30" s="9"/>
      <c r="J30" s="9"/>
      <c r="K30" s="9"/>
      <c r="L30" s="9">
        <v>0</v>
      </c>
      <c r="M30" s="27">
        <f t="shared" si="9"/>
        <v>0</v>
      </c>
      <c r="N30" s="27">
        <f t="shared" si="7"/>
        <v>0</v>
      </c>
      <c r="O30" s="41">
        <f t="shared" si="10"/>
        <v>0</v>
      </c>
      <c r="P30" s="28"/>
    </row>
    <row r="31" spans="1:16" ht="15.75" customHeight="1" x14ac:dyDescent="0.35">
      <c r="A31" s="26">
        <v>44895</v>
      </c>
      <c r="B31" s="9">
        <v>0</v>
      </c>
      <c r="C31" s="9">
        <v>0</v>
      </c>
      <c r="D31" s="9">
        <v>0</v>
      </c>
      <c r="E31" s="9"/>
      <c r="F31" s="9"/>
      <c r="G31" s="9"/>
      <c r="H31" s="9"/>
      <c r="I31" s="9"/>
      <c r="J31" s="9"/>
      <c r="K31" s="9"/>
      <c r="L31" s="9">
        <v>0</v>
      </c>
      <c r="M31" s="27">
        <f t="shared" si="9"/>
        <v>0</v>
      </c>
      <c r="N31" s="27">
        <f t="shared" si="7"/>
        <v>0</v>
      </c>
      <c r="O31" s="41">
        <f t="shared" si="10"/>
        <v>0</v>
      </c>
      <c r="P31" s="28"/>
    </row>
    <row r="32" spans="1:16" ht="15.75" customHeight="1" x14ac:dyDescent="0.35">
      <c r="A32" s="26"/>
      <c r="B32" s="9">
        <v>0</v>
      </c>
      <c r="C32" s="9">
        <v>0</v>
      </c>
      <c r="D32" s="9">
        <v>0</v>
      </c>
      <c r="E32" s="9"/>
      <c r="F32" s="9"/>
      <c r="G32" s="9"/>
      <c r="H32" s="9"/>
      <c r="I32" s="9"/>
      <c r="J32" s="9"/>
      <c r="K32" s="9"/>
      <c r="L32" s="9">
        <v>0</v>
      </c>
      <c r="M32" s="27">
        <f t="shared" si="9"/>
        <v>0</v>
      </c>
      <c r="N32" s="27">
        <f t="shared" si="7"/>
        <v>0</v>
      </c>
      <c r="O32" s="41">
        <v>0</v>
      </c>
      <c r="P32" s="33"/>
    </row>
    <row r="33" spans="1:18" ht="15.75" customHeight="1" x14ac:dyDescent="0.35">
      <c r="A33" s="71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27">
        <f t="shared" si="9"/>
        <v>0</v>
      </c>
      <c r="N33" s="27">
        <f t="shared" si="7"/>
        <v>0</v>
      </c>
      <c r="O33" s="41">
        <f>M33-B33-F33</f>
        <v>0</v>
      </c>
      <c r="P33" s="47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10464.99</v>
      </c>
      <c r="N34" s="72">
        <f>M34-O34</f>
        <v>10460.119999999999</v>
      </c>
      <c r="O34" s="49">
        <f>SUM(O2:O33)</f>
        <v>4.8700000000001324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000"/>
  <sheetViews>
    <sheetView workbookViewId="0">
      <pane ySplit="1" topLeftCell="A24" activePane="bottomLeft" state="frozen"/>
      <selection pane="bottomLeft" activeCell="K33" sqref="K33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45047</v>
      </c>
      <c r="B2" s="9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31">
        <f t="shared" ref="M2:M33" si="0">C2+D2+E2+F2+G2+H2+I2+J2+L2+K2</f>
        <v>0</v>
      </c>
      <c r="N2" s="27">
        <f t="shared" ref="N2:N33" si="1">L2-O2</f>
        <v>0</v>
      </c>
      <c r="O2" s="32">
        <f t="shared" ref="O2:O33" si="2">M2-B2-F2</f>
        <v>0</v>
      </c>
      <c r="P2" s="33"/>
    </row>
    <row r="3" spans="1:18" ht="15.75" customHeight="1" x14ac:dyDescent="0.35">
      <c r="A3" s="26">
        <v>45048</v>
      </c>
      <c r="B3" s="9">
        <v>805.8</v>
      </c>
      <c r="C3" s="9">
        <v>419.7</v>
      </c>
      <c r="D3" s="9">
        <v>18.7</v>
      </c>
      <c r="E3" s="9"/>
      <c r="F3" s="9"/>
      <c r="G3" s="9"/>
      <c r="H3" s="9">
        <v>37.799999999999997</v>
      </c>
      <c r="I3" s="9"/>
      <c r="J3" s="9"/>
      <c r="K3" s="9"/>
      <c r="L3" s="9">
        <v>330</v>
      </c>
      <c r="M3" s="31">
        <f t="shared" si="0"/>
        <v>806.2</v>
      </c>
      <c r="N3" s="27">
        <f t="shared" si="1"/>
        <v>329.59999999999991</v>
      </c>
      <c r="O3" s="70">
        <f t="shared" si="2"/>
        <v>0.40000000000009095</v>
      </c>
      <c r="P3" s="28"/>
      <c r="Q3" s="56"/>
    </row>
    <row r="4" spans="1:18" ht="15.75" customHeight="1" x14ac:dyDescent="0.35">
      <c r="A4" s="26">
        <v>45049</v>
      </c>
      <c r="B4" s="9">
        <v>291.60000000000002</v>
      </c>
      <c r="C4" s="9">
        <v>176.2</v>
      </c>
      <c r="D4" s="9">
        <v>64.8</v>
      </c>
      <c r="E4" s="9"/>
      <c r="F4" s="9"/>
      <c r="G4" s="9"/>
      <c r="H4" s="9"/>
      <c r="I4" s="9"/>
      <c r="J4" s="9"/>
      <c r="K4" s="9"/>
      <c r="L4" s="9">
        <v>50</v>
      </c>
      <c r="M4" s="31">
        <f t="shared" si="0"/>
        <v>291</v>
      </c>
      <c r="N4" s="27">
        <f t="shared" si="1"/>
        <v>50.600000000000023</v>
      </c>
      <c r="O4" s="41">
        <f t="shared" si="2"/>
        <v>-0.60000000000002274</v>
      </c>
      <c r="P4" s="28"/>
    </row>
    <row r="5" spans="1:18" ht="15.75" customHeight="1" x14ac:dyDescent="0.35">
      <c r="A5" s="26">
        <v>45050</v>
      </c>
      <c r="B5" s="9">
        <v>477.66</v>
      </c>
      <c r="C5" s="9">
        <v>354.46</v>
      </c>
      <c r="D5" s="9">
        <v>26.2</v>
      </c>
      <c r="E5" s="9"/>
      <c r="F5" s="9"/>
      <c r="G5" s="9"/>
      <c r="H5" s="9"/>
      <c r="I5" s="9"/>
      <c r="J5" s="9"/>
      <c r="K5" s="9"/>
      <c r="L5" s="9">
        <v>100</v>
      </c>
      <c r="M5" s="31">
        <f t="shared" si="0"/>
        <v>480.65999999999997</v>
      </c>
      <c r="N5" s="27">
        <f t="shared" si="1"/>
        <v>97.000000000000057</v>
      </c>
      <c r="O5" s="41">
        <f t="shared" si="2"/>
        <v>2.9999999999999432</v>
      </c>
      <c r="P5" s="28">
        <v>74.040000000000006</v>
      </c>
    </row>
    <row r="6" spans="1:18" ht="15.75" customHeight="1" x14ac:dyDescent="0.35">
      <c r="A6" s="26">
        <v>45051</v>
      </c>
      <c r="B6" s="9">
        <v>850.52</v>
      </c>
      <c r="C6" s="9">
        <v>507.22</v>
      </c>
      <c r="D6" s="9">
        <v>76.91</v>
      </c>
      <c r="E6" s="9"/>
      <c r="F6" s="9"/>
      <c r="G6" s="9"/>
      <c r="H6" s="9">
        <v>39.9</v>
      </c>
      <c r="I6" s="9"/>
      <c r="J6" s="9"/>
      <c r="K6" s="16">
        <v>26.55</v>
      </c>
      <c r="L6" s="9">
        <v>200</v>
      </c>
      <c r="M6" s="31">
        <f t="shared" si="0"/>
        <v>850.57999999999993</v>
      </c>
      <c r="N6" s="27">
        <f t="shared" si="1"/>
        <v>199.94000000000005</v>
      </c>
      <c r="O6" s="41">
        <f t="shared" si="2"/>
        <v>5.999999999994543E-2</v>
      </c>
      <c r="P6" s="28">
        <v>73.56</v>
      </c>
    </row>
    <row r="7" spans="1:18" ht="15.75" customHeight="1" x14ac:dyDescent="0.35">
      <c r="A7" s="26">
        <v>45052</v>
      </c>
      <c r="B7" s="9">
        <v>1603.78</v>
      </c>
      <c r="C7" s="9">
        <v>1021.98</v>
      </c>
      <c r="D7" s="9">
        <v>134.80000000000001</v>
      </c>
      <c r="E7" s="9"/>
      <c r="F7" s="9"/>
      <c r="G7" s="9"/>
      <c r="H7" s="9">
        <v>37.799999999999997</v>
      </c>
      <c r="I7" s="9"/>
      <c r="J7" s="9"/>
      <c r="K7" s="9"/>
      <c r="L7" s="9">
        <v>420</v>
      </c>
      <c r="M7" s="31">
        <f t="shared" si="0"/>
        <v>1614.58</v>
      </c>
      <c r="N7" s="27">
        <f t="shared" si="1"/>
        <v>409.20000000000005</v>
      </c>
      <c r="O7" s="41">
        <f t="shared" si="2"/>
        <v>10.799999999999955</v>
      </c>
      <c r="P7" s="28">
        <v>72.61</v>
      </c>
    </row>
    <row r="8" spans="1:18" ht="15.75" customHeight="1" x14ac:dyDescent="0.35">
      <c r="A8" s="26">
        <v>45053</v>
      </c>
      <c r="B8" s="9">
        <v>1891.1</v>
      </c>
      <c r="C8" s="9">
        <v>1404.9</v>
      </c>
      <c r="D8" s="9">
        <v>68.8</v>
      </c>
      <c r="E8" s="9"/>
      <c r="F8" s="9"/>
      <c r="G8" s="9"/>
      <c r="H8" s="9">
        <v>42</v>
      </c>
      <c r="I8" s="9"/>
      <c r="J8" s="9"/>
      <c r="K8" s="9"/>
      <c r="L8" s="9">
        <v>375</v>
      </c>
      <c r="M8" s="31">
        <f t="shared" si="0"/>
        <v>1890.7</v>
      </c>
      <c r="N8" s="27">
        <f t="shared" si="1"/>
        <v>375.39999999999986</v>
      </c>
      <c r="O8" s="41">
        <f t="shared" si="2"/>
        <v>-0.39999999999986358</v>
      </c>
      <c r="P8" s="28"/>
    </row>
    <row r="9" spans="1:18" ht="15.75" customHeight="1" x14ac:dyDescent="0.35">
      <c r="A9" s="26">
        <v>45054</v>
      </c>
      <c r="B9" s="9"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31">
        <f t="shared" si="0"/>
        <v>0</v>
      </c>
      <c r="N9" s="27">
        <f t="shared" si="1"/>
        <v>0</v>
      </c>
      <c r="O9" s="41">
        <f t="shared" si="2"/>
        <v>0</v>
      </c>
      <c r="P9" s="28"/>
    </row>
    <row r="10" spans="1:18" ht="15.75" customHeight="1" x14ac:dyDescent="0.35">
      <c r="A10" s="26">
        <v>45055</v>
      </c>
      <c r="B10" s="9">
        <v>360.42</v>
      </c>
      <c r="C10" s="9">
        <v>181.7</v>
      </c>
      <c r="D10" s="9">
        <v>41.02</v>
      </c>
      <c r="E10" s="9"/>
      <c r="F10" s="9"/>
      <c r="G10" s="9"/>
      <c r="H10" s="9"/>
      <c r="I10" s="9"/>
      <c r="J10" s="9"/>
      <c r="K10" s="9"/>
      <c r="L10" s="9">
        <v>140</v>
      </c>
      <c r="M10" s="31">
        <f t="shared" si="0"/>
        <v>362.72</v>
      </c>
      <c r="N10" s="27">
        <f t="shared" si="1"/>
        <v>137.69999999999999</v>
      </c>
      <c r="O10" s="41">
        <f t="shared" si="2"/>
        <v>2.3000000000000114</v>
      </c>
      <c r="P10" s="28">
        <v>72.61</v>
      </c>
    </row>
    <row r="11" spans="1:18" ht="15.75" customHeight="1" x14ac:dyDescent="0.35">
      <c r="A11" s="26">
        <v>45056</v>
      </c>
      <c r="B11" s="9">
        <v>368.9</v>
      </c>
      <c r="C11" s="9">
        <v>221.19</v>
      </c>
      <c r="D11" s="9">
        <v>10.5</v>
      </c>
      <c r="E11" s="9"/>
      <c r="F11" s="9"/>
      <c r="G11" s="9"/>
      <c r="H11" s="9"/>
      <c r="I11" s="9"/>
      <c r="J11" s="9"/>
      <c r="K11" s="16">
        <v>55.62</v>
      </c>
      <c r="L11" s="9">
        <v>90</v>
      </c>
      <c r="M11" s="31">
        <f t="shared" si="0"/>
        <v>377.31</v>
      </c>
      <c r="N11" s="27">
        <f t="shared" si="1"/>
        <v>81.589999999999975</v>
      </c>
      <c r="O11" s="41">
        <f t="shared" si="2"/>
        <v>8.410000000000025</v>
      </c>
      <c r="P11" s="28"/>
    </row>
    <row r="12" spans="1:18" ht="15.75" customHeight="1" x14ac:dyDescent="0.35">
      <c r="A12" s="26">
        <v>45057</v>
      </c>
      <c r="B12" s="9">
        <v>370.38</v>
      </c>
      <c r="C12" s="9">
        <v>255.08</v>
      </c>
      <c r="D12" s="9">
        <v>17.5</v>
      </c>
      <c r="E12" s="9"/>
      <c r="F12" s="9"/>
      <c r="G12" s="9"/>
      <c r="H12" s="9"/>
      <c r="I12" s="9"/>
      <c r="J12" s="9"/>
      <c r="K12" s="9"/>
      <c r="L12" s="9">
        <v>100</v>
      </c>
      <c r="M12" s="31">
        <f t="shared" si="0"/>
        <v>372.58000000000004</v>
      </c>
      <c r="N12" s="27">
        <f t="shared" si="1"/>
        <v>97.799999999999955</v>
      </c>
      <c r="O12" s="41">
        <f t="shared" si="2"/>
        <v>2.2000000000000455</v>
      </c>
      <c r="P12" s="28"/>
      <c r="Q12" s="56"/>
    </row>
    <row r="13" spans="1:18" ht="15.75" customHeight="1" x14ac:dyDescent="0.35">
      <c r="A13" s="26">
        <v>45058</v>
      </c>
      <c r="B13" s="9">
        <v>827.7</v>
      </c>
      <c r="C13" s="9">
        <v>511.72</v>
      </c>
      <c r="D13" s="9">
        <v>57.6</v>
      </c>
      <c r="E13" s="9"/>
      <c r="F13" s="9"/>
      <c r="G13" s="9"/>
      <c r="H13" s="9">
        <v>18.899999999999999</v>
      </c>
      <c r="I13" s="9"/>
      <c r="J13" s="9"/>
      <c r="K13" s="16">
        <v>95.88</v>
      </c>
      <c r="L13" s="9">
        <v>155</v>
      </c>
      <c r="M13" s="31">
        <f t="shared" si="0"/>
        <v>839.1</v>
      </c>
      <c r="N13" s="27">
        <f t="shared" si="1"/>
        <v>143.60000000000002</v>
      </c>
      <c r="O13" s="41">
        <f t="shared" si="2"/>
        <v>11.399999999999977</v>
      </c>
      <c r="P13" s="28"/>
    </row>
    <row r="14" spans="1:18" ht="15.75" customHeight="1" x14ac:dyDescent="0.35">
      <c r="A14" s="26">
        <v>45059</v>
      </c>
      <c r="B14" s="9">
        <v>1588.41</v>
      </c>
      <c r="C14" s="9">
        <v>1052</v>
      </c>
      <c r="D14" s="9">
        <v>133</v>
      </c>
      <c r="E14" s="9"/>
      <c r="F14" s="9"/>
      <c r="G14" s="9"/>
      <c r="H14" s="9">
        <v>37.799999999999997</v>
      </c>
      <c r="I14" s="9"/>
      <c r="J14" s="9"/>
      <c r="K14" s="9"/>
      <c r="L14" s="9">
        <v>370</v>
      </c>
      <c r="M14" s="31">
        <f t="shared" si="0"/>
        <v>1592.8</v>
      </c>
      <c r="N14" s="27">
        <f t="shared" si="1"/>
        <v>365.61000000000013</v>
      </c>
      <c r="O14" s="41">
        <f t="shared" si="2"/>
        <v>4.3899999999998727</v>
      </c>
      <c r="P14" s="28"/>
    </row>
    <row r="15" spans="1:18" ht="15.75" customHeight="1" x14ac:dyDescent="0.35">
      <c r="A15" s="26">
        <v>45060</v>
      </c>
      <c r="B15" s="9">
        <v>1816.31</v>
      </c>
      <c r="C15" s="9">
        <v>1279.75</v>
      </c>
      <c r="D15" s="9">
        <v>113.46</v>
      </c>
      <c r="E15" s="9"/>
      <c r="F15" s="9"/>
      <c r="G15" s="9"/>
      <c r="H15" s="9">
        <v>18.899999999999999</v>
      </c>
      <c r="I15" s="9"/>
      <c r="J15" s="9"/>
      <c r="K15" s="9"/>
      <c r="L15" s="9">
        <v>410</v>
      </c>
      <c r="M15" s="31">
        <f t="shared" si="0"/>
        <v>1822.1100000000001</v>
      </c>
      <c r="N15" s="27">
        <f t="shared" si="1"/>
        <v>404.19999999999982</v>
      </c>
      <c r="O15" s="41">
        <f t="shared" si="2"/>
        <v>5.8000000000001819</v>
      </c>
      <c r="P15" s="28">
        <v>70.150000000000006</v>
      </c>
    </row>
    <row r="16" spans="1:18" ht="15.75" customHeight="1" x14ac:dyDescent="0.35">
      <c r="A16" s="26">
        <v>45061</v>
      </c>
      <c r="B16" s="9">
        <v>554.70000000000005</v>
      </c>
      <c r="C16" s="9">
        <v>440.3</v>
      </c>
      <c r="D16" s="9">
        <v>29.8</v>
      </c>
      <c r="E16" s="9"/>
      <c r="F16" s="9"/>
      <c r="G16" s="9"/>
      <c r="H16" s="9"/>
      <c r="I16" s="9"/>
      <c r="J16" s="9"/>
      <c r="K16" s="9"/>
      <c r="L16" s="9">
        <v>90</v>
      </c>
      <c r="M16" s="31">
        <f t="shared" si="0"/>
        <v>560.1</v>
      </c>
      <c r="N16" s="27">
        <f t="shared" si="1"/>
        <v>84.600000000000023</v>
      </c>
      <c r="O16" s="41">
        <f t="shared" si="2"/>
        <v>5.3999999999999773</v>
      </c>
      <c r="P16" s="28"/>
    </row>
    <row r="17" spans="1:16" ht="15.75" customHeight="1" x14ac:dyDescent="0.35">
      <c r="A17" s="26">
        <v>45062</v>
      </c>
      <c r="B17" s="9">
        <v>467.38</v>
      </c>
      <c r="C17" s="9">
        <v>233.08</v>
      </c>
      <c r="D17" s="9">
        <v>18.2</v>
      </c>
      <c r="E17" s="9"/>
      <c r="F17" s="9"/>
      <c r="G17" s="9"/>
      <c r="H17" s="9">
        <v>18.899999999999999</v>
      </c>
      <c r="I17" s="9"/>
      <c r="J17" s="9"/>
      <c r="K17" s="9"/>
      <c r="L17" s="9">
        <v>200</v>
      </c>
      <c r="M17" s="31">
        <f t="shared" si="0"/>
        <v>470.18</v>
      </c>
      <c r="N17" s="27">
        <f t="shared" si="1"/>
        <v>197.2</v>
      </c>
      <c r="O17" s="41">
        <f t="shared" si="2"/>
        <v>2.8000000000000114</v>
      </c>
      <c r="P17" s="28"/>
    </row>
    <row r="18" spans="1:16" ht="15.75" customHeight="1" x14ac:dyDescent="0.35">
      <c r="A18" s="26">
        <v>45063</v>
      </c>
      <c r="B18" s="9">
        <v>589.79999999999995</v>
      </c>
      <c r="C18" s="9">
        <v>310.7</v>
      </c>
      <c r="D18" s="9">
        <v>34.6</v>
      </c>
      <c r="E18" s="9"/>
      <c r="F18" s="9"/>
      <c r="G18" s="9"/>
      <c r="H18" s="9">
        <v>34.1</v>
      </c>
      <c r="I18" s="9"/>
      <c r="J18" s="9"/>
      <c r="K18" s="9"/>
      <c r="L18" s="9">
        <v>210</v>
      </c>
      <c r="M18" s="31">
        <f t="shared" si="0"/>
        <v>589.40000000000009</v>
      </c>
      <c r="N18" s="27">
        <f t="shared" si="1"/>
        <v>210.39999999999986</v>
      </c>
      <c r="O18" s="41">
        <f t="shared" si="2"/>
        <v>-0.39999999999986358</v>
      </c>
      <c r="P18" s="28"/>
    </row>
    <row r="19" spans="1:16" ht="15.75" customHeight="1" x14ac:dyDescent="0.35">
      <c r="A19" s="26">
        <v>45064</v>
      </c>
      <c r="B19" s="9">
        <v>544.73</v>
      </c>
      <c r="C19" s="9">
        <v>396.53</v>
      </c>
      <c r="D19" s="9">
        <v>38.299999999999997</v>
      </c>
      <c r="E19" s="9"/>
      <c r="F19" s="9"/>
      <c r="G19" s="9"/>
      <c r="H19" s="9"/>
      <c r="I19" s="9"/>
      <c r="J19" s="9"/>
      <c r="K19" s="9"/>
      <c r="L19" s="9">
        <v>110</v>
      </c>
      <c r="M19" s="31">
        <f t="shared" si="0"/>
        <v>544.82999999999993</v>
      </c>
      <c r="N19" s="27">
        <f t="shared" si="1"/>
        <v>109.90000000000009</v>
      </c>
      <c r="O19" s="41">
        <f t="shared" si="2"/>
        <v>9.9999999999909051E-2</v>
      </c>
      <c r="P19" s="28">
        <v>63.78</v>
      </c>
    </row>
    <row r="20" spans="1:16" ht="15.75" customHeight="1" x14ac:dyDescent="0.35">
      <c r="A20" s="26">
        <v>45065</v>
      </c>
      <c r="B20" s="9">
        <v>1296.8599999999999</v>
      </c>
      <c r="C20" s="9">
        <v>565.32000000000005</v>
      </c>
      <c r="D20" s="9">
        <v>127.5</v>
      </c>
      <c r="E20" s="9"/>
      <c r="F20" s="9"/>
      <c r="G20" s="9"/>
      <c r="H20" s="9">
        <v>94.6</v>
      </c>
      <c r="I20" s="9"/>
      <c r="J20" s="9"/>
      <c r="K20" s="16">
        <f>236+142.94</f>
        <v>378.94</v>
      </c>
      <c r="L20" s="9">
        <v>135</v>
      </c>
      <c r="M20" s="31">
        <f t="shared" si="0"/>
        <v>1301.3600000000001</v>
      </c>
      <c r="N20" s="27">
        <f t="shared" si="1"/>
        <v>130.49999999999977</v>
      </c>
      <c r="O20" s="41">
        <f t="shared" si="2"/>
        <v>4.5000000000002274</v>
      </c>
      <c r="P20" s="28"/>
    </row>
    <row r="21" spans="1:16" ht="15.75" customHeight="1" x14ac:dyDescent="0.35">
      <c r="A21" s="26">
        <v>45066</v>
      </c>
      <c r="B21" s="9">
        <v>1400.19</v>
      </c>
      <c r="C21" s="9">
        <v>987.99</v>
      </c>
      <c r="D21" s="9">
        <v>117.9</v>
      </c>
      <c r="E21" s="9"/>
      <c r="F21" s="9"/>
      <c r="G21" s="9"/>
      <c r="H21" s="9">
        <v>41</v>
      </c>
      <c r="I21" s="9"/>
      <c r="J21" s="9"/>
      <c r="K21" s="9"/>
      <c r="L21" s="9">
        <v>250</v>
      </c>
      <c r="M21" s="31">
        <f t="shared" si="0"/>
        <v>1396.89</v>
      </c>
      <c r="N21" s="27">
        <f t="shared" si="1"/>
        <v>253.29999999999995</v>
      </c>
      <c r="O21" s="41">
        <f t="shared" si="2"/>
        <v>-3.2999999999999545</v>
      </c>
      <c r="P21" s="28">
        <v>66.58</v>
      </c>
    </row>
    <row r="22" spans="1:16" ht="15.75" customHeight="1" x14ac:dyDescent="0.35">
      <c r="A22" s="26">
        <v>45067</v>
      </c>
      <c r="B22" s="9">
        <v>1700.19</v>
      </c>
      <c r="C22" s="9">
        <v>1167.55</v>
      </c>
      <c r="D22" s="9">
        <v>126.06</v>
      </c>
      <c r="E22" s="9"/>
      <c r="F22" s="9"/>
      <c r="G22" s="9"/>
      <c r="H22" s="9"/>
      <c r="I22" s="9"/>
      <c r="J22" s="9"/>
      <c r="K22" s="9"/>
      <c r="L22" s="9">
        <v>410</v>
      </c>
      <c r="M22" s="31">
        <f t="shared" si="0"/>
        <v>1703.61</v>
      </c>
      <c r="N22" s="27">
        <f t="shared" si="1"/>
        <v>406.58000000000015</v>
      </c>
      <c r="O22" s="41">
        <f t="shared" si="2"/>
        <v>3.4199999999998454</v>
      </c>
      <c r="P22" s="28"/>
    </row>
    <row r="23" spans="1:16" ht="15.75" customHeight="1" x14ac:dyDescent="0.35">
      <c r="A23" s="26">
        <v>45068</v>
      </c>
      <c r="B23" s="9">
        <v>250.1</v>
      </c>
      <c r="C23" s="9">
        <v>125.3</v>
      </c>
      <c r="D23" s="9">
        <v>26.6</v>
      </c>
      <c r="E23" s="9"/>
      <c r="F23" s="9"/>
      <c r="G23" s="9"/>
      <c r="H23" s="9"/>
      <c r="I23" s="9"/>
      <c r="J23" s="9"/>
      <c r="K23" s="9"/>
      <c r="L23" s="9">
        <v>100</v>
      </c>
      <c r="M23" s="31">
        <f t="shared" si="0"/>
        <v>251.9</v>
      </c>
      <c r="N23" s="27">
        <f t="shared" si="1"/>
        <v>98.199999999999989</v>
      </c>
      <c r="O23" s="41">
        <f t="shared" si="2"/>
        <v>1.8000000000000114</v>
      </c>
      <c r="P23" s="28"/>
    </row>
    <row r="24" spans="1:16" ht="15.75" customHeight="1" x14ac:dyDescent="0.35">
      <c r="A24" s="26">
        <v>45069</v>
      </c>
      <c r="B24" s="9">
        <v>567.76</v>
      </c>
      <c r="C24" s="9">
        <v>315.39999999999998</v>
      </c>
      <c r="D24" s="9">
        <v>46.8</v>
      </c>
      <c r="E24" s="9"/>
      <c r="F24" s="9"/>
      <c r="G24" s="9"/>
      <c r="H24" s="9"/>
      <c r="I24" s="9"/>
      <c r="J24" s="9"/>
      <c r="K24" s="9"/>
      <c r="L24" s="9">
        <v>210</v>
      </c>
      <c r="M24" s="31">
        <f t="shared" si="0"/>
        <v>572.20000000000005</v>
      </c>
      <c r="N24" s="27">
        <f t="shared" si="1"/>
        <v>205.55999999999995</v>
      </c>
      <c r="O24" s="41">
        <f t="shared" si="2"/>
        <v>4.4400000000000546</v>
      </c>
      <c r="P24" s="28">
        <v>74</v>
      </c>
    </row>
    <row r="25" spans="1:16" ht="15.75" customHeight="1" x14ac:dyDescent="0.35">
      <c r="A25" s="26">
        <v>45070</v>
      </c>
      <c r="B25" s="9">
        <v>451.4</v>
      </c>
      <c r="C25" s="9">
        <v>296.8</v>
      </c>
      <c r="D25" s="9">
        <v>2.9</v>
      </c>
      <c r="E25" s="9"/>
      <c r="F25" s="9"/>
      <c r="G25" s="9"/>
      <c r="H25" s="9"/>
      <c r="I25" s="9"/>
      <c r="J25" s="9"/>
      <c r="K25" s="9"/>
      <c r="L25" s="9">
        <v>160</v>
      </c>
      <c r="M25" s="31">
        <f t="shared" si="0"/>
        <v>459.7</v>
      </c>
      <c r="N25" s="27">
        <f t="shared" si="1"/>
        <v>151.69999999999999</v>
      </c>
      <c r="O25" s="41">
        <f t="shared" si="2"/>
        <v>8.3000000000000114</v>
      </c>
      <c r="P25" s="28">
        <v>64.31</v>
      </c>
    </row>
    <row r="26" spans="1:16" ht="15.75" customHeight="1" x14ac:dyDescent="0.35">
      <c r="A26" s="26">
        <v>45071</v>
      </c>
      <c r="B26" s="9">
        <v>607.4</v>
      </c>
      <c r="C26" s="9">
        <v>437.9</v>
      </c>
      <c r="D26" s="9">
        <v>20.100000000000001</v>
      </c>
      <c r="E26" s="9"/>
      <c r="F26" s="9"/>
      <c r="G26" s="9"/>
      <c r="H26" s="9">
        <v>37.799999999999997</v>
      </c>
      <c r="I26" s="9"/>
      <c r="J26" s="9"/>
      <c r="K26" s="9"/>
      <c r="L26" s="9">
        <v>110</v>
      </c>
      <c r="M26" s="31">
        <f t="shared" si="0"/>
        <v>605.79999999999995</v>
      </c>
      <c r="N26" s="27">
        <f t="shared" si="1"/>
        <v>111.60000000000002</v>
      </c>
      <c r="O26" s="41">
        <f t="shared" si="2"/>
        <v>-1.6000000000000227</v>
      </c>
      <c r="P26" s="28"/>
    </row>
    <row r="27" spans="1:16" ht="15.75" customHeight="1" x14ac:dyDescent="0.35">
      <c r="A27" s="26">
        <v>45072</v>
      </c>
      <c r="B27" s="9">
        <f>554.7+136.1</f>
        <v>690.80000000000007</v>
      </c>
      <c r="C27" s="9">
        <v>417.85</v>
      </c>
      <c r="D27" s="9">
        <v>21.2</v>
      </c>
      <c r="E27" s="9"/>
      <c r="F27" s="9"/>
      <c r="G27" s="9"/>
      <c r="H27" s="9"/>
      <c r="I27" s="9"/>
      <c r="J27" s="9"/>
      <c r="K27" s="9"/>
      <c r="L27" s="9">
        <f>130+120</f>
        <v>250</v>
      </c>
      <c r="M27" s="31">
        <f t="shared" si="0"/>
        <v>689.05</v>
      </c>
      <c r="N27" s="27">
        <f t="shared" si="1"/>
        <v>251.75000000000011</v>
      </c>
      <c r="O27" s="41">
        <f t="shared" si="2"/>
        <v>-1.7500000000001137</v>
      </c>
      <c r="P27" s="28"/>
    </row>
    <row r="28" spans="1:16" ht="15.75" customHeight="1" x14ac:dyDescent="0.35">
      <c r="A28" s="26">
        <v>45073</v>
      </c>
      <c r="B28" s="9">
        <f>1198.38+118.7</f>
        <v>1317.0800000000002</v>
      </c>
      <c r="C28" s="9">
        <v>972.88</v>
      </c>
      <c r="D28" s="9">
        <v>42.7</v>
      </c>
      <c r="E28" s="9"/>
      <c r="F28" s="9"/>
      <c r="G28" s="9"/>
      <c r="H28" s="9">
        <v>55.8</v>
      </c>
      <c r="I28" s="9"/>
      <c r="J28" s="9"/>
      <c r="K28" s="9"/>
      <c r="L28" s="9">
        <f>170+75</f>
        <v>245</v>
      </c>
      <c r="M28" s="31">
        <f t="shared" si="0"/>
        <v>1316.38</v>
      </c>
      <c r="N28" s="27">
        <f t="shared" si="1"/>
        <v>245.70000000000005</v>
      </c>
      <c r="O28" s="41">
        <f t="shared" si="2"/>
        <v>-0.70000000000004547</v>
      </c>
      <c r="P28" s="28"/>
    </row>
    <row r="29" spans="1:16" ht="15.75" customHeight="1" x14ac:dyDescent="0.35">
      <c r="A29" s="26">
        <v>45074</v>
      </c>
      <c r="B29" s="9">
        <v>1096.08</v>
      </c>
      <c r="C29" s="9">
        <v>577.67999999999995</v>
      </c>
      <c r="D29" s="9">
        <v>72.099999999999994</v>
      </c>
      <c r="E29" s="9"/>
      <c r="F29" s="9"/>
      <c r="G29" s="9"/>
      <c r="H29" s="9">
        <v>65.8</v>
      </c>
      <c r="I29" s="9"/>
      <c r="J29" s="9"/>
      <c r="K29" s="58">
        <v>260</v>
      </c>
      <c r="L29" s="9">
        <v>135</v>
      </c>
      <c r="M29" s="31">
        <f t="shared" si="0"/>
        <v>1110.58</v>
      </c>
      <c r="N29" s="27">
        <f t="shared" si="1"/>
        <v>120.5</v>
      </c>
      <c r="O29" s="41">
        <f t="shared" si="2"/>
        <v>14.5</v>
      </c>
      <c r="P29" s="28"/>
    </row>
    <row r="30" spans="1:16" ht="15.75" customHeight="1" x14ac:dyDescent="0.35">
      <c r="A30" s="26">
        <v>45075</v>
      </c>
      <c r="B30" s="9">
        <v>391.86</v>
      </c>
      <c r="C30" s="9">
        <v>97.12</v>
      </c>
      <c r="D30" s="9">
        <v>14.4</v>
      </c>
      <c r="E30" s="9"/>
      <c r="F30" s="9"/>
      <c r="G30" s="9"/>
      <c r="H30" s="9"/>
      <c r="I30" s="9"/>
      <c r="J30" s="9"/>
      <c r="K30" s="16">
        <v>189.66</v>
      </c>
      <c r="L30" s="9">
        <v>90</v>
      </c>
      <c r="M30" s="31">
        <f t="shared" si="0"/>
        <v>391.18</v>
      </c>
      <c r="N30" s="27">
        <f t="shared" si="1"/>
        <v>90.68</v>
      </c>
      <c r="O30" s="41">
        <f t="shared" si="2"/>
        <v>-0.68000000000000682</v>
      </c>
      <c r="P30" s="28"/>
    </row>
    <row r="31" spans="1:16" ht="15.75" customHeight="1" x14ac:dyDescent="0.35">
      <c r="A31" s="26">
        <v>45076</v>
      </c>
      <c r="B31" s="9">
        <v>536.4</v>
      </c>
      <c r="C31" s="9">
        <v>251.7</v>
      </c>
      <c r="D31" s="9">
        <v>57.9</v>
      </c>
      <c r="E31" s="9"/>
      <c r="F31" s="9"/>
      <c r="G31" s="9"/>
      <c r="H31" s="9"/>
      <c r="I31" s="9"/>
      <c r="J31" s="9"/>
      <c r="K31" s="9"/>
      <c r="L31" s="9">
        <v>225</v>
      </c>
      <c r="M31" s="31">
        <f t="shared" si="0"/>
        <v>534.59999999999991</v>
      </c>
      <c r="N31" s="27">
        <f t="shared" si="1"/>
        <v>226.80000000000007</v>
      </c>
      <c r="O31" s="41">
        <f t="shared" si="2"/>
        <v>-1.8000000000000682</v>
      </c>
      <c r="P31" s="28">
        <v>64.36</v>
      </c>
    </row>
    <row r="32" spans="1:16" ht="15.75" customHeight="1" x14ac:dyDescent="0.35">
      <c r="A32" s="26">
        <v>45077</v>
      </c>
      <c r="B32" s="9">
        <v>573.64</v>
      </c>
      <c r="C32" s="9">
        <v>257.86</v>
      </c>
      <c r="D32" s="9">
        <f>11.4+16</f>
        <v>27.4</v>
      </c>
      <c r="E32" s="9"/>
      <c r="F32" s="9"/>
      <c r="G32" s="9"/>
      <c r="H32" s="9">
        <v>18.899999999999999</v>
      </c>
      <c r="I32" s="9"/>
      <c r="J32" s="9"/>
      <c r="K32" s="16">
        <v>113.28</v>
      </c>
      <c r="L32" s="9">
        <v>155</v>
      </c>
      <c r="M32" s="31">
        <f t="shared" si="0"/>
        <v>572.43999999999994</v>
      </c>
      <c r="N32" s="27">
        <f t="shared" si="1"/>
        <v>156.20000000000005</v>
      </c>
      <c r="O32" s="41">
        <f t="shared" si="2"/>
        <v>-1.2000000000000455</v>
      </c>
      <c r="P32" s="28"/>
    </row>
    <row r="33" spans="1:18" ht="15.75" customHeight="1" x14ac:dyDescent="0.35">
      <c r="A33" s="26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31">
        <f t="shared" si="0"/>
        <v>0</v>
      </c>
      <c r="N33" s="27">
        <f t="shared" si="1"/>
        <v>0</v>
      </c>
      <c r="O33" s="41">
        <f t="shared" si="2"/>
        <v>0</v>
      </c>
      <c r="P33" s="28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24370.540000000005</v>
      </c>
      <c r="N34" s="72">
        <f>M34-O34</f>
        <v>24288.950000000004</v>
      </c>
      <c r="O34" s="49">
        <f>SUM(O2:O33)</f>
        <v>81.590000000000089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000"/>
  <sheetViews>
    <sheetView workbookViewId="0">
      <pane ySplit="1" topLeftCell="A27" activePane="bottomLeft" state="frozen"/>
      <selection pane="bottomLeft" activeCell="B27" sqref="B27:B31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45078</v>
      </c>
      <c r="B2" s="9">
        <v>709.14</v>
      </c>
      <c r="C2" s="9">
        <v>408.86</v>
      </c>
      <c r="D2" s="9">
        <v>62.74</v>
      </c>
      <c r="E2" s="9"/>
      <c r="F2" s="9"/>
      <c r="G2" s="9"/>
      <c r="H2" s="9">
        <v>91.7</v>
      </c>
      <c r="I2" s="9"/>
      <c r="J2" s="9"/>
      <c r="K2" s="9"/>
      <c r="L2" s="9">
        <v>160</v>
      </c>
      <c r="M2" s="31">
        <f t="shared" ref="M2:M32" si="0">C2+D2+E2+F2+G2+H2+I2+J2+L2+K2</f>
        <v>723.30000000000007</v>
      </c>
      <c r="N2" s="27">
        <f t="shared" ref="N2:N32" si="1">L2-O2</f>
        <v>145.83999999999992</v>
      </c>
      <c r="O2" s="32">
        <f t="shared" ref="O2:O32" si="2">M2-B2-F2</f>
        <v>14.160000000000082</v>
      </c>
      <c r="P2" s="33"/>
    </row>
    <row r="3" spans="1:18" ht="15.75" customHeight="1" x14ac:dyDescent="0.35">
      <c r="A3" s="26">
        <v>45079</v>
      </c>
      <c r="B3" s="9">
        <v>791.12</v>
      </c>
      <c r="C3" s="9">
        <v>464.84</v>
      </c>
      <c r="D3" s="9">
        <v>53.28</v>
      </c>
      <c r="E3" s="9"/>
      <c r="F3" s="9"/>
      <c r="G3" s="9"/>
      <c r="H3" s="9"/>
      <c r="I3" s="9"/>
      <c r="J3" s="9"/>
      <c r="K3" s="9"/>
      <c r="L3" s="9">
        <v>270</v>
      </c>
      <c r="M3" s="31">
        <f t="shared" si="0"/>
        <v>788.12</v>
      </c>
      <c r="N3" s="27">
        <f t="shared" si="1"/>
        <v>273</v>
      </c>
      <c r="O3" s="70">
        <f t="shared" si="2"/>
        <v>-3</v>
      </c>
      <c r="P3" s="28"/>
      <c r="Q3" s="56"/>
    </row>
    <row r="4" spans="1:18" ht="15.75" customHeight="1" x14ac:dyDescent="0.35">
      <c r="A4" s="26">
        <v>45080</v>
      </c>
      <c r="B4" s="9">
        <v>1383.24</v>
      </c>
      <c r="C4" s="9">
        <v>981.14</v>
      </c>
      <c r="D4" s="9">
        <v>81.5</v>
      </c>
      <c r="E4" s="9"/>
      <c r="F4" s="9"/>
      <c r="G4" s="9"/>
      <c r="H4" s="9"/>
      <c r="I4" s="9"/>
      <c r="J4" s="9"/>
      <c r="K4" s="9"/>
      <c r="L4" s="9">
        <v>350</v>
      </c>
      <c r="M4" s="31">
        <f t="shared" si="0"/>
        <v>1412.6399999999999</v>
      </c>
      <c r="N4" s="27">
        <f t="shared" si="1"/>
        <v>320.60000000000014</v>
      </c>
      <c r="O4" s="41">
        <f t="shared" si="2"/>
        <v>29.399999999999864</v>
      </c>
      <c r="P4" s="28"/>
    </row>
    <row r="5" spans="1:18" ht="15.75" customHeight="1" x14ac:dyDescent="0.35">
      <c r="A5" s="26">
        <v>45081</v>
      </c>
      <c r="B5" s="9">
        <v>1037.42</v>
      </c>
      <c r="C5" s="9">
        <v>630.1</v>
      </c>
      <c r="D5" s="9">
        <v>47.5</v>
      </c>
      <c r="E5" s="9"/>
      <c r="F5" s="9"/>
      <c r="G5" s="9"/>
      <c r="H5" s="9"/>
      <c r="I5" s="9"/>
      <c r="J5" s="9"/>
      <c r="K5" s="9"/>
      <c r="L5" s="9">
        <v>360</v>
      </c>
      <c r="M5" s="31">
        <f t="shared" si="0"/>
        <v>1037.5999999999999</v>
      </c>
      <c r="N5" s="27">
        <f t="shared" si="1"/>
        <v>359.82000000000016</v>
      </c>
      <c r="O5" s="41">
        <f t="shared" si="2"/>
        <v>0.17999999999983629</v>
      </c>
      <c r="P5" s="28"/>
    </row>
    <row r="6" spans="1:18" ht="15.75" customHeight="1" x14ac:dyDescent="0.35">
      <c r="A6" s="26">
        <v>45082</v>
      </c>
      <c r="B6" s="9">
        <v>485.85</v>
      </c>
      <c r="C6" s="9">
        <v>324.55</v>
      </c>
      <c r="D6" s="9">
        <v>29.7</v>
      </c>
      <c r="E6" s="9"/>
      <c r="F6" s="9"/>
      <c r="G6" s="9"/>
      <c r="H6" s="9"/>
      <c r="I6" s="9"/>
      <c r="J6" s="9"/>
      <c r="K6" s="9"/>
      <c r="L6" s="9">
        <v>135</v>
      </c>
      <c r="M6" s="31">
        <f t="shared" si="0"/>
        <v>489.25</v>
      </c>
      <c r="N6" s="27">
        <f t="shared" si="1"/>
        <v>131.60000000000002</v>
      </c>
      <c r="O6" s="41">
        <f t="shared" si="2"/>
        <v>3.3999999999999773</v>
      </c>
      <c r="P6" s="28"/>
    </row>
    <row r="7" spans="1:18" ht="15.75" customHeight="1" x14ac:dyDescent="0.35">
      <c r="A7" s="26">
        <v>45083</v>
      </c>
      <c r="B7" s="9">
        <v>567.26</v>
      </c>
      <c r="C7" s="9">
        <v>291.60000000000002</v>
      </c>
      <c r="D7" s="9">
        <v>90.1</v>
      </c>
      <c r="E7" s="9"/>
      <c r="F7" s="9"/>
      <c r="G7" s="9"/>
      <c r="H7" s="9">
        <v>32.9</v>
      </c>
      <c r="I7" s="9"/>
      <c r="J7" s="9"/>
      <c r="K7" s="16">
        <v>16.96</v>
      </c>
      <c r="L7" s="9">
        <v>135</v>
      </c>
      <c r="M7" s="31">
        <f t="shared" si="0"/>
        <v>566.56000000000006</v>
      </c>
      <c r="N7" s="27">
        <f t="shared" si="1"/>
        <v>135.69999999999993</v>
      </c>
      <c r="O7" s="41">
        <f t="shared" si="2"/>
        <v>-0.69999999999993179</v>
      </c>
      <c r="P7" s="28"/>
    </row>
    <row r="8" spans="1:18" ht="15.75" customHeight="1" x14ac:dyDescent="0.35">
      <c r="A8" s="26">
        <v>45084</v>
      </c>
      <c r="B8" s="9">
        <v>888.04</v>
      </c>
      <c r="C8" s="9">
        <v>193.8</v>
      </c>
      <c r="D8" s="9">
        <v>44</v>
      </c>
      <c r="E8" s="9"/>
      <c r="F8" s="9"/>
      <c r="G8" s="9"/>
      <c r="H8" s="9"/>
      <c r="I8" s="9"/>
      <c r="J8" s="9"/>
      <c r="K8" s="16">
        <f>503.59 + 57.85</f>
        <v>561.43999999999994</v>
      </c>
      <c r="L8" s="9">
        <v>90</v>
      </c>
      <c r="M8" s="31">
        <f t="shared" si="0"/>
        <v>889.24</v>
      </c>
      <c r="N8" s="27">
        <f t="shared" si="1"/>
        <v>88.799999999999955</v>
      </c>
      <c r="O8" s="41">
        <f t="shared" si="2"/>
        <v>1.2000000000000455</v>
      </c>
      <c r="P8" s="28"/>
    </row>
    <row r="9" spans="1:18" ht="15.75" customHeight="1" x14ac:dyDescent="0.35">
      <c r="A9" s="26">
        <v>45085</v>
      </c>
      <c r="B9" s="9">
        <v>655</v>
      </c>
      <c r="C9" s="9">
        <v>282.5</v>
      </c>
      <c r="D9" s="9">
        <v>42.94</v>
      </c>
      <c r="E9" s="9"/>
      <c r="F9" s="9"/>
      <c r="G9" s="9"/>
      <c r="H9" s="9">
        <v>34</v>
      </c>
      <c r="I9" s="9"/>
      <c r="J9" s="9"/>
      <c r="K9" s="16">
        <v>176.16</v>
      </c>
      <c r="L9" s="9">
        <v>120</v>
      </c>
      <c r="M9" s="31">
        <f t="shared" si="0"/>
        <v>655.6</v>
      </c>
      <c r="N9" s="27">
        <f t="shared" si="1"/>
        <v>119.39999999999998</v>
      </c>
      <c r="O9" s="41">
        <f t="shared" si="2"/>
        <v>0.60000000000002274</v>
      </c>
      <c r="P9" s="28"/>
    </row>
    <row r="10" spans="1:18" ht="15.75" customHeight="1" x14ac:dyDescent="0.35">
      <c r="A10" s="26">
        <v>45086</v>
      </c>
      <c r="B10" s="9">
        <v>1176.6199999999999</v>
      </c>
      <c r="C10" s="9">
        <v>428</v>
      </c>
      <c r="D10" s="9">
        <v>31.5</v>
      </c>
      <c r="E10" s="9"/>
      <c r="F10" s="9"/>
      <c r="G10" s="9"/>
      <c r="H10" s="9"/>
      <c r="I10" s="9"/>
      <c r="J10" s="9"/>
      <c r="K10" s="16">
        <v>443.22</v>
      </c>
      <c r="L10" s="9">
        <v>290</v>
      </c>
      <c r="M10" s="31">
        <f t="shared" si="0"/>
        <v>1192.72</v>
      </c>
      <c r="N10" s="27">
        <f t="shared" si="1"/>
        <v>273.89999999999986</v>
      </c>
      <c r="O10" s="41">
        <f t="shared" si="2"/>
        <v>16.100000000000136</v>
      </c>
      <c r="P10" s="28"/>
    </row>
    <row r="11" spans="1:18" ht="15.75" customHeight="1" x14ac:dyDescent="0.35">
      <c r="A11" s="26">
        <v>45087</v>
      </c>
      <c r="B11" s="9">
        <v>1572.48</v>
      </c>
      <c r="C11" s="9">
        <v>1057.8900000000001</v>
      </c>
      <c r="D11" s="9">
        <v>114.3</v>
      </c>
      <c r="E11" s="9"/>
      <c r="F11" s="9"/>
      <c r="G11" s="9"/>
      <c r="H11" s="9">
        <v>18.899999999999999</v>
      </c>
      <c r="I11" s="9"/>
      <c r="J11" s="9"/>
      <c r="K11" s="16">
        <v>60.19</v>
      </c>
      <c r="L11" s="9">
        <v>330</v>
      </c>
      <c r="M11" s="31">
        <f t="shared" si="0"/>
        <v>1581.2800000000002</v>
      </c>
      <c r="N11" s="27">
        <f t="shared" si="1"/>
        <v>321.19999999999982</v>
      </c>
      <c r="O11" s="41">
        <f t="shared" si="2"/>
        <v>8.8000000000001819</v>
      </c>
      <c r="P11" s="28"/>
    </row>
    <row r="12" spans="1:18" ht="15.75" customHeight="1" x14ac:dyDescent="0.35">
      <c r="A12" s="26">
        <v>45088</v>
      </c>
      <c r="B12" s="9">
        <v>1374.1</v>
      </c>
      <c r="C12" s="9">
        <v>915.9</v>
      </c>
      <c r="D12" s="9">
        <v>119.4</v>
      </c>
      <c r="E12" s="9"/>
      <c r="F12" s="9"/>
      <c r="G12" s="9"/>
      <c r="H12" s="9">
        <v>18.899999999999999</v>
      </c>
      <c r="I12" s="9"/>
      <c r="J12" s="9"/>
      <c r="K12" s="9"/>
      <c r="L12" s="9">
        <v>320</v>
      </c>
      <c r="M12" s="31">
        <f t="shared" si="0"/>
        <v>1374.2</v>
      </c>
      <c r="N12" s="27">
        <f t="shared" si="1"/>
        <v>319.89999999999986</v>
      </c>
      <c r="O12" s="41">
        <f t="shared" si="2"/>
        <v>0.10000000000013642</v>
      </c>
      <c r="P12" s="28"/>
      <c r="Q12" s="56"/>
    </row>
    <row r="13" spans="1:18" ht="15.75" customHeight="1" x14ac:dyDescent="0.35">
      <c r="A13" s="26">
        <v>45089</v>
      </c>
      <c r="B13" s="9">
        <v>640.96</v>
      </c>
      <c r="C13" s="9">
        <v>439.02</v>
      </c>
      <c r="D13" s="9">
        <v>40.24</v>
      </c>
      <c r="E13" s="9"/>
      <c r="F13" s="9"/>
      <c r="G13" s="9"/>
      <c r="H13" s="9">
        <v>52.8</v>
      </c>
      <c r="I13" s="9"/>
      <c r="J13" s="9"/>
      <c r="K13" s="9"/>
      <c r="L13" s="9">
        <v>110</v>
      </c>
      <c r="M13" s="31">
        <f t="shared" si="0"/>
        <v>642.05999999999995</v>
      </c>
      <c r="N13" s="27">
        <f t="shared" si="1"/>
        <v>108.90000000000009</v>
      </c>
      <c r="O13" s="41">
        <f t="shared" si="2"/>
        <v>1.0999999999999091</v>
      </c>
      <c r="P13" s="28"/>
    </row>
    <row r="14" spans="1:18" ht="15.75" customHeight="1" x14ac:dyDescent="0.35">
      <c r="A14" s="26">
        <v>45090</v>
      </c>
      <c r="B14" s="9">
        <v>537.84</v>
      </c>
      <c r="C14" s="9">
        <v>329.74</v>
      </c>
      <c r="D14" s="9">
        <v>24.2</v>
      </c>
      <c r="E14" s="9"/>
      <c r="F14" s="9"/>
      <c r="G14" s="9"/>
      <c r="H14" s="9">
        <v>18.899999999999999</v>
      </c>
      <c r="I14" s="9"/>
      <c r="J14" s="9"/>
      <c r="K14" s="9"/>
      <c r="L14" s="9">
        <v>165</v>
      </c>
      <c r="M14" s="31">
        <f t="shared" si="0"/>
        <v>537.83999999999992</v>
      </c>
      <c r="N14" s="27">
        <f t="shared" si="1"/>
        <v>165.00000000000011</v>
      </c>
      <c r="O14" s="41">
        <f t="shared" si="2"/>
        <v>-1.1368683772161603E-13</v>
      </c>
      <c r="P14" s="28">
        <v>76.81</v>
      </c>
    </row>
    <row r="15" spans="1:18" ht="15.75" customHeight="1" x14ac:dyDescent="0.35">
      <c r="A15" s="26">
        <v>45091</v>
      </c>
      <c r="B15" s="9">
        <v>543.35</v>
      </c>
      <c r="C15" s="9">
        <v>356.15</v>
      </c>
      <c r="D15" s="9">
        <v>22</v>
      </c>
      <c r="E15" s="9"/>
      <c r="F15" s="9"/>
      <c r="G15" s="9"/>
      <c r="H15" s="9">
        <v>19.8</v>
      </c>
      <c r="I15" s="9"/>
      <c r="J15" s="9"/>
      <c r="K15" s="9"/>
      <c r="L15" s="9">
        <v>145</v>
      </c>
      <c r="M15" s="31">
        <f t="shared" si="0"/>
        <v>542.95000000000005</v>
      </c>
      <c r="N15" s="27">
        <f t="shared" si="1"/>
        <v>145.39999999999998</v>
      </c>
      <c r="O15" s="41">
        <f t="shared" si="2"/>
        <v>-0.39999999999997726</v>
      </c>
      <c r="P15" s="28"/>
    </row>
    <row r="16" spans="1:18" ht="15.75" customHeight="1" x14ac:dyDescent="0.35">
      <c r="A16" s="26">
        <v>45092</v>
      </c>
      <c r="B16" s="9">
        <v>810.28</v>
      </c>
      <c r="C16" s="9">
        <v>442.4</v>
      </c>
      <c r="D16" s="9">
        <v>103.88</v>
      </c>
      <c r="E16" s="9"/>
      <c r="F16" s="9"/>
      <c r="G16" s="9"/>
      <c r="H16" s="9">
        <v>33.1</v>
      </c>
      <c r="I16" s="9"/>
      <c r="J16" s="9"/>
      <c r="K16" s="9"/>
      <c r="L16" s="9">
        <v>235</v>
      </c>
      <c r="M16" s="31">
        <f t="shared" si="0"/>
        <v>814.38</v>
      </c>
      <c r="N16" s="27">
        <f t="shared" si="1"/>
        <v>230.89999999999998</v>
      </c>
      <c r="O16" s="41">
        <f t="shared" si="2"/>
        <v>4.1000000000000227</v>
      </c>
      <c r="P16" s="28"/>
    </row>
    <row r="17" spans="1:16" ht="15.75" customHeight="1" x14ac:dyDescent="0.35">
      <c r="A17" s="26">
        <v>45093</v>
      </c>
      <c r="B17" s="9">
        <v>1097.53</v>
      </c>
      <c r="C17" s="9">
        <v>585.82000000000005</v>
      </c>
      <c r="D17" s="9">
        <v>82.4</v>
      </c>
      <c r="E17" s="9"/>
      <c r="F17" s="9"/>
      <c r="G17" s="9"/>
      <c r="H17" s="9">
        <v>60.8</v>
      </c>
      <c r="I17" s="9"/>
      <c r="J17" s="9"/>
      <c r="K17" s="16">
        <v>87.91</v>
      </c>
      <c r="L17" s="9">
        <v>280</v>
      </c>
      <c r="M17" s="31">
        <f t="shared" si="0"/>
        <v>1096.93</v>
      </c>
      <c r="N17" s="27">
        <f t="shared" si="1"/>
        <v>280.59999999999991</v>
      </c>
      <c r="O17" s="41">
        <f t="shared" si="2"/>
        <v>-0.59999999999990905</v>
      </c>
      <c r="P17" s="28">
        <v>76.83</v>
      </c>
    </row>
    <row r="18" spans="1:16" ht="15.75" customHeight="1" x14ac:dyDescent="0.35">
      <c r="A18" s="26">
        <v>45094</v>
      </c>
      <c r="B18" s="9">
        <v>1773.93</v>
      </c>
      <c r="C18" s="9">
        <v>1220.82</v>
      </c>
      <c r="D18" s="9">
        <v>128.91</v>
      </c>
      <c r="E18" s="9"/>
      <c r="F18" s="9"/>
      <c r="G18" s="9"/>
      <c r="H18" s="9">
        <v>73.7</v>
      </c>
      <c r="I18" s="9"/>
      <c r="J18" s="9"/>
      <c r="K18" s="9"/>
      <c r="L18" s="9">
        <v>350</v>
      </c>
      <c r="M18" s="31">
        <f t="shared" si="0"/>
        <v>1773.43</v>
      </c>
      <c r="N18" s="27">
        <f t="shared" si="1"/>
        <v>350.5</v>
      </c>
      <c r="O18" s="41">
        <f t="shared" si="2"/>
        <v>-0.5</v>
      </c>
      <c r="P18" s="28"/>
    </row>
    <row r="19" spans="1:16" ht="15.75" customHeight="1" x14ac:dyDescent="0.35">
      <c r="A19" s="26">
        <v>45095</v>
      </c>
      <c r="B19" s="9">
        <v>1406.86</v>
      </c>
      <c r="C19" s="9">
        <v>863.16</v>
      </c>
      <c r="D19" s="9">
        <v>111.1</v>
      </c>
      <c r="E19" s="9"/>
      <c r="F19" s="9"/>
      <c r="G19" s="9"/>
      <c r="H19" s="9">
        <v>51.9</v>
      </c>
      <c r="I19" s="9"/>
      <c r="J19" s="9"/>
      <c r="K19" s="9"/>
      <c r="L19" s="9">
        <v>395</v>
      </c>
      <c r="M19" s="31">
        <f t="shared" si="0"/>
        <v>1421.16</v>
      </c>
      <c r="N19" s="27">
        <f t="shared" si="1"/>
        <v>380.69999999999982</v>
      </c>
      <c r="O19" s="41">
        <f t="shared" si="2"/>
        <v>14.300000000000182</v>
      </c>
      <c r="P19" s="28"/>
    </row>
    <row r="20" spans="1:16" ht="15.75" customHeight="1" x14ac:dyDescent="0.35">
      <c r="A20" s="26">
        <v>45096</v>
      </c>
      <c r="B20" s="9">
        <v>498.32</v>
      </c>
      <c r="C20" s="9">
        <v>301.54000000000002</v>
      </c>
      <c r="D20" s="9">
        <v>20</v>
      </c>
      <c r="E20" s="9"/>
      <c r="F20" s="9"/>
      <c r="G20" s="9"/>
      <c r="H20" s="9"/>
      <c r="I20" s="9"/>
      <c r="J20" s="9"/>
      <c r="K20" s="16">
        <v>25.08</v>
      </c>
      <c r="L20" s="9">
        <v>150</v>
      </c>
      <c r="M20" s="31">
        <f t="shared" si="0"/>
        <v>496.62</v>
      </c>
      <c r="N20" s="27">
        <f t="shared" si="1"/>
        <v>151.69999999999999</v>
      </c>
      <c r="O20" s="41">
        <f t="shared" si="2"/>
        <v>-1.6999999999999886</v>
      </c>
      <c r="P20" s="28"/>
    </row>
    <row r="21" spans="1:16" ht="15.75" customHeight="1" x14ac:dyDescent="0.35">
      <c r="A21" s="26">
        <v>45097</v>
      </c>
      <c r="B21" s="9">
        <v>560.44000000000005</v>
      </c>
      <c r="C21" s="9">
        <v>354.82</v>
      </c>
      <c r="D21" s="9">
        <v>22.2</v>
      </c>
      <c r="E21" s="9"/>
      <c r="F21" s="9"/>
      <c r="G21" s="9"/>
      <c r="H21" s="9">
        <v>32.9</v>
      </c>
      <c r="I21" s="9"/>
      <c r="J21" s="9"/>
      <c r="K21" s="9"/>
      <c r="L21" s="9">
        <v>170</v>
      </c>
      <c r="M21" s="31">
        <f t="shared" si="0"/>
        <v>579.91999999999996</v>
      </c>
      <c r="N21" s="27">
        <f t="shared" si="1"/>
        <v>150.5200000000001</v>
      </c>
      <c r="O21" s="41">
        <f t="shared" si="2"/>
        <v>19.479999999999905</v>
      </c>
      <c r="P21" s="28"/>
    </row>
    <row r="22" spans="1:16" ht="15.75" customHeight="1" x14ac:dyDescent="0.35">
      <c r="A22" s="26">
        <v>45098</v>
      </c>
      <c r="B22" s="9">
        <v>669.26</v>
      </c>
      <c r="C22" s="9">
        <v>371.48</v>
      </c>
      <c r="D22" s="9">
        <v>63.2</v>
      </c>
      <c r="E22" s="9"/>
      <c r="F22" s="9"/>
      <c r="G22" s="9"/>
      <c r="H22" s="9">
        <v>38.9</v>
      </c>
      <c r="I22" s="9"/>
      <c r="J22" s="9"/>
      <c r="K22" s="9"/>
      <c r="L22" s="9">
        <v>205</v>
      </c>
      <c r="M22" s="31">
        <f t="shared" si="0"/>
        <v>678.57999999999993</v>
      </c>
      <c r="N22" s="27">
        <f t="shared" si="1"/>
        <v>195.68000000000006</v>
      </c>
      <c r="O22" s="41">
        <f t="shared" si="2"/>
        <v>9.3199999999999363</v>
      </c>
      <c r="P22" s="28">
        <v>76.819999999999993</v>
      </c>
    </row>
    <row r="23" spans="1:16" ht="15.75" customHeight="1" x14ac:dyDescent="0.35">
      <c r="A23" s="26">
        <v>45099</v>
      </c>
      <c r="B23" s="9">
        <v>958.07</v>
      </c>
      <c r="C23" s="9">
        <v>622.28</v>
      </c>
      <c r="D23" s="9">
        <v>64.599999999999994</v>
      </c>
      <c r="E23" s="9"/>
      <c r="F23" s="9"/>
      <c r="G23" s="9"/>
      <c r="H23" s="9"/>
      <c r="I23" s="9"/>
      <c r="J23" s="9"/>
      <c r="K23" s="16">
        <v>56.49</v>
      </c>
      <c r="L23" s="9">
        <v>210</v>
      </c>
      <c r="M23" s="31">
        <f t="shared" si="0"/>
        <v>953.37</v>
      </c>
      <c r="N23" s="27">
        <f t="shared" si="1"/>
        <v>214.70000000000005</v>
      </c>
      <c r="O23" s="41">
        <f t="shared" si="2"/>
        <v>-4.7000000000000455</v>
      </c>
      <c r="P23" s="28">
        <v>73.59</v>
      </c>
    </row>
    <row r="24" spans="1:16" ht="15.75" customHeight="1" x14ac:dyDescent="0.35">
      <c r="A24" s="26">
        <v>45100</v>
      </c>
      <c r="B24" s="9">
        <v>1299.57</v>
      </c>
      <c r="C24" s="9">
        <v>780.6</v>
      </c>
      <c r="D24" s="9">
        <v>75.7</v>
      </c>
      <c r="E24" s="9"/>
      <c r="F24" s="9"/>
      <c r="G24" s="9"/>
      <c r="H24" s="9">
        <v>37.799999999999997</v>
      </c>
      <c r="I24" s="9"/>
      <c r="J24" s="9"/>
      <c r="K24" s="16">
        <v>89.67</v>
      </c>
      <c r="L24" s="9">
        <v>320</v>
      </c>
      <c r="M24" s="31">
        <f t="shared" si="0"/>
        <v>1303.77</v>
      </c>
      <c r="N24" s="27">
        <f t="shared" si="1"/>
        <v>315.79999999999995</v>
      </c>
      <c r="O24" s="41">
        <f t="shared" si="2"/>
        <v>4.2000000000000455</v>
      </c>
      <c r="P24" s="28"/>
    </row>
    <row r="25" spans="1:16" ht="15.75" customHeight="1" x14ac:dyDescent="0.35">
      <c r="A25" s="26">
        <v>45101</v>
      </c>
      <c r="B25" s="9">
        <v>2277.21</v>
      </c>
      <c r="C25" s="9">
        <v>1411.46</v>
      </c>
      <c r="D25" s="9">
        <v>223.68</v>
      </c>
      <c r="E25" s="9"/>
      <c r="F25" s="9"/>
      <c r="G25" s="9"/>
      <c r="H25" s="9">
        <v>32.9</v>
      </c>
      <c r="I25" s="9"/>
      <c r="J25" s="9"/>
      <c r="K25" s="9"/>
      <c r="L25" s="9">
        <v>550</v>
      </c>
      <c r="M25" s="31">
        <f t="shared" si="0"/>
        <v>2218.04</v>
      </c>
      <c r="N25" s="27">
        <f t="shared" si="1"/>
        <v>609.17000000000007</v>
      </c>
      <c r="O25" s="41">
        <f t="shared" si="2"/>
        <v>-59.170000000000073</v>
      </c>
      <c r="P25" s="28"/>
    </row>
    <row r="26" spans="1:16" ht="15.75" customHeight="1" x14ac:dyDescent="0.35">
      <c r="A26" s="26">
        <v>45102</v>
      </c>
      <c r="B26" s="9">
        <v>2148.8200000000002</v>
      </c>
      <c r="C26" s="9">
        <v>1284.82</v>
      </c>
      <c r="D26" s="9">
        <v>202.4</v>
      </c>
      <c r="E26" s="9"/>
      <c r="F26" s="9"/>
      <c r="G26" s="9">
        <v>18.899999999999999</v>
      </c>
      <c r="H26" s="9"/>
      <c r="I26" s="9"/>
      <c r="J26" s="9"/>
      <c r="K26" s="9"/>
      <c r="L26" s="9">
        <v>650</v>
      </c>
      <c r="M26" s="31">
        <f t="shared" si="0"/>
        <v>2156.12</v>
      </c>
      <c r="N26" s="27">
        <f t="shared" si="1"/>
        <v>642.70000000000027</v>
      </c>
      <c r="O26" s="41">
        <f t="shared" si="2"/>
        <v>7.2999999999997272</v>
      </c>
      <c r="P26" s="28"/>
    </row>
    <row r="27" spans="1:16" ht="15.75" customHeight="1" x14ac:dyDescent="0.35">
      <c r="A27" s="26">
        <v>45103</v>
      </c>
      <c r="B27" s="9">
        <v>993.02</v>
      </c>
      <c r="C27" s="9">
        <v>528.17999999999995</v>
      </c>
      <c r="D27" s="9">
        <v>54.2</v>
      </c>
      <c r="E27" s="9"/>
      <c r="F27" s="9"/>
      <c r="G27" s="9"/>
      <c r="H27" s="9">
        <v>19.899999999999999</v>
      </c>
      <c r="I27" s="9"/>
      <c r="J27" s="9"/>
      <c r="K27" s="16">
        <v>113.24</v>
      </c>
      <c r="L27" s="9">
        <v>270</v>
      </c>
      <c r="M27" s="31">
        <f t="shared" si="0"/>
        <v>985.52</v>
      </c>
      <c r="N27" s="27">
        <f t="shared" si="1"/>
        <v>277.5</v>
      </c>
      <c r="O27" s="41">
        <f t="shared" si="2"/>
        <v>-7.5</v>
      </c>
      <c r="P27" s="28"/>
    </row>
    <row r="28" spans="1:16" ht="15.75" customHeight="1" x14ac:dyDescent="0.35">
      <c r="A28" s="26">
        <v>45104</v>
      </c>
      <c r="B28" s="9">
        <v>1131.8599999999999</v>
      </c>
      <c r="C28" s="9">
        <v>652.46</v>
      </c>
      <c r="D28" s="9">
        <v>41</v>
      </c>
      <c r="E28" s="9"/>
      <c r="F28" s="9"/>
      <c r="G28" s="9"/>
      <c r="H28" s="9">
        <v>34</v>
      </c>
      <c r="I28" s="9"/>
      <c r="J28" s="9"/>
      <c r="K28" s="9"/>
      <c r="L28" s="9">
        <v>420</v>
      </c>
      <c r="M28" s="31">
        <f t="shared" si="0"/>
        <v>1147.46</v>
      </c>
      <c r="N28" s="27">
        <f t="shared" si="1"/>
        <v>404.39999999999986</v>
      </c>
      <c r="O28" s="41">
        <f t="shared" si="2"/>
        <v>15.600000000000136</v>
      </c>
      <c r="P28" s="28"/>
    </row>
    <row r="29" spans="1:16" ht="15.75" customHeight="1" x14ac:dyDescent="0.35">
      <c r="A29" s="26">
        <v>45105</v>
      </c>
      <c r="B29" s="9">
        <v>907.54</v>
      </c>
      <c r="C29" s="9">
        <v>477.74</v>
      </c>
      <c r="D29" s="9">
        <v>75.8</v>
      </c>
      <c r="E29" s="9"/>
      <c r="F29" s="9"/>
      <c r="G29" s="9"/>
      <c r="H29" s="9"/>
      <c r="I29" s="9"/>
      <c r="J29" s="9"/>
      <c r="K29" s="9"/>
      <c r="L29" s="9">
        <v>350</v>
      </c>
      <c r="M29" s="31">
        <f t="shared" si="0"/>
        <v>903.54</v>
      </c>
      <c r="N29" s="27">
        <f t="shared" si="1"/>
        <v>354</v>
      </c>
      <c r="O29" s="41">
        <f t="shared" si="2"/>
        <v>-4</v>
      </c>
      <c r="P29" s="28"/>
    </row>
    <row r="30" spans="1:16" ht="15.75" customHeight="1" x14ac:dyDescent="0.35">
      <c r="A30" s="26">
        <v>45106</v>
      </c>
      <c r="B30" s="9">
        <v>785.39</v>
      </c>
      <c r="C30" s="9">
        <v>424.59</v>
      </c>
      <c r="D30" s="9">
        <v>72.2</v>
      </c>
      <c r="E30" s="9"/>
      <c r="F30" s="9"/>
      <c r="G30" s="9"/>
      <c r="H30" s="9"/>
      <c r="I30" s="9"/>
      <c r="J30" s="9"/>
      <c r="K30" s="9"/>
      <c r="L30" s="9">
        <v>280</v>
      </c>
      <c r="M30" s="31">
        <f t="shared" si="0"/>
        <v>776.79</v>
      </c>
      <c r="N30" s="27">
        <f t="shared" si="1"/>
        <v>288.60000000000002</v>
      </c>
      <c r="O30" s="41">
        <f t="shared" si="2"/>
        <v>-8.6000000000000227</v>
      </c>
      <c r="P30" s="28"/>
    </row>
    <row r="31" spans="1:16" ht="15.75" customHeight="1" x14ac:dyDescent="0.35">
      <c r="A31" s="26">
        <v>45107</v>
      </c>
      <c r="B31" s="9">
        <v>1118.33</v>
      </c>
      <c r="C31" s="9">
        <v>656.49</v>
      </c>
      <c r="D31" s="9">
        <v>126.4</v>
      </c>
      <c r="E31" s="9"/>
      <c r="F31" s="9"/>
      <c r="G31" s="9"/>
      <c r="H31" s="9">
        <v>32.9</v>
      </c>
      <c r="I31" s="9"/>
      <c r="J31" s="9"/>
      <c r="K31" s="9"/>
      <c r="L31" s="9">
        <v>300</v>
      </c>
      <c r="M31" s="31">
        <f t="shared" si="0"/>
        <v>1115.79</v>
      </c>
      <c r="N31" s="27">
        <f t="shared" si="1"/>
        <v>302.53999999999996</v>
      </c>
      <c r="O31" s="41">
        <f t="shared" si="2"/>
        <v>-2.5399999999999636</v>
      </c>
      <c r="P31" s="28"/>
    </row>
    <row r="32" spans="1:16" ht="15.75" customHeight="1" x14ac:dyDescent="0.35">
      <c r="A32" s="26"/>
      <c r="B32" s="44"/>
      <c r="C32" s="44"/>
      <c r="D32" s="44"/>
      <c r="E32" s="9"/>
      <c r="F32" s="9"/>
      <c r="G32" s="9"/>
      <c r="H32" s="44"/>
      <c r="I32" s="9"/>
      <c r="J32" s="9"/>
      <c r="K32" s="55"/>
      <c r="L32" s="44"/>
      <c r="M32" s="31">
        <f t="shared" si="0"/>
        <v>0</v>
      </c>
      <c r="N32" s="27">
        <f t="shared" si="1"/>
        <v>0</v>
      </c>
      <c r="O32" s="41">
        <f t="shared" si="2"/>
        <v>0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30854.78</v>
      </c>
      <c r="N33" s="72">
        <f>M33-O33</f>
        <v>30798.85</v>
      </c>
      <c r="O33" s="49">
        <f>SUM(O2:O32)</f>
        <v>55.930000000000121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5965-F55D-4F7B-B712-4EFAEA23512B}">
  <dimension ref="A1:J1000"/>
  <sheetViews>
    <sheetView topLeftCell="A83" zoomScale="85" zoomScaleNormal="85" workbookViewId="0">
      <selection activeCell="O1" sqref="O1"/>
    </sheetView>
  </sheetViews>
  <sheetFormatPr defaultColWidth="11.25" defaultRowHeight="15" customHeight="1" x14ac:dyDescent="0.35"/>
  <cols>
    <col min="1" max="1" width="12.83203125" customWidth="1"/>
    <col min="2" max="2" width="10.58203125" customWidth="1"/>
    <col min="3" max="3" width="10.08203125" customWidth="1"/>
    <col min="4" max="4" width="9.08203125" customWidth="1"/>
    <col min="5" max="5" width="11.58203125" customWidth="1"/>
    <col min="6" max="6" width="101" bestFit="1" customWidth="1"/>
    <col min="7" max="7" width="10.5" bestFit="1" customWidth="1"/>
    <col min="8" max="9" width="11.5" customWidth="1"/>
    <col min="10" max="26" width="8.83203125" customWidth="1"/>
  </cols>
  <sheetData>
    <row r="1" spans="1:10" ht="15.75" customHeight="1" x14ac:dyDescent="0.35">
      <c r="A1" s="4" t="s">
        <v>2389</v>
      </c>
      <c r="B1" s="5" t="s">
        <v>2390</v>
      </c>
      <c r="C1" s="5" t="s">
        <v>2391</v>
      </c>
      <c r="D1" s="5"/>
      <c r="E1" s="5" t="s">
        <v>2392</v>
      </c>
      <c r="F1" s="4" t="s">
        <v>2393</v>
      </c>
    </row>
    <row r="2" spans="1:10" ht="15.75" customHeight="1" x14ac:dyDescent="0.35">
      <c r="A2" s="64">
        <v>45548</v>
      </c>
      <c r="B2" s="65"/>
      <c r="C2" s="65">
        <f>'Set 24 Bolhão'!Q3</f>
        <v>152.70000000000005</v>
      </c>
      <c r="D2" s="65"/>
      <c r="E2" s="65"/>
      <c r="F2" s="66"/>
    </row>
    <row r="3" spans="1:10" ht="15.75" customHeight="1" x14ac:dyDescent="0.35">
      <c r="A3" s="64">
        <v>45549</v>
      </c>
      <c r="B3" s="65"/>
      <c r="C3" s="65">
        <f>'Set 24 Bolhão'!Q4</f>
        <v>188.30000000000007</v>
      </c>
      <c r="D3" s="8"/>
      <c r="E3" s="8"/>
      <c r="F3" s="9"/>
    </row>
    <row r="4" spans="1:10" ht="15.75" customHeight="1" x14ac:dyDescent="0.35">
      <c r="A4" s="64">
        <v>45550</v>
      </c>
      <c r="B4" s="65"/>
      <c r="C4" s="65">
        <f>'Set 24 Bolhão'!Q5</f>
        <v>159.89999999999998</v>
      </c>
      <c r="D4" s="8"/>
      <c r="E4" s="8"/>
      <c r="F4" s="9"/>
    </row>
    <row r="5" spans="1:10" ht="15.75" customHeight="1" x14ac:dyDescent="0.35">
      <c r="A5" s="64">
        <v>45551</v>
      </c>
      <c r="B5" s="65"/>
      <c r="C5" s="65">
        <f>'Set 24 Bolhão'!Q6</f>
        <v>152.30000000000007</v>
      </c>
      <c r="D5" s="8"/>
      <c r="E5" s="8"/>
      <c r="F5" s="9"/>
    </row>
    <row r="6" spans="1:10" ht="15.75" customHeight="1" x14ac:dyDescent="0.35">
      <c r="A6" s="64">
        <v>45552</v>
      </c>
      <c r="B6" s="101">
        <v>655</v>
      </c>
      <c r="C6" s="65">
        <f>'Set 24 Bolhão'!Q7</f>
        <v>225</v>
      </c>
      <c r="D6" s="8"/>
      <c r="E6" s="8"/>
      <c r="F6" s="9"/>
    </row>
    <row r="7" spans="1:10" ht="15.75" customHeight="1" x14ac:dyDescent="0.35">
      <c r="A7" s="64">
        <v>45553</v>
      </c>
      <c r="B7" s="65"/>
      <c r="C7" s="65">
        <f>'Set 24 Bolhão'!Q8</f>
        <v>96</v>
      </c>
      <c r="D7" s="8"/>
      <c r="E7" s="8"/>
      <c r="F7" s="9"/>
    </row>
    <row r="8" spans="1:10" ht="15.75" customHeight="1" x14ac:dyDescent="0.35">
      <c r="A8" s="64">
        <v>45554</v>
      </c>
      <c r="B8" s="65"/>
      <c r="C8" s="65">
        <f>'Set 24 Bolhão'!Q9</f>
        <v>173.09999999999991</v>
      </c>
      <c r="D8" s="8"/>
      <c r="E8" s="8"/>
      <c r="F8" s="9"/>
    </row>
    <row r="9" spans="1:10" ht="15.75" customHeight="1" x14ac:dyDescent="0.35">
      <c r="A9" s="64">
        <v>45555</v>
      </c>
      <c r="B9" s="65"/>
      <c r="C9" s="65">
        <f>'Set 24 Bolhão'!Q10</f>
        <v>237.29999999999995</v>
      </c>
      <c r="D9" s="8"/>
      <c r="E9" s="8"/>
      <c r="F9" s="9"/>
      <c r="G9" s="1"/>
      <c r="J9" s="1"/>
    </row>
    <row r="10" spans="1:10" ht="15.75" customHeight="1" x14ac:dyDescent="0.35">
      <c r="A10" s="64">
        <v>45556</v>
      </c>
      <c r="B10" s="65"/>
      <c r="C10" s="65">
        <f>'Set 24 Bolhão'!Q11</f>
        <v>309.60000000000002</v>
      </c>
      <c r="D10" s="8"/>
      <c r="E10" s="8"/>
      <c r="F10" s="9"/>
    </row>
    <row r="11" spans="1:10" ht="15.75" customHeight="1" x14ac:dyDescent="0.35">
      <c r="A11" s="64">
        <v>45557</v>
      </c>
      <c r="B11" s="65"/>
      <c r="C11" s="65">
        <f>'Set 24 Bolhão'!Q12</f>
        <v>195.10000000000002</v>
      </c>
      <c r="D11" s="8"/>
      <c r="E11" s="8"/>
      <c r="F11" s="9"/>
    </row>
    <row r="12" spans="1:10" ht="15.75" customHeight="1" x14ac:dyDescent="0.35">
      <c r="A12" s="64">
        <v>45558</v>
      </c>
      <c r="B12" s="101">
        <v>1230</v>
      </c>
      <c r="C12" s="65">
        <f>'Set 24 Bolhão'!Q13</f>
        <v>0</v>
      </c>
      <c r="D12" s="8"/>
      <c r="E12" s="8"/>
      <c r="F12" s="9"/>
    </row>
    <row r="13" spans="1:10" ht="15.75" customHeight="1" x14ac:dyDescent="0.35">
      <c r="A13" s="64">
        <v>45559</v>
      </c>
      <c r="B13" s="65"/>
      <c r="C13" s="65">
        <f>'Set 24 Bolhão'!Q14</f>
        <v>96.399999999999977</v>
      </c>
      <c r="D13" s="8"/>
      <c r="E13" s="8"/>
      <c r="F13" s="9"/>
    </row>
    <row r="14" spans="1:10" ht="15.75" customHeight="1" x14ac:dyDescent="0.35">
      <c r="A14" s="64">
        <v>45560</v>
      </c>
      <c r="B14" s="65"/>
      <c r="C14" s="65">
        <f>'Set 24 Bolhão'!Q15</f>
        <v>33.800000000000011</v>
      </c>
      <c r="D14" s="8"/>
      <c r="E14" s="8"/>
      <c r="F14" s="9"/>
    </row>
    <row r="15" spans="1:10" ht="15.75" customHeight="1" x14ac:dyDescent="0.35">
      <c r="A15" s="64">
        <v>45561</v>
      </c>
      <c r="B15" s="65"/>
      <c r="C15" s="65">
        <f>'Set 24 Bolhão'!Q16</f>
        <v>108.39999999999998</v>
      </c>
      <c r="D15" s="8"/>
      <c r="E15" s="8"/>
      <c r="F15" s="9"/>
    </row>
    <row r="16" spans="1:10" ht="15.75" customHeight="1" x14ac:dyDescent="0.35">
      <c r="A16" s="64">
        <v>45562</v>
      </c>
      <c r="B16" s="65"/>
      <c r="C16" s="65">
        <f>'Set 24 Bolhão'!Q17</f>
        <v>132.30000000000001</v>
      </c>
      <c r="D16" s="8"/>
      <c r="E16" s="8"/>
      <c r="F16" s="9"/>
    </row>
    <row r="17" spans="1:6" ht="15.75" customHeight="1" x14ac:dyDescent="0.35">
      <c r="A17" s="64">
        <v>45563</v>
      </c>
      <c r="B17" s="65"/>
      <c r="C17" s="65">
        <f>'Set 24 Bolhão'!Q18</f>
        <v>177.79999999999995</v>
      </c>
      <c r="D17" s="8"/>
      <c r="E17" s="8"/>
      <c r="F17" s="9"/>
    </row>
    <row r="18" spans="1:6" ht="15.75" customHeight="1" x14ac:dyDescent="0.35">
      <c r="A18" s="64">
        <v>45564</v>
      </c>
      <c r="B18" s="65"/>
      <c r="C18" s="65">
        <f>'Set 24 Bolhão'!Q19</f>
        <v>189.79999999999995</v>
      </c>
      <c r="D18" s="8"/>
      <c r="E18" s="8"/>
      <c r="F18" s="9"/>
    </row>
    <row r="19" spans="1:6" ht="15.75" customHeight="1" x14ac:dyDescent="0.35">
      <c r="A19" s="64">
        <v>45565</v>
      </c>
      <c r="B19" s="101">
        <v>740</v>
      </c>
      <c r="C19" s="65">
        <f>'Set 24 Bolhão'!Q20</f>
        <v>0</v>
      </c>
      <c r="D19" s="8"/>
      <c r="E19" s="8"/>
      <c r="F19" s="9"/>
    </row>
    <row r="20" spans="1:6" ht="15.75" customHeight="1" x14ac:dyDescent="0.35">
      <c r="A20" s="4" t="s">
        <v>2389</v>
      </c>
      <c r="B20" s="5" t="s">
        <v>2390</v>
      </c>
      <c r="C20" s="5" t="s">
        <v>2391</v>
      </c>
      <c r="D20" s="5"/>
      <c r="E20" s="5" t="s">
        <v>2392</v>
      </c>
      <c r="F20" s="4" t="s">
        <v>2393</v>
      </c>
    </row>
    <row r="21" spans="1:6" ht="15.75" customHeight="1" x14ac:dyDescent="0.35">
      <c r="A21" s="64">
        <v>45566</v>
      </c>
      <c r="B21" s="8"/>
      <c r="C21" s="8">
        <f>'Out 24 Bolhão'!Q3</f>
        <v>47.199999999999989</v>
      </c>
      <c r="D21" s="8"/>
      <c r="E21" s="8"/>
      <c r="F21" s="9"/>
    </row>
    <row r="22" spans="1:6" ht="15.75" customHeight="1" x14ac:dyDescent="0.35">
      <c r="A22" s="64">
        <v>45567</v>
      </c>
      <c r="B22" s="8"/>
      <c r="C22" s="8">
        <f>'Out 24 Bolhão'!Q4</f>
        <v>63.199999999999989</v>
      </c>
      <c r="D22" s="8"/>
      <c r="E22" s="8"/>
      <c r="F22" s="9"/>
    </row>
    <row r="23" spans="1:6" ht="15.75" customHeight="1" x14ac:dyDescent="0.35">
      <c r="A23" s="64">
        <v>45568</v>
      </c>
      <c r="B23" s="8"/>
      <c r="C23" s="8">
        <f>'Out 24 Bolhão'!Q5</f>
        <v>100.30000000000001</v>
      </c>
      <c r="D23" s="8"/>
      <c r="E23" s="8"/>
      <c r="F23" s="9"/>
    </row>
    <row r="24" spans="1:6" ht="15.75" customHeight="1" x14ac:dyDescent="0.35">
      <c r="A24" s="64">
        <v>45569</v>
      </c>
      <c r="B24" s="8"/>
      <c r="C24" s="8">
        <f>'Out 24 Bolhão'!Q6</f>
        <v>148.80000000000001</v>
      </c>
      <c r="D24" s="8"/>
      <c r="E24" s="8"/>
      <c r="F24" s="9"/>
    </row>
    <row r="25" spans="1:6" ht="15.75" customHeight="1" x14ac:dyDescent="0.35">
      <c r="A25" s="64">
        <v>45570</v>
      </c>
      <c r="B25" s="8"/>
      <c r="C25" s="8">
        <f>'Out 24 Bolhão'!Q7</f>
        <v>109</v>
      </c>
      <c r="D25" s="8"/>
      <c r="E25" s="8"/>
      <c r="F25" s="9"/>
    </row>
    <row r="26" spans="1:6" ht="15.75" customHeight="1" x14ac:dyDescent="0.35">
      <c r="A26" s="64">
        <v>45571</v>
      </c>
      <c r="B26" s="8"/>
      <c r="C26" s="8">
        <f>'Out 24 Bolhão'!Q8</f>
        <v>87.900000000000034</v>
      </c>
      <c r="D26" s="8"/>
      <c r="E26" s="8"/>
      <c r="F26" s="9"/>
    </row>
    <row r="27" spans="1:6" ht="15.75" customHeight="1" x14ac:dyDescent="0.35">
      <c r="A27" s="64">
        <v>45572</v>
      </c>
      <c r="B27" s="8"/>
      <c r="C27" s="8">
        <f>'Out 24 Bolhão'!Q9</f>
        <v>0</v>
      </c>
      <c r="D27" s="8"/>
      <c r="E27" s="8"/>
      <c r="F27" s="9"/>
    </row>
    <row r="28" spans="1:6" ht="15.75" customHeight="1" x14ac:dyDescent="0.35">
      <c r="A28" s="64">
        <v>45573</v>
      </c>
      <c r="B28" s="8"/>
      <c r="C28" s="8">
        <f>'Out 24 Bolhão'!Q10</f>
        <v>71.5</v>
      </c>
      <c r="D28" s="8"/>
      <c r="E28" s="8"/>
      <c r="F28" s="9"/>
    </row>
    <row r="29" spans="1:6" ht="15.75" customHeight="1" x14ac:dyDescent="0.35">
      <c r="A29" s="64">
        <v>45574</v>
      </c>
      <c r="B29" s="8"/>
      <c r="C29" s="8">
        <f>'Out 24 Bolhão'!Q11</f>
        <v>39.599999999999994</v>
      </c>
      <c r="D29" s="8"/>
      <c r="E29" s="8"/>
      <c r="F29" s="9"/>
    </row>
    <row r="30" spans="1:6" ht="15.75" customHeight="1" x14ac:dyDescent="0.35">
      <c r="A30" s="64">
        <v>45575</v>
      </c>
      <c r="B30" s="101">
        <v>625</v>
      </c>
      <c r="C30" s="8">
        <f>'Out 24 Bolhão'!Q12</f>
        <v>49.5</v>
      </c>
      <c r="D30" s="8"/>
      <c r="E30" s="8"/>
      <c r="F30" s="9"/>
    </row>
    <row r="31" spans="1:6" ht="15.75" customHeight="1" x14ac:dyDescent="0.35">
      <c r="A31" s="64">
        <v>45576</v>
      </c>
      <c r="B31" s="8"/>
      <c r="C31" s="8">
        <f>'Out 24 Bolhão'!Q13</f>
        <v>93.800000000000011</v>
      </c>
      <c r="D31" s="8"/>
      <c r="E31" s="8"/>
      <c r="F31" s="9"/>
    </row>
    <row r="32" spans="1:6" ht="15.75" customHeight="1" x14ac:dyDescent="0.35">
      <c r="A32" s="64">
        <v>45577</v>
      </c>
      <c r="B32" s="8"/>
      <c r="C32" s="8">
        <f>'Out 24 Bolhão'!Q14</f>
        <v>226.20000000000005</v>
      </c>
      <c r="D32" s="8"/>
      <c r="E32" s="8"/>
      <c r="F32" s="9"/>
    </row>
    <row r="33" spans="1:6" ht="15.75" customHeight="1" x14ac:dyDescent="0.35">
      <c r="A33" s="64">
        <v>45578</v>
      </c>
      <c r="B33" s="8"/>
      <c r="C33" s="8">
        <f>'Out 24 Bolhão'!Q15</f>
        <v>144.05999999999995</v>
      </c>
      <c r="D33" s="8"/>
      <c r="E33" s="8"/>
      <c r="F33" s="9"/>
    </row>
    <row r="34" spans="1:6" ht="15.75" customHeight="1" x14ac:dyDescent="0.35">
      <c r="A34" s="64">
        <v>45579</v>
      </c>
      <c r="B34" s="8"/>
      <c r="C34" s="8">
        <f>'Out 24 Bolhão'!Q16</f>
        <v>0</v>
      </c>
      <c r="D34" s="8"/>
      <c r="E34" s="8"/>
      <c r="F34" s="9"/>
    </row>
    <row r="35" spans="1:6" ht="15.75" customHeight="1" x14ac:dyDescent="0.35">
      <c r="A35" s="64">
        <v>45580</v>
      </c>
      <c r="B35" s="8"/>
      <c r="C35" s="8">
        <f>'Out 24 Bolhão'!Q17</f>
        <v>147.30000000000001</v>
      </c>
      <c r="D35" s="8"/>
      <c r="E35" s="8"/>
      <c r="F35" s="9"/>
    </row>
    <row r="36" spans="1:6" ht="15.75" customHeight="1" x14ac:dyDescent="0.35">
      <c r="A36" s="64">
        <v>45581</v>
      </c>
      <c r="B36" s="8"/>
      <c r="C36" s="8">
        <f>'Out 24 Bolhão'!Q18</f>
        <v>86.599999999999966</v>
      </c>
      <c r="D36" s="8"/>
      <c r="E36" s="8"/>
      <c r="F36" s="9"/>
    </row>
    <row r="37" spans="1:6" ht="15.75" customHeight="1" x14ac:dyDescent="0.35">
      <c r="A37" s="64">
        <v>45582</v>
      </c>
      <c r="B37" s="8"/>
      <c r="C37" s="8">
        <f>'Out 24 Bolhão'!Q19</f>
        <v>101</v>
      </c>
      <c r="D37" s="8"/>
      <c r="E37" s="8"/>
      <c r="F37" s="9"/>
    </row>
    <row r="38" spans="1:6" ht="15.75" customHeight="1" x14ac:dyDescent="0.35">
      <c r="A38" s="64">
        <v>45583</v>
      </c>
      <c r="B38" s="8"/>
      <c r="C38" s="8">
        <f>'Out 24 Bolhão'!Q20</f>
        <v>173.3</v>
      </c>
      <c r="D38" s="8"/>
      <c r="E38" s="8"/>
      <c r="F38" s="9"/>
    </row>
    <row r="39" spans="1:6" ht="15.75" customHeight="1" x14ac:dyDescent="0.35">
      <c r="A39" s="64">
        <v>45584</v>
      </c>
      <c r="B39" s="8"/>
      <c r="C39" s="8">
        <f>'Out 24 Bolhão'!Q21</f>
        <v>140.20000000000005</v>
      </c>
      <c r="D39" s="8"/>
      <c r="E39" s="8"/>
      <c r="F39" s="9"/>
    </row>
    <row r="40" spans="1:6" ht="15.75" customHeight="1" x14ac:dyDescent="0.35">
      <c r="A40" s="64">
        <v>45585</v>
      </c>
      <c r="B40" s="8"/>
      <c r="C40" s="8">
        <f>'Out 24 Bolhão'!Q22</f>
        <v>157.5</v>
      </c>
      <c r="D40" s="8"/>
      <c r="E40" s="8"/>
      <c r="F40" s="9"/>
    </row>
    <row r="41" spans="1:6" ht="15.75" customHeight="1" x14ac:dyDescent="0.35">
      <c r="A41" s="64">
        <v>45586</v>
      </c>
      <c r="B41" s="8"/>
      <c r="C41" s="8">
        <f>'Out 24 Bolhão'!Q23</f>
        <v>0</v>
      </c>
      <c r="D41" s="8"/>
      <c r="E41" s="8"/>
      <c r="F41" s="9"/>
    </row>
    <row r="42" spans="1:6" ht="15.75" customHeight="1" x14ac:dyDescent="0.35">
      <c r="A42" s="64">
        <v>45587</v>
      </c>
      <c r="B42" s="101">
        <v>1360</v>
      </c>
      <c r="C42" s="8">
        <f>'Out 24 Bolhão'!Q24</f>
        <v>137.69999999999999</v>
      </c>
      <c r="D42" s="8"/>
      <c r="E42" s="8"/>
      <c r="F42" s="9"/>
    </row>
    <row r="43" spans="1:6" ht="15.75" customHeight="1" x14ac:dyDescent="0.35">
      <c r="A43" s="64">
        <v>45588</v>
      </c>
      <c r="B43" s="8"/>
      <c r="C43" s="8">
        <f>'Out 24 Bolhão'!Q25</f>
        <v>171</v>
      </c>
      <c r="D43" s="8"/>
      <c r="E43" s="8"/>
      <c r="F43" s="9"/>
    </row>
    <row r="44" spans="1:6" ht="15.75" customHeight="1" x14ac:dyDescent="0.35">
      <c r="A44" s="64">
        <v>45589</v>
      </c>
      <c r="B44" s="8"/>
      <c r="C44" s="8">
        <f>'Out 24 Bolhão'!Q26</f>
        <v>152.09999999999997</v>
      </c>
      <c r="D44" s="8"/>
      <c r="E44" s="8"/>
      <c r="F44" s="9"/>
    </row>
    <row r="45" spans="1:6" ht="15.75" customHeight="1" x14ac:dyDescent="0.35">
      <c r="A45" s="64">
        <v>45590</v>
      </c>
      <c r="B45" s="8"/>
      <c r="C45" s="8">
        <f>'Out 24 Bolhão'!Q27</f>
        <v>126.10000000000002</v>
      </c>
      <c r="D45" s="8"/>
      <c r="E45" s="8"/>
      <c r="F45" s="9"/>
    </row>
    <row r="46" spans="1:6" ht="15.75" customHeight="1" x14ac:dyDescent="0.35">
      <c r="A46" s="64">
        <v>45591</v>
      </c>
      <c r="B46" s="8"/>
      <c r="C46" s="8">
        <f>'Out 24 Bolhão'!Q28</f>
        <v>142.5</v>
      </c>
      <c r="D46" s="8"/>
      <c r="E46" s="8"/>
      <c r="F46" s="9"/>
    </row>
    <row r="47" spans="1:6" ht="15.75" customHeight="1" x14ac:dyDescent="0.35">
      <c r="A47" s="64">
        <v>45592</v>
      </c>
      <c r="B47" s="8"/>
      <c r="C47" s="8">
        <f>'Out 24 Bolhão'!Q29</f>
        <v>168.09999999999991</v>
      </c>
      <c r="D47" s="8"/>
      <c r="E47" s="8"/>
      <c r="F47" s="9"/>
    </row>
    <row r="48" spans="1:6" ht="15.75" customHeight="1" x14ac:dyDescent="0.35">
      <c r="A48" s="64">
        <v>45593</v>
      </c>
      <c r="B48" s="101">
        <v>900</v>
      </c>
      <c r="C48" s="8">
        <f>'Out 24 Bolhão'!Q30</f>
        <v>0</v>
      </c>
      <c r="D48" s="8"/>
      <c r="E48" s="8"/>
      <c r="F48" s="9"/>
    </row>
    <row r="49" spans="1:6" ht="15.75" customHeight="1" x14ac:dyDescent="0.35">
      <c r="A49" s="64">
        <v>45594</v>
      </c>
      <c r="B49" s="8"/>
      <c r="C49" s="8">
        <f>'Out 24 Bolhão'!Q31</f>
        <v>104.30000000000001</v>
      </c>
      <c r="D49" s="8"/>
      <c r="E49" s="8"/>
      <c r="F49" s="9"/>
    </row>
    <row r="50" spans="1:6" ht="15.75" customHeight="1" x14ac:dyDescent="0.35">
      <c r="A50" s="64">
        <v>45595</v>
      </c>
      <c r="B50" s="8"/>
      <c r="C50" s="8">
        <f>'Out 24 Bolhão'!Q32</f>
        <v>147.80000000000001</v>
      </c>
      <c r="D50" s="8"/>
      <c r="E50" s="8"/>
      <c r="F50" s="9"/>
    </row>
    <row r="51" spans="1:6" ht="15.75" customHeight="1" x14ac:dyDescent="0.35">
      <c r="A51" s="64">
        <v>45596</v>
      </c>
      <c r="B51" s="8"/>
      <c r="C51" s="8">
        <f>'Out 24 Bolhão'!Q33</f>
        <v>76.899999999999977</v>
      </c>
      <c r="D51" s="8"/>
      <c r="E51" s="8"/>
      <c r="F51" s="9"/>
    </row>
    <row r="52" spans="1:6" ht="15.75" customHeight="1" x14ac:dyDescent="0.35">
      <c r="A52" s="4" t="s">
        <v>2389</v>
      </c>
      <c r="B52" s="5" t="s">
        <v>2390</v>
      </c>
      <c r="C52" s="5" t="s">
        <v>2391</v>
      </c>
      <c r="D52" s="5"/>
      <c r="E52" s="5" t="s">
        <v>2392</v>
      </c>
      <c r="F52" s="4" t="s">
        <v>2393</v>
      </c>
    </row>
    <row r="53" spans="1:6" ht="15.75" customHeight="1" x14ac:dyDescent="0.35">
      <c r="A53" s="64">
        <v>45597</v>
      </c>
      <c r="B53" s="8"/>
      <c r="C53" s="8">
        <f>'Nov 24 Bolhão'!Q3</f>
        <v>254.80000000000007</v>
      </c>
      <c r="D53" s="8"/>
      <c r="E53" s="8"/>
      <c r="F53" s="9"/>
    </row>
    <row r="54" spans="1:6" ht="15.75" customHeight="1" x14ac:dyDescent="0.35">
      <c r="A54" s="64">
        <v>45598</v>
      </c>
      <c r="B54" s="8"/>
      <c r="C54" s="8">
        <f>'Nov 24 Bolhão'!Q4</f>
        <v>259.39999999999998</v>
      </c>
      <c r="D54" s="8"/>
      <c r="E54" s="8"/>
      <c r="F54" s="9"/>
    </row>
    <row r="55" spans="1:6" ht="15.75" customHeight="1" x14ac:dyDescent="0.35">
      <c r="A55" s="64">
        <v>45599</v>
      </c>
      <c r="B55" s="101">
        <v>1005</v>
      </c>
      <c r="C55" s="8">
        <f>'Nov 24 Bolhão'!Q5</f>
        <v>159.89999999999998</v>
      </c>
      <c r="D55" s="8"/>
      <c r="E55" s="8"/>
      <c r="F55" s="9"/>
    </row>
    <row r="56" spans="1:6" ht="15.75" customHeight="1" x14ac:dyDescent="0.35">
      <c r="A56" s="64">
        <v>45600</v>
      </c>
      <c r="B56" s="8"/>
      <c r="C56" s="8">
        <f>'Nov 24 Bolhão'!Q6</f>
        <v>0</v>
      </c>
      <c r="D56" s="8"/>
      <c r="E56" s="8"/>
      <c r="F56" s="9"/>
    </row>
    <row r="57" spans="1:6" ht="15.75" customHeight="1" x14ac:dyDescent="0.35">
      <c r="A57" s="64">
        <v>45601</v>
      </c>
      <c r="B57" s="8"/>
      <c r="C57" s="8">
        <f>'Nov 24 Bolhão'!Q7</f>
        <v>42.199999999999989</v>
      </c>
      <c r="D57" s="8"/>
      <c r="E57" s="8"/>
      <c r="F57" s="9"/>
    </row>
    <row r="58" spans="1:6" ht="15.75" customHeight="1" x14ac:dyDescent="0.35">
      <c r="A58" s="64">
        <v>45602</v>
      </c>
      <c r="B58" s="8"/>
      <c r="C58" s="8">
        <f>'Nov 24 Bolhão'!Q8</f>
        <v>97.5</v>
      </c>
      <c r="D58" s="8"/>
      <c r="E58" s="8"/>
      <c r="F58" s="9"/>
    </row>
    <row r="59" spans="1:6" ht="15.75" customHeight="1" x14ac:dyDescent="0.35">
      <c r="A59" s="64">
        <v>45603</v>
      </c>
      <c r="B59" s="8"/>
      <c r="C59" s="8">
        <f>'Nov 24 Bolhão'!Q9</f>
        <v>145</v>
      </c>
      <c r="D59" s="8"/>
      <c r="E59" s="8"/>
      <c r="F59" s="9"/>
    </row>
    <row r="60" spans="1:6" ht="15.75" customHeight="1" x14ac:dyDescent="0.35">
      <c r="A60" s="64">
        <v>45604</v>
      </c>
      <c r="B60" s="8"/>
      <c r="C60" s="8">
        <f>'Nov 24 Bolhão'!Q10</f>
        <v>118.19999999999999</v>
      </c>
      <c r="D60" s="8"/>
      <c r="E60" s="8"/>
      <c r="F60" s="9"/>
    </row>
    <row r="61" spans="1:6" ht="15.75" customHeight="1" x14ac:dyDescent="0.35">
      <c r="A61" s="64">
        <v>45605</v>
      </c>
      <c r="B61" s="8"/>
      <c r="C61" s="8">
        <f>'Nov 24 Bolhão'!Q11</f>
        <v>72.899999999999977</v>
      </c>
      <c r="D61" s="8"/>
      <c r="E61" s="8"/>
      <c r="F61" s="9"/>
    </row>
    <row r="62" spans="1:6" ht="15.75" customHeight="1" x14ac:dyDescent="0.35">
      <c r="A62" s="64">
        <v>45606</v>
      </c>
      <c r="B62" s="8"/>
      <c r="C62" s="8">
        <f>'Nov 24 Bolhão'!Q12</f>
        <v>130.79999999999995</v>
      </c>
      <c r="D62" s="8"/>
      <c r="E62" s="8"/>
      <c r="F62" s="9"/>
    </row>
    <row r="63" spans="1:6" ht="15.75" customHeight="1" x14ac:dyDescent="0.35">
      <c r="A63" s="64">
        <v>45607</v>
      </c>
      <c r="B63" s="8"/>
      <c r="C63" s="8">
        <f>'Nov 24 Bolhão'!Q13</f>
        <v>0</v>
      </c>
      <c r="D63" s="8"/>
      <c r="E63" s="8"/>
      <c r="F63" s="9"/>
    </row>
    <row r="64" spans="1:6" ht="15.75" customHeight="1" x14ac:dyDescent="0.35">
      <c r="A64" s="64">
        <v>45608</v>
      </c>
      <c r="B64" s="8"/>
      <c r="C64" s="8">
        <f>'Nov 24 Bolhão'!Q14</f>
        <v>88.399999999999977</v>
      </c>
      <c r="D64" s="8"/>
      <c r="E64" s="8"/>
      <c r="F64" s="9"/>
    </row>
    <row r="65" spans="1:6" ht="15.75" customHeight="1" x14ac:dyDescent="0.35">
      <c r="A65" s="64">
        <v>45609</v>
      </c>
      <c r="B65" s="8"/>
      <c r="C65" s="8">
        <f>'Nov 24 Bolhão'!Q15</f>
        <v>71.599999999999994</v>
      </c>
      <c r="D65" s="8"/>
      <c r="E65" s="8"/>
      <c r="F65" s="9"/>
    </row>
    <row r="66" spans="1:6" ht="15.75" customHeight="1" x14ac:dyDescent="0.35">
      <c r="A66" s="64">
        <v>45610</v>
      </c>
      <c r="B66" s="8"/>
      <c r="C66" s="8">
        <f>'Nov 24 Bolhão'!Q16</f>
        <v>46.599999999999994</v>
      </c>
      <c r="D66" s="8"/>
      <c r="E66" s="8"/>
      <c r="F66" s="9"/>
    </row>
    <row r="67" spans="1:6" ht="15.75" customHeight="1" x14ac:dyDescent="0.35">
      <c r="A67" s="64">
        <v>45611</v>
      </c>
      <c r="B67" s="8"/>
      <c r="C67" s="8">
        <f>'Nov 24 Bolhão'!Q17</f>
        <v>21.5</v>
      </c>
      <c r="D67" s="8"/>
      <c r="E67" s="8"/>
      <c r="F67" s="9"/>
    </row>
    <row r="68" spans="1:6" ht="15.75" customHeight="1" x14ac:dyDescent="0.35">
      <c r="A68" s="64">
        <v>45612</v>
      </c>
      <c r="B68" s="8"/>
      <c r="C68" s="8">
        <f>'Nov 24 Bolhão'!Q18</f>
        <v>181.70000000000005</v>
      </c>
      <c r="D68" s="8"/>
      <c r="E68" s="8"/>
      <c r="F68" s="9"/>
    </row>
    <row r="69" spans="1:6" ht="15.75" customHeight="1" x14ac:dyDescent="0.35">
      <c r="A69" s="64">
        <v>45613</v>
      </c>
      <c r="B69" s="8"/>
      <c r="C69" s="8">
        <f>'Nov 24 Bolhão'!Q19</f>
        <v>118.80000000000001</v>
      </c>
      <c r="D69" s="8"/>
      <c r="E69" s="8"/>
      <c r="F69" s="9"/>
    </row>
    <row r="70" spans="1:6" ht="15.75" customHeight="1" x14ac:dyDescent="0.35">
      <c r="A70" s="64">
        <v>45614</v>
      </c>
      <c r="B70" s="8"/>
      <c r="C70" s="8">
        <f>'Nov 24 Bolhão'!Q20</f>
        <v>0</v>
      </c>
      <c r="D70" s="8"/>
      <c r="E70" s="8"/>
      <c r="F70" s="9"/>
    </row>
    <row r="71" spans="1:6" ht="15.75" customHeight="1" x14ac:dyDescent="0.35">
      <c r="A71" s="64">
        <v>45615</v>
      </c>
      <c r="B71" s="104">
        <v>1135</v>
      </c>
      <c r="C71" s="8">
        <f>'Nov 24 Bolhão'!Q21</f>
        <v>36.900000000000006</v>
      </c>
      <c r="D71" s="8"/>
      <c r="E71" s="8"/>
      <c r="F71" s="9"/>
    </row>
    <row r="72" spans="1:6" ht="15.75" customHeight="1" x14ac:dyDescent="0.35">
      <c r="A72" s="64">
        <v>45616</v>
      </c>
      <c r="B72" s="8"/>
      <c r="C72" s="8">
        <f>'Nov 24 Bolhão'!Q22</f>
        <v>39.799999999999997</v>
      </c>
      <c r="D72" s="8"/>
      <c r="E72" s="8"/>
      <c r="F72" s="9"/>
    </row>
    <row r="73" spans="1:6" ht="15.75" customHeight="1" x14ac:dyDescent="0.35">
      <c r="A73" s="64">
        <v>45617</v>
      </c>
      <c r="B73" s="8"/>
      <c r="C73" s="8">
        <f>'Nov 24 Bolhão'!Q23</f>
        <v>44.900000000000006</v>
      </c>
      <c r="D73" s="8"/>
      <c r="E73" s="8"/>
      <c r="F73" s="9"/>
    </row>
    <row r="74" spans="1:6" ht="15.75" customHeight="1" x14ac:dyDescent="0.35">
      <c r="A74" s="64">
        <v>45618</v>
      </c>
      <c r="B74" s="8"/>
      <c r="C74" s="8">
        <f>'Nov 24 Bolhão'!Q24</f>
        <v>39</v>
      </c>
      <c r="D74" s="8"/>
      <c r="E74" s="8"/>
      <c r="F74" s="9"/>
    </row>
    <row r="75" spans="1:6" ht="15.75" customHeight="1" x14ac:dyDescent="0.35">
      <c r="A75" s="64">
        <v>45619</v>
      </c>
      <c r="B75" s="8"/>
      <c r="C75" s="8">
        <f>'Nov 24 Bolhão'!Q25</f>
        <v>70.75</v>
      </c>
      <c r="D75" s="8"/>
      <c r="E75" s="8"/>
      <c r="F75" s="9"/>
    </row>
    <row r="76" spans="1:6" ht="15.75" customHeight="1" x14ac:dyDescent="0.35">
      <c r="A76" s="64">
        <v>45620</v>
      </c>
      <c r="B76" s="8"/>
      <c r="C76" s="8">
        <f>'Nov 24 Bolhão'!Q26</f>
        <v>51.599999999999994</v>
      </c>
      <c r="D76" s="8"/>
      <c r="E76" s="8"/>
      <c r="F76" s="9"/>
    </row>
    <row r="77" spans="1:6" ht="15.75" customHeight="1" x14ac:dyDescent="0.35">
      <c r="A77" s="64">
        <v>45621</v>
      </c>
      <c r="B77" s="8"/>
      <c r="C77" s="8">
        <f>'Nov 24 Bolhão'!Q27</f>
        <v>0</v>
      </c>
      <c r="D77" s="8"/>
      <c r="E77" s="8"/>
      <c r="F77" s="9"/>
    </row>
    <row r="78" spans="1:6" ht="15.75" customHeight="1" x14ac:dyDescent="0.35">
      <c r="A78" s="64">
        <v>45622</v>
      </c>
      <c r="B78" s="104">
        <v>280</v>
      </c>
      <c r="C78" s="8">
        <f>'Nov 24 Bolhão'!Q28</f>
        <v>85.199999999999989</v>
      </c>
      <c r="D78" s="8"/>
      <c r="E78" s="8"/>
      <c r="F78" s="9"/>
    </row>
    <row r="79" spans="1:6" ht="15.75" customHeight="1" x14ac:dyDescent="0.35">
      <c r="A79" s="64">
        <v>45623</v>
      </c>
      <c r="B79" s="8"/>
      <c r="C79" s="8">
        <f>'Nov 24 Bolhão'!Q29</f>
        <v>47.860000000000014</v>
      </c>
      <c r="D79" s="8"/>
      <c r="E79" s="8">
        <f>5.98+1.41+2+4.59+1.39+3.79</f>
        <v>19.16</v>
      </c>
      <c r="F79" s="9" t="s">
        <v>2671</v>
      </c>
    </row>
    <row r="80" spans="1:6" ht="15.75" customHeight="1" x14ac:dyDescent="0.35">
      <c r="A80" s="64">
        <v>45624</v>
      </c>
      <c r="B80" s="8"/>
      <c r="C80" s="8">
        <f>'Nov 24 Bolhão'!Q30</f>
        <v>97.400000000000034</v>
      </c>
      <c r="D80" s="8"/>
      <c r="E80" s="8"/>
      <c r="F80" s="9"/>
    </row>
    <row r="81" spans="1:10" ht="15.75" customHeight="1" x14ac:dyDescent="0.35">
      <c r="A81" s="64">
        <v>45625</v>
      </c>
      <c r="B81" s="8"/>
      <c r="C81" s="8">
        <f>'Nov 24 Bolhão'!Q31</f>
        <v>39.759999999999991</v>
      </c>
      <c r="D81" s="8"/>
      <c r="E81" s="8"/>
      <c r="F81" s="9"/>
    </row>
    <row r="82" spans="1:10" ht="15.75" customHeight="1" x14ac:dyDescent="0.35">
      <c r="A82" s="64">
        <v>45626</v>
      </c>
      <c r="B82" s="8"/>
      <c r="C82" s="8">
        <f>'Nov 24 Bolhão'!Q32</f>
        <v>131.05999999999995</v>
      </c>
      <c r="D82" s="8"/>
      <c r="E82" s="8"/>
      <c r="F82" s="9"/>
    </row>
    <row r="83" spans="1:10" ht="15.75" customHeight="1" x14ac:dyDescent="0.35">
      <c r="A83" s="112" t="s">
        <v>2389</v>
      </c>
      <c r="B83" s="113" t="s">
        <v>2390</v>
      </c>
      <c r="C83" s="113" t="s">
        <v>2391</v>
      </c>
      <c r="D83" s="113"/>
      <c r="E83" s="113" t="s">
        <v>2392</v>
      </c>
      <c r="F83" s="112" t="s">
        <v>2393</v>
      </c>
    </row>
    <row r="84" spans="1:10" ht="15.75" customHeight="1" x14ac:dyDescent="0.35">
      <c r="A84" s="109">
        <v>45627</v>
      </c>
      <c r="B84" s="111"/>
      <c r="C84" s="116">
        <f>'Dez 24 Bolhao'!O3</f>
        <v>95</v>
      </c>
      <c r="D84" s="111"/>
      <c r="E84" s="111"/>
      <c r="F84" s="111"/>
    </row>
    <row r="85" spans="1:10" ht="15.75" customHeight="1" x14ac:dyDescent="0.35">
      <c r="A85" s="109">
        <v>45628</v>
      </c>
      <c r="B85" s="111"/>
      <c r="C85" s="116">
        <f>'Dez 24 Bolhao'!O4</f>
        <v>0</v>
      </c>
      <c r="D85" s="111"/>
      <c r="E85" s="111"/>
      <c r="F85" s="111"/>
    </row>
    <row r="86" spans="1:10" ht="15.75" customHeight="1" x14ac:dyDescent="0.35">
      <c r="A86" s="109">
        <v>45629</v>
      </c>
      <c r="B86" s="111"/>
      <c r="C86" s="116">
        <f>'Dez 24 Bolhao'!O5</f>
        <v>40</v>
      </c>
      <c r="D86" s="111"/>
      <c r="E86" s="111"/>
      <c r="F86" s="111"/>
    </row>
    <row r="87" spans="1:10" ht="15.75" customHeight="1" x14ac:dyDescent="0.35">
      <c r="A87" s="109">
        <v>45630</v>
      </c>
      <c r="B87" s="111"/>
      <c r="C87" s="116">
        <f>'Dez 24 Bolhao'!O6</f>
        <v>80</v>
      </c>
      <c r="D87" s="111"/>
      <c r="E87" s="111"/>
      <c r="F87" s="111"/>
    </row>
    <row r="88" spans="1:10" ht="15.75" customHeight="1" x14ac:dyDescent="0.35">
      <c r="A88" s="109">
        <v>45631</v>
      </c>
      <c r="B88" s="111"/>
      <c r="C88" s="116">
        <f>'Dez 24 Bolhao'!O7</f>
        <v>30</v>
      </c>
      <c r="D88" s="111"/>
      <c r="E88" s="111"/>
      <c r="F88" s="111"/>
    </row>
    <row r="89" spans="1:10" ht="15.75" customHeight="1" x14ac:dyDescent="0.35">
      <c r="A89" s="109">
        <v>45632</v>
      </c>
      <c r="B89" s="111"/>
      <c r="C89" s="116">
        <f>'Dez 24 Bolhao'!O8</f>
        <v>70</v>
      </c>
      <c r="D89" s="111"/>
      <c r="E89" s="111"/>
      <c r="F89" s="111"/>
    </row>
    <row r="90" spans="1:10" ht="15.75" customHeight="1" x14ac:dyDescent="0.35">
      <c r="A90" s="109">
        <v>45633</v>
      </c>
      <c r="B90" s="111"/>
      <c r="C90" s="116">
        <f>'Dez 24 Bolhao'!O9</f>
        <v>80</v>
      </c>
      <c r="D90" s="111"/>
      <c r="E90" s="111"/>
      <c r="F90" s="111"/>
    </row>
    <row r="91" spans="1:10" ht="15.75" customHeight="1" x14ac:dyDescent="0.35">
      <c r="A91" s="109">
        <v>45634</v>
      </c>
      <c r="B91" s="119">
        <v>480</v>
      </c>
      <c r="C91" s="116">
        <f>'Dez 24 Bolhao'!O10</f>
        <v>30</v>
      </c>
      <c r="D91" s="111"/>
      <c r="E91" s="111"/>
      <c r="F91" s="111" t="s">
        <v>2672</v>
      </c>
      <c r="J91" s="77"/>
    </row>
    <row r="92" spans="1:10" ht="15.75" customHeight="1" x14ac:dyDescent="0.35">
      <c r="A92" s="109">
        <v>45635</v>
      </c>
      <c r="B92" s="111"/>
      <c r="C92" s="116">
        <f>'Dez 24 Bolhao'!O11</f>
        <v>0</v>
      </c>
      <c r="D92" s="111"/>
      <c r="E92" s="111"/>
      <c r="F92" s="111"/>
    </row>
    <row r="93" spans="1:10" ht="15.75" customHeight="1" x14ac:dyDescent="0.35">
      <c r="A93" s="109">
        <v>45636</v>
      </c>
      <c r="B93" s="111"/>
      <c r="C93" s="116">
        <f>'Dez 24 Bolhao'!O12</f>
        <v>30</v>
      </c>
      <c r="D93" s="111"/>
      <c r="E93" s="111"/>
      <c r="F93" s="111"/>
    </row>
    <row r="94" spans="1:10" ht="15.75" customHeight="1" x14ac:dyDescent="0.35">
      <c r="A94" s="109">
        <v>45637</v>
      </c>
      <c r="B94" s="111"/>
      <c r="C94" s="116">
        <f>'Dez 24 Bolhao'!O13</f>
        <v>70</v>
      </c>
      <c r="D94" s="111"/>
      <c r="E94" s="111"/>
      <c r="F94" s="111"/>
    </row>
    <row r="95" spans="1:10" ht="15.75" customHeight="1" x14ac:dyDescent="0.35">
      <c r="A95" s="109">
        <v>45638</v>
      </c>
      <c r="B95" s="111"/>
      <c r="C95" s="116">
        <f>'Dez 24 Bolhao'!O14</f>
        <v>20</v>
      </c>
      <c r="D95" s="111"/>
      <c r="E95" s="111"/>
      <c r="F95" s="111"/>
    </row>
    <row r="96" spans="1:10" ht="15.75" customHeight="1" x14ac:dyDescent="0.35">
      <c r="A96" s="109">
        <v>45639</v>
      </c>
      <c r="B96" s="111"/>
      <c r="C96" s="116">
        <f>'Dez 24 Bolhao'!O15</f>
        <v>40</v>
      </c>
      <c r="D96" s="111"/>
      <c r="E96" s="111"/>
      <c r="F96" s="111"/>
    </row>
    <row r="97" spans="1:9" ht="15.75" customHeight="1" x14ac:dyDescent="0.35">
      <c r="A97" s="109">
        <v>45640</v>
      </c>
      <c r="C97" s="116">
        <f>'Dez 24 Bolhao'!O16</f>
        <v>110</v>
      </c>
      <c r="D97" s="111"/>
      <c r="E97" s="111"/>
      <c r="F97" s="111"/>
    </row>
    <row r="98" spans="1:9" ht="15.75" customHeight="1" x14ac:dyDescent="0.35">
      <c r="A98" s="109">
        <v>45641</v>
      </c>
      <c r="B98" s="111"/>
      <c r="C98" s="116">
        <f>'Dez 24 Bolhao'!O17</f>
        <v>45</v>
      </c>
      <c r="D98" s="111"/>
      <c r="E98" s="111"/>
      <c r="F98" s="111"/>
    </row>
    <row r="99" spans="1:9" ht="15.75" customHeight="1" x14ac:dyDescent="0.35">
      <c r="A99" s="109">
        <v>45642</v>
      </c>
      <c r="B99" s="119">
        <v>490</v>
      </c>
      <c r="C99" s="116">
        <f>'Dez 24 Bolhao'!O18</f>
        <v>0</v>
      </c>
      <c r="D99" s="111"/>
      <c r="E99" s="111"/>
      <c r="F99" s="111" t="s">
        <v>2673</v>
      </c>
    </row>
    <row r="100" spans="1:9" ht="15.75" customHeight="1" x14ac:dyDescent="0.35">
      <c r="A100" s="109">
        <v>45643</v>
      </c>
      <c r="B100" s="111"/>
      <c r="C100" s="116">
        <f>'Dez 24 Bolhao'!O19</f>
        <v>10</v>
      </c>
      <c r="D100" s="111"/>
      <c r="E100" s="111"/>
      <c r="F100" s="111"/>
    </row>
    <row r="101" spans="1:9" ht="15.75" customHeight="1" x14ac:dyDescent="0.35">
      <c r="A101" s="109">
        <v>45644</v>
      </c>
      <c r="B101" s="111"/>
      <c r="C101" s="116">
        <f>'Dez 24 Bolhao'!O20</f>
        <v>40</v>
      </c>
      <c r="D101" s="111"/>
      <c r="E101" s="111"/>
      <c r="F101" s="111"/>
    </row>
    <row r="102" spans="1:9" ht="15.75" customHeight="1" x14ac:dyDescent="0.35">
      <c r="A102" s="109">
        <v>45645</v>
      </c>
      <c r="B102" s="111"/>
      <c r="C102" s="116">
        <f>'Dez 24 Bolhao'!O21</f>
        <v>20</v>
      </c>
      <c r="D102" s="111"/>
      <c r="E102" s="111"/>
      <c r="F102" s="111"/>
    </row>
    <row r="103" spans="1:9" ht="15.75" customHeight="1" x14ac:dyDescent="0.35">
      <c r="A103" s="109">
        <v>45646</v>
      </c>
      <c r="B103" s="111"/>
      <c r="C103" s="116">
        <f>'Dez 24 Bolhao'!O22</f>
        <v>35</v>
      </c>
      <c r="D103" s="111"/>
      <c r="E103" s="111"/>
      <c r="F103" s="111"/>
    </row>
    <row r="104" spans="1:9" ht="15.75" customHeight="1" x14ac:dyDescent="0.35">
      <c r="A104" s="109">
        <v>45647</v>
      </c>
      <c r="B104" s="111"/>
      <c r="C104" s="116">
        <f>'Dez 24 Bolhao'!O23</f>
        <v>85</v>
      </c>
      <c r="D104" s="111"/>
      <c r="E104" s="111"/>
      <c r="F104" s="111"/>
    </row>
    <row r="105" spans="1:9" ht="15.75" customHeight="1" x14ac:dyDescent="0.35">
      <c r="A105" s="109">
        <v>45648</v>
      </c>
      <c r="B105" s="111"/>
      <c r="C105" s="116">
        <f>'Dez 24 Bolhao'!O24</f>
        <v>80</v>
      </c>
      <c r="D105" s="111"/>
      <c r="E105" s="111"/>
      <c r="F105" s="111"/>
    </row>
    <row r="106" spans="1:9" ht="15.75" customHeight="1" x14ac:dyDescent="0.35">
      <c r="A106" s="109">
        <v>45649</v>
      </c>
      <c r="B106" s="111"/>
      <c r="C106" s="116">
        <f>'Dez 24 Bolhao'!O25</f>
        <v>0</v>
      </c>
      <c r="D106" s="111"/>
      <c r="E106" s="111"/>
      <c r="F106" s="111"/>
    </row>
    <row r="107" spans="1:9" ht="15.75" customHeight="1" x14ac:dyDescent="0.35">
      <c r="A107" s="109">
        <v>45650</v>
      </c>
      <c r="B107" s="111"/>
      <c r="C107" s="116">
        <f>'Dez 24 Bolhao'!O26</f>
        <v>30</v>
      </c>
      <c r="D107" s="111"/>
      <c r="E107" s="111"/>
      <c r="F107" s="111"/>
      <c r="H107" t="s">
        <v>2379</v>
      </c>
      <c r="I107" s="100">
        <f>SUM(C106:C112)-SUM(E106:E112)</f>
        <v>475.02</v>
      </c>
    </row>
    <row r="108" spans="1:9" ht="15.75" customHeight="1" x14ac:dyDescent="0.35">
      <c r="A108" s="109">
        <v>45651</v>
      </c>
      <c r="B108" s="111"/>
      <c r="C108" s="116">
        <f>'Dez 24 Bolhao'!O27</f>
        <v>0</v>
      </c>
      <c r="D108" s="111"/>
      <c r="E108" s="111"/>
      <c r="F108" s="111"/>
    </row>
    <row r="109" spans="1:9" ht="15.75" customHeight="1" x14ac:dyDescent="0.35">
      <c r="A109" s="109">
        <v>45652</v>
      </c>
      <c r="B109" s="119">
        <v>425</v>
      </c>
      <c r="C109" s="116">
        <f>'Dez 24 Bolhao'!O28</f>
        <v>120</v>
      </c>
      <c r="D109" s="111"/>
      <c r="E109" s="111"/>
      <c r="F109" s="121" t="s">
        <v>2674</v>
      </c>
    </row>
    <row r="110" spans="1:9" ht="15.75" customHeight="1" x14ac:dyDescent="0.35">
      <c r="A110" s="109">
        <v>45653</v>
      </c>
      <c r="B110" s="111"/>
      <c r="C110" s="116">
        <f>'Dez 24 Bolhao'!O29</f>
        <v>70</v>
      </c>
      <c r="D110" s="111"/>
      <c r="E110" s="111">
        <v>4.4800000000000004</v>
      </c>
      <c r="F110" t="s">
        <v>2675</v>
      </c>
    </row>
    <row r="111" spans="1:9" ht="15.75" customHeight="1" x14ac:dyDescent="0.35">
      <c r="A111" s="109">
        <v>45654</v>
      </c>
      <c r="B111" s="111"/>
      <c r="C111" s="116">
        <f>'Dez 24 Bolhao'!O30</f>
        <v>100</v>
      </c>
      <c r="D111" s="111"/>
      <c r="E111" s="111">
        <v>0.5</v>
      </c>
      <c r="F111" t="s">
        <v>2676</v>
      </c>
    </row>
    <row r="112" spans="1:9" ht="15.75" customHeight="1" x14ac:dyDescent="0.35">
      <c r="A112" s="109">
        <v>45655</v>
      </c>
      <c r="B112" s="111"/>
      <c r="C112" s="116">
        <f>'Dez 24 Bolhao'!O31</f>
        <v>160</v>
      </c>
      <c r="D112" s="111"/>
      <c r="E112" s="111"/>
      <c r="F112" s="111"/>
    </row>
    <row r="113" spans="1:6" ht="15.75" customHeight="1" x14ac:dyDescent="0.35">
      <c r="A113" s="109">
        <v>45656</v>
      </c>
      <c r="B113" s="111"/>
      <c r="C113" s="116">
        <f>'Dez 24 Bolhao'!O32</f>
        <v>0</v>
      </c>
      <c r="D113" s="111"/>
      <c r="E113" s="111"/>
      <c r="F113" s="111"/>
    </row>
    <row r="114" spans="1:6" ht="15.75" customHeight="1" x14ac:dyDescent="0.35">
      <c r="A114" s="109">
        <v>45657</v>
      </c>
      <c r="B114" s="111"/>
      <c r="C114" s="116">
        <f>'Dez 24 Bolhao'!O33</f>
        <v>0</v>
      </c>
      <c r="D114" s="111"/>
      <c r="E114" s="111"/>
      <c r="F114" s="111"/>
    </row>
    <row r="115" spans="1:6" ht="15.75" customHeight="1" x14ac:dyDescent="0.35">
      <c r="A115" s="112" t="s">
        <v>2389</v>
      </c>
      <c r="B115" s="113" t="s">
        <v>2390</v>
      </c>
      <c r="C115" s="113" t="s">
        <v>2391</v>
      </c>
      <c r="D115" s="113"/>
      <c r="E115" s="113" t="s">
        <v>2392</v>
      </c>
      <c r="F115" s="112" t="s">
        <v>2393</v>
      </c>
    </row>
    <row r="116" spans="1:6" ht="15.75" customHeight="1" x14ac:dyDescent="0.35">
      <c r="A116" s="74">
        <v>45658</v>
      </c>
      <c r="B116" s="126">
        <v>480</v>
      </c>
      <c r="F116" t="s">
        <v>2677</v>
      </c>
    </row>
    <row r="117" spans="1:6" ht="15.75" customHeight="1" x14ac:dyDescent="0.35">
      <c r="A117" s="74">
        <v>45659</v>
      </c>
    </row>
    <row r="118" spans="1:6" ht="15.75" customHeight="1" x14ac:dyDescent="0.35">
      <c r="A118" s="74">
        <v>45660</v>
      </c>
    </row>
    <row r="119" spans="1:6" ht="15.75" customHeight="1" x14ac:dyDescent="0.35">
      <c r="A119" s="74">
        <v>45661</v>
      </c>
    </row>
    <row r="120" spans="1:6" ht="15.75" customHeight="1" x14ac:dyDescent="0.35">
      <c r="A120" s="74">
        <v>45662</v>
      </c>
    </row>
    <row r="121" spans="1:6" ht="15.75" customHeight="1" x14ac:dyDescent="0.35">
      <c r="A121" s="74">
        <v>45663</v>
      </c>
    </row>
    <row r="122" spans="1:6" ht="15.75" customHeight="1" x14ac:dyDescent="0.35">
      <c r="A122" s="74">
        <v>45664</v>
      </c>
    </row>
    <row r="123" spans="1:6" ht="15.75" customHeight="1" x14ac:dyDescent="0.35">
      <c r="A123" s="74">
        <v>45665</v>
      </c>
    </row>
    <row r="124" spans="1:6" ht="15.75" customHeight="1" x14ac:dyDescent="0.35">
      <c r="A124" s="74">
        <v>45666</v>
      </c>
    </row>
    <row r="125" spans="1:6" ht="15.75" customHeight="1" x14ac:dyDescent="0.35">
      <c r="A125" s="74">
        <v>45667</v>
      </c>
    </row>
    <row r="126" spans="1:6" ht="15.75" customHeight="1" x14ac:dyDescent="0.35">
      <c r="A126" s="74">
        <v>45668</v>
      </c>
    </row>
    <row r="127" spans="1:6" ht="15.75" customHeight="1" x14ac:dyDescent="0.35">
      <c r="A127" s="74">
        <v>45669</v>
      </c>
    </row>
    <row r="128" spans="1:6" ht="15.75" customHeight="1" x14ac:dyDescent="0.35">
      <c r="A128" s="74">
        <v>45670</v>
      </c>
    </row>
    <row r="129" spans="1:1" ht="15.75" customHeight="1" x14ac:dyDescent="0.35">
      <c r="A129" s="74">
        <v>45671</v>
      </c>
    </row>
    <row r="130" spans="1:1" ht="15.75" customHeight="1" x14ac:dyDescent="0.35">
      <c r="A130" s="74">
        <v>45672</v>
      </c>
    </row>
    <row r="131" spans="1:1" ht="15.75" customHeight="1" x14ac:dyDescent="0.35">
      <c r="A131" s="74">
        <v>45673</v>
      </c>
    </row>
    <row r="132" spans="1:1" ht="15.75" customHeight="1" x14ac:dyDescent="0.35">
      <c r="A132" s="74">
        <v>45674</v>
      </c>
    </row>
    <row r="133" spans="1:1" ht="15.75" customHeight="1" x14ac:dyDescent="0.35">
      <c r="A133" s="74">
        <v>45675</v>
      </c>
    </row>
    <row r="134" spans="1:1" ht="15.75" customHeight="1" x14ac:dyDescent="0.35">
      <c r="A134" s="74">
        <v>45676</v>
      </c>
    </row>
    <row r="135" spans="1:1" ht="15.75" customHeight="1" x14ac:dyDescent="0.35">
      <c r="A135" s="74">
        <v>45677</v>
      </c>
    </row>
    <row r="136" spans="1:1" ht="15.75" customHeight="1" x14ac:dyDescent="0.35">
      <c r="A136" s="74">
        <v>45678</v>
      </c>
    </row>
    <row r="137" spans="1:1" ht="15.75" customHeight="1" x14ac:dyDescent="0.35">
      <c r="A137" s="74">
        <v>45679</v>
      </c>
    </row>
    <row r="138" spans="1:1" ht="15.75" customHeight="1" x14ac:dyDescent="0.35">
      <c r="A138" s="74">
        <v>45680</v>
      </c>
    </row>
    <row r="139" spans="1:1" ht="15.75" customHeight="1" x14ac:dyDescent="0.35">
      <c r="A139" s="74">
        <v>45681</v>
      </c>
    </row>
    <row r="140" spans="1:1" ht="15.75" customHeight="1" x14ac:dyDescent="0.35">
      <c r="A140" s="74">
        <v>45682</v>
      </c>
    </row>
    <row r="141" spans="1:1" ht="15.75" customHeight="1" x14ac:dyDescent="0.35">
      <c r="A141" s="74">
        <v>45683</v>
      </c>
    </row>
    <row r="142" spans="1:1" ht="15.75" customHeight="1" x14ac:dyDescent="0.35">
      <c r="A142" s="74">
        <v>45684</v>
      </c>
    </row>
    <row r="143" spans="1:1" ht="15.75" customHeight="1" x14ac:dyDescent="0.35">
      <c r="A143" s="74">
        <v>45685</v>
      </c>
    </row>
    <row r="144" spans="1:1" ht="15.75" customHeight="1" x14ac:dyDescent="0.35">
      <c r="A144" s="74">
        <v>45686</v>
      </c>
    </row>
    <row r="145" spans="1:1" ht="15.75" customHeight="1" x14ac:dyDescent="0.35">
      <c r="A145" s="74">
        <v>45687</v>
      </c>
    </row>
    <row r="146" spans="1:1" ht="15.75" customHeight="1" x14ac:dyDescent="0.35">
      <c r="A146" s="74">
        <v>45688</v>
      </c>
    </row>
    <row r="147" spans="1:1" ht="15.75" customHeight="1" x14ac:dyDescent="0.35"/>
    <row r="148" spans="1:1" ht="15.75" customHeight="1" x14ac:dyDescent="0.35"/>
    <row r="149" spans="1:1" ht="15.75" customHeight="1" x14ac:dyDescent="0.35"/>
    <row r="150" spans="1:1" ht="15.75" customHeight="1" x14ac:dyDescent="0.35"/>
    <row r="151" spans="1:1" ht="15.75" customHeight="1" x14ac:dyDescent="0.35"/>
    <row r="152" spans="1:1" ht="15.75" customHeight="1" x14ac:dyDescent="0.35"/>
    <row r="153" spans="1:1" ht="15.75" customHeight="1" x14ac:dyDescent="0.35"/>
    <row r="154" spans="1:1" ht="15.75" customHeight="1" x14ac:dyDescent="0.35"/>
    <row r="155" spans="1:1" ht="15.75" customHeight="1" x14ac:dyDescent="0.35"/>
    <row r="156" spans="1:1" ht="15.75" customHeight="1" x14ac:dyDescent="0.35"/>
    <row r="157" spans="1:1" ht="15.75" customHeight="1" x14ac:dyDescent="0.35"/>
    <row r="158" spans="1:1" ht="15.75" customHeight="1" x14ac:dyDescent="0.35"/>
    <row r="159" spans="1:1" ht="15.75" customHeight="1" x14ac:dyDescent="0.35"/>
    <row r="160" spans="1:1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spans="2:5" ht="15.75" customHeight="1" x14ac:dyDescent="0.35"/>
    <row r="770" spans="2:5" ht="15.75" customHeight="1" x14ac:dyDescent="0.35"/>
    <row r="771" spans="2:5" ht="15.75" customHeight="1" x14ac:dyDescent="0.35"/>
    <row r="772" spans="2:5" ht="15.75" customHeight="1" x14ac:dyDescent="0.35"/>
    <row r="773" spans="2:5" ht="15.75" customHeight="1" x14ac:dyDescent="0.35"/>
    <row r="774" spans="2:5" ht="15.75" customHeight="1" x14ac:dyDescent="0.35"/>
    <row r="775" spans="2:5" ht="15.75" customHeight="1" x14ac:dyDescent="0.35"/>
    <row r="776" spans="2:5" ht="15.75" customHeight="1" x14ac:dyDescent="0.35"/>
    <row r="777" spans="2:5" ht="15.75" customHeight="1" x14ac:dyDescent="0.35"/>
    <row r="778" spans="2:5" ht="15.75" customHeight="1" x14ac:dyDescent="0.35"/>
    <row r="779" spans="2:5" ht="15.75" customHeight="1" x14ac:dyDescent="0.35"/>
    <row r="780" spans="2:5" ht="15.75" customHeight="1" x14ac:dyDescent="0.35"/>
    <row r="781" spans="2:5" ht="15.75" customHeight="1" x14ac:dyDescent="0.35">
      <c r="B781" s="1"/>
      <c r="C781" s="1"/>
      <c r="D781" s="1"/>
      <c r="E781" s="1"/>
    </row>
    <row r="782" spans="2:5" ht="15.75" customHeight="1" x14ac:dyDescent="0.35">
      <c r="B782" s="1"/>
      <c r="C782" s="1"/>
      <c r="D782" s="1"/>
      <c r="E782" s="1"/>
    </row>
    <row r="783" spans="2:5" ht="15.75" customHeight="1" x14ac:dyDescent="0.35">
      <c r="B783" s="1"/>
      <c r="C783" s="1"/>
      <c r="D783" s="1"/>
      <c r="E783" s="1"/>
    </row>
    <row r="784" spans="2:5" ht="15.75" customHeight="1" x14ac:dyDescent="0.35">
      <c r="B784" s="1"/>
      <c r="C784" s="1"/>
      <c r="D784" s="1"/>
      <c r="E784" s="1"/>
    </row>
    <row r="785" spans="2:5" ht="15.75" customHeight="1" x14ac:dyDescent="0.35">
      <c r="B785" s="1"/>
      <c r="C785" s="1"/>
      <c r="D785" s="1"/>
      <c r="E785" s="1"/>
    </row>
    <row r="786" spans="2:5" ht="15.75" customHeight="1" x14ac:dyDescent="0.35">
      <c r="B786" s="1"/>
      <c r="C786" s="1"/>
      <c r="D786" s="1"/>
      <c r="E786" s="1"/>
    </row>
    <row r="787" spans="2:5" ht="15.75" customHeight="1" x14ac:dyDescent="0.35">
      <c r="B787" s="1"/>
      <c r="C787" s="1"/>
      <c r="D787" s="1"/>
      <c r="E787" s="1"/>
    </row>
    <row r="788" spans="2:5" ht="15.75" customHeight="1" x14ac:dyDescent="0.35">
      <c r="B788" s="1"/>
      <c r="C788" s="1"/>
      <c r="D788" s="1"/>
      <c r="E788" s="1"/>
    </row>
    <row r="789" spans="2:5" ht="15.75" customHeight="1" x14ac:dyDescent="0.35">
      <c r="B789" s="1"/>
      <c r="C789" s="1"/>
      <c r="D789" s="1"/>
      <c r="E789" s="1"/>
    </row>
    <row r="790" spans="2:5" ht="15.75" customHeight="1" x14ac:dyDescent="0.35">
      <c r="B790" s="1"/>
      <c r="C790" s="1"/>
      <c r="D790" s="1"/>
      <c r="E790" s="1"/>
    </row>
    <row r="791" spans="2:5" ht="15.75" customHeight="1" x14ac:dyDescent="0.35">
      <c r="B791" s="1"/>
      <c r="C791" s="1"/>
      <c r="D791" s="1"/>
      <c r="E791" s="1"/>
    </row>
    <row r="792" spans="2:5" ht="15.75" customHeight="1" x14ac:dyDescent="0.35">
      <c r="B792" s="1"/>
      <c r="C792" s="1"/>
      <c r="D792" s="1"/>
      <c r="E792" s="1"/>
    </row>
    <row r="793" spans="2:5" ht="15.75" customHeight="1" x14ac:dyDescent="0.35">
      <c r="B793" s="1"/>
      <c r="C793" s="1"/>
      <c r="D793" s="1"/>
      <c r="E793" s="1"/>
    </row>
    <row r="794" spans="2:5" ht="15.75" customHeight="1" x14ac:dyDescent="0.35">
      <c r="B794" s="1"/>
      <c r="C794" s="1"/>
      <c r="D794" s="1"/>
      <c r="E794" s="1"/>
    </row>
    <row r="795" spans="2:5" ht="15.75" customHeight="1" x14ac:dyDescent="0.35">
      <c r="B795" s="1"/>
      <c r="C795" s="1"/>
      <c r="D795" s="1"/>
      <c r="E795" s="1"/>
    </row>
    <row r="796" spans="2:5" ht="15.75" customHeight="1" x14ac:dyDescent="0.35">
      <c r="B796" s="1"/>
      <c r="C796" s="1"/>
      <c r="D796" s="1"/>
      <c r="E796" s="1"/>
    </row>
    <row r="797" spans="2:5" ht="15.75" customHeight="1" x14ac:dyDescent="0.35">
      <c r="B797" s="1"/>
      <c r="C797" s="1"/>
      <c r="D797" s="1"/>
      <c r="E797" s="1"/>
    </row>
    <row r="798" spans="2:5" ht="15.75" customHeight="1" x14ac:dyDescent="0.35">
      <c r="B798" s="1"/>
      <c r="C798" s="1"/>
      <c r="D798" s="1"/>
      <c r="E798" s="1"/>
    </row>
    <row r="799" spans="2:5" ht="15.75" customHeight="1" x14ac:dyDescent="0.35">
      <c r="B799" s="1"/>
      <c r="C799" s="1"/>
      <c r="D799" s="1"/>
      <c r="E799" s="1"/>
    </row>
    <row r="800" spans="2:5" ht="15.75" customHeight="1" x14ac:dyDescent="0.35">
      <c r="B800" s="1"/>
      <c r="C800" s="1"/>
      <c r="D800" s="1"/>
      <c r="E800" s="1"/>
    </row>
    <row r="801" spans="2:5" ht="15.75" customHeight="1" x14ac:dyDescent="0.35">
      <c r="B801" s="1"/>
      <c r="C801" s="1"/>
      <c r="D801" s="1"/>
      <c r="E801" s="1"/>
    </row>
    <row r="802" spans="2:5" ht="15.75" customHeight="1" x14ac:dyDescent="0.35">
      <c r="B802" s="1"/>
      <c r="C802" s="1"/>
      <c r="D802" s="1"/>
      <c r="E802" s="1"/>
    </row>
    <row r="803" spans="2:5" ht="15.75" customHeight="1" x14ac:dyDescent="0.35">
      <c r="B803" s="1"/>
      <c r="C803" s="1"/>
      <c r="D803" s="1"/>
      <c r="E803" s="1"/>
    </row>
    <row r="804" spans="2:5" ht="15.75" customHeight="1" x14ac:dyDescent="0.35">
      <c r="B804" s="1"/>
      <c r="C804" s="1"/>
      <c r="D804" s="1"/>
      <c r="E804" s="1"/>
    </row>
    <row r="805" spans="2:5" ht="15.75" customHeight="1" x14ac:dyDescent="0.35">
      <c r="B805" s="1"/>
      <c r="C805" s="1"/>
      <c r="D805" s="1"/>
      <c r="E805" s="1"/>
    </row>
    <row r="806" spans="2:5" ht="15.75" customHeight="1" x14ac:dyDescent="0.35">
      <c r="B806" s="1"/>
      <c r="C806" s="1"/>
      <c r="D806" s="1"/>
      <c r="E806" s="1"/>
    </row>
    <row r="807" spans="2:5" ht="15.75" customHeight="1" x14ac:dyDescent="0.35">
      <c r="B807" s="1"/>
      <c r="C807" s="1"/>
      <c r="D807" s="1"/>
      <c r="E807" s="1"/>
    </row>
    <row r="808" spans="2:5" ht="15.75" customHeight="1" x14ac:dyDescent="0.35">
      <c r="B808" s="1"/>
      <c r="C808" s="1"/>
      <c r="D808" s="1"/>
      <c r="E808" s="1"/>
    </row>
    <row r="809" spans="2:5" ht="15.75" customHeight="1" x14ac:dyDescent="0.35">
      <c r="B809" s="1"/>
      <c r="C809" s="1"/>
      <c r="D809" s="1"/>
      <c r="E809" s="1"/>
    </row>
    <row r="810" spans="2:5" ht="15.75" customHeight="1" x14ac:dyDescent="0.35">
      <c r="B810" s="1"/>
      <c r="C810" s="1"/>
      <c r="D810" s="1"/>
      <c r="E810" s="1"/>
    </row>
    <row r="811" spans="2:5" ht="15.75" customHeight="1" x14ac:dyDescent="0.35">
      <c r="B811" s="1"/>
      <c r="C811" s="1"/>
      <c r="D811" s="1"/>
      <c r="E811" s="1"/>
    </row>
    <row r="812" spans="2:5" ht="15.75" customHeight="1" x14ac:dyDescent="0.35">
      <c r="B812" s="1"/>
      <c r="C812" s="1"/>
      <c r="D812" s="1"/>
      <c r="E812" s="1"/>
    </row>
    <row r="813" spans="2:5" ht="15.75" customHeight="1" x14ac:dyDescent="0.35">
      <c r="B813" s="1"/>
      <c r="C813" s="1"/>
      <c r="D813" s="1"/>
      <c r="E813" s="1"/>
    </row>
    <row r="814" spans="2:5" ht="15.75" customHeight="1" x14ac:dyDescent="0.35">
      <c r="B814" s="1"/>
      <c r="C814" s="1"/>
      <c r="D814" s="1"/>
      <c r="E814" s="1"/>
    </row>
    <row r="815" spans="2:5" ht="15.75" customHeight="1" x14ac:dyDescent="0.35">
      <c r="B815" s="1"/>
      <c r="C815" s="1"/>
      <c r="D815" s="1"/>
      <c r="E815" s="1"/>
    </row>
    <row r="816" spans="2:5" ht="15.75" customHeight="1" x14ac:dyDescent="0.35">
      <c r="B816" s="1"/>
      <c r="C816" s="1"/>
      <c r="D816" s="1"/>
      <c r="E816" s="1"/>
    </row>
    <row r="817" spans="2:5" ht="15.75" customHeight="1" x14ac:dyDescent="0.35">
      <c r="B817" s="1"/>
      <c r="C817" s="1"/>
      <c r="D817" s="1"/>
      <c r="E817" s="1"/>
    </row>
    <row r="818" spans="2:5" ht="15.75" customHeight="1" x14ac:dyDescent="0.35">
      <c r="B818" s="1"/>
      <c r="C818" s="1"/>
      <c r="D818" s="1"/>
      <c r="E818" s="1"/>
    </row>
    <row r="819" spans="2:5" ht="15.75" customHeight="1" x14ac:dyDescent="0.35">
      <c r="B819" s="1"/>
      <c r="C819" s="1"/>
      <c r="D819" s="1"/>
      <c r="E819" s="1"/>
    </row>
    <row r="820" spans="2:5" ht="15.75" customHeight="1" x14ac:dyDescent="0.35">
      <c r="B820" s="1"/>
      <c r="C820" s="1"/>
      <c r="D820" s="1"/>
      <c r="E820" s="1"/>
    </row>
    <row r="821" spans="2:5" ht="15.75" customHeight="1" x14ac:dyDescent="0.35">
      <c r="B821" s="1"/>
      <c r="C821" s="1"/>
      <c r="D821" s="1"/>
      <c r="E821" s="1"/>
    </row>
    <row r="822" spans="2:5" ht="15.75" customHeight="1" x14ac:dyDescent="0.35">
      <c r="B822" s="1"/>
      <c r="C822" s="1"/>
      <c r="D822" s="1"/>
      <c r="E822" s="1"/>
    </row>
    <row r="823" spans="2:5" ht="15.75" customHeight="1" x14ac:dyDescent="0.35">
      <c r="B823" s="1"/>
      <c r="C823" s="1"/>
      <c r="D823" s="1"/>
      <c r="E823" s="1"/>
    </row>
    <row r="824" spans="2:5" ht="15.75" customHeight="1" x14ac:dyDescent="0.35">
      <c r="B824" s="1"/>
      <c r="C824" s="1"/>
      <c r="D824" s="1"/>
      <c r="E824" s="1"/>
    </row>
    <row r="825" spans="2:5" ht="15.75" customHeight="1" x14ac:dyDescent="0.35">
      <c r="B825" s="1"/>
      <c r="C825" s="1"/>
      <c r="D825" s="1"/>
      <c r="E825" s="1"/>
    </row>
    <row r="826" spans="2:5" ht="15.75" customHeight="1" x14ac:dyDescent="0.35">
      <c r="B826" s="1"/>
      <c r="C826" s="1"/>
      <c r="D826" s="1"/>
      <c r="E826" s="1"/>
    </row>
    <row r="827" spans="2:5" ht="15.75" customHeight="1" x14ac:dyDescent="0.35">
      <c r="B827" s="1"/>
      <c r="C827" s="1"/>
      <c r="D827" s="1"/>
      <c r="E827" s="1"/>
    </row>
    <row r="828" spans="2:5" ht="15.75" customHeight="1" x14ac:dyDescent="0.35">
      <c r="B828" s="1"/>
      <c r="C828" s="1"/>
      <c r="D828" s="1"/>
      <c r="E828" s="1"/>
    </row>
    <row r="829" spans="2:5" ht="15.75" customHeight="1" x14ac:dyDescent="0.35">
      <c r="B829" s="1"/>
      <c r="C829" s="1"/>
      <c r="D829" s="1"/>
      <c r="E829" s="1"/>
    </row>
    <row r="830" spans="2:5" ht="15.75" customHeight="1" x14ac:dyDescent="0.35">
      <c r="B830" s="1"/>
      <c r="C830" s="1"/>
      <c r="D830" s="1"/>
      <c r="E830" s="1"/>
    </row>
    <row r="831" spans="2:5" ht="15.75" customHeight="1" x14ac:dyDescent="0.35">
      <c r="B831" s="1"/>
      <c r="C831" s="1"/>
      <c r="D831" s="1"/>
      <c r="E831" s="1"/>
    </row>
    <row r="832" spans="2:5" ht="15.75" customHeight="1" x14ac:dyDescent="0.35">
      <c r="B832" s="1"/>
      <c r="C832" s="1"/>
      <c r="D832" s="1"/>
      <c r="E832" s="1"/>
    </row>
    <row r="833" spans="2:5" ht="15.75" customHeight="1" x14ac:dyDescent="0.35">
      <c r="B833" s="1"/>
      <c r="C833" s="1"/>
      <c r="D833" s="1"/>
      <c r="E833" s="1"/>
    </row>
    <row r="834" spans="2:5" ht="15.75" customHeight="1" x14ac:dyDescent="0.35">
      <c r="B834" s="1"/>
      <c r="C834" s="1"/>
      <c r="D834" s="1"/>
      <c r="E834" s="1"/>
    </row>
    <row r="835" spans="2:5" ht="15.75" customHeight="1" x14ac:dyDescent="0.35">
      <c r="B835" s="1"/>
      <c r="C835" s="1"/>
      <c r="D835" s="1"/>
      <c r="E835" s="1"/>
    </row>
    <row r="836" spans="2:5" ht="15.75" customHeight="1" x14ac:dyDescent="0.35">
      <c r="B836" s="1"/>
      <c r="C836" s="1"/>
      <c r="D836" s="1"/>
      <c r="E836" s="1"/>
    </row>
    <row r="837" spans="2:5" ht="15.75" customHeight="1" x14ac:dyDescent="0.35">
      <c r="B837" s="1"/>
      <c r="C837" s="1"/>
      <c r="D837" s="1"/>
      <c r="E837" s="1"/>
    </row>
    <row r="838" spans="2:5" ht="15.75" customHeight="1" x14ac:dyDescent="0.35">
      <c r="B838" s="1"/>
      <c r="C838" s="1"/>
      <c r="D838" s="1"/>
      <c r="E838" s="1"/>
    </row>
    <row r="839" spans="2:5" ht="15.75" customHeight="1" x14ac:dyDescent="0.35">
      <c r="B839" s="1"/>
      <c r="C839" s="1"/>
      <c r="D839" s="1"/>
      <c r="E839" s="1"/>
    </row>
    <row r="840" spans="2:5" ht="15.75" customHeight="1" x14ac:dyDescent="0.35">
      <c r="B840" s="1"/>
      <c r="C840" s="1"/>
      <c r="D840" s="1"/>
      <c r="E840" s="1"/>
    </row>
    <row r="841" spans="2:5" ht="15.75" customHeight="1" x14ac:dyDescent="0.35">
      <c r="B841" s="1"/>
      <c r="C841" s="1"/>
      <c r="D841" s="1"/>
      <c r="E841" s="1"/>
    </row>
    <row r="842" spans="2:5" ht="15.75" customHeight="1" x14ac:dyDescent="0.35">
      <c r="B842" s="1"/>
      <c r="C842" s="1"/>
      <c r="D842" s="1"/>
      <c r="E842" s="1"/>
    </row>
    <row r="843" spans="2:5" ht="15.75" customHeight="1" x14ac:dyDescent="0.35">
      <c r="B843" s="1"/>
      <c r="C843" s="1"/>
      <c r="D843" s="1"/>
      <c r="E843" s="1"/>
    </row>
    <row r="844" spans="2:5" ht="15.75" customHeight="1" x14ac:dyDescent="0.35">
      <c r="B844" s="1"/>
      <c r="C844" s="1"/>
      <c r="D844" s="1"/>
      <c r="E844" s="1"/>
    </row>
    <row r="845" spans="2:5" ht="15.75" customHeight="1" x14ac:dyDescent="0.35">
      <c r="B845" s="1"/>
      <c r="C845" s="1"/>
      <c r="D845" s="1"/>
      <c r="E845" s="1"/>
    </row>
    <row r="846" spans="2:5" ht="15.75" customHeight="1" x14ac:dyDescent="0.35">
      <c r="B846" s="1"/>
      <c r="C846" s="1"/>
      <c r="D846" s="1"/>
      <c r="E846" s="1"/>
    </row>
    <row r="847" spans="2:5" ht="15.75" customHeight="1" x14ac:dyDescent="0.35">
      <c r="B847" s="1"/>
      <c r="C847" s="1"/>
      <c r="D847" s="1"/>
      <c r="E847" s="1"/>
    </row>
    <row r="848" spans="2:5" ht="15.75" customHeight="1" x14ac:dyDescent="0.35">
      <c r="B848" s="1"/>
      <c r="C848" s="1"/>
      <c r="D848" s="1"/>
      <c r="E848" s="1"/>
    </row>
    <row r="849" spans="2:5" ht="15.75" customHeight="1" x14ac:dyDescent="0.35">
      <c r="B849" s="1"/>
      <c r="C849" s="1"/>
      <c r="D849" s="1"/>
      <c r="E849" s="1"/>
    </row>
    <row r="850" spans="2:5" ht="15.75" customHeight="1" x14ac:dyDescent="0.35">
      <c r="B850" s="1"/>
      <c r="C850" s="1"/>
      <c r="D850" s="1"/>
      <c r="E850" s="1"/>
    </row>
    <row r="851" spans="2:5" ht="15.75" customHeight="1" x14ac:dyDescent="0.35">
      <c r="B851" s="1"/>
      <c r="C851" s="1"/>
      <c r="D851" s="1"/>
      <c r="E851" s="1"/>
    </row>
    <row r="852" spans="2:5" ht="15.75" customHeight="1" x14ac:dyDescent="0.35">
      <c r="B852" s="1"/>
      <c r="C852" s="1"/>
      <c r="D852" s="1"/>
      <c r="E852" s="1"/>
    </row>
    <row r="853" spans="2:5" ht="15.75" customHeight="1" x14ac:dyDescent="0.35">
      <c r="B853" s="1"/>
      <c r="C853" s="1"/>
      <c r="D853" s="1"/>
      <c r="E853" s="1"/>
    </row>
    <row r="854" spans="2:5" ht="15.75" customHeight="1" x14ac:dyDescent="0.35">
      <c r="B854" s="1"/>
      <c r="C854" s="1"/>
      <c r="D854" s="1"/>
      <c r="E854" s="1"/>
    </row>
    <row r="855" spans="2:5" ht="15.75" customHeight="1" x14ac:dyDescent="0.35">
      <c r="B855" s="1"/>
      <c r="C855" s="1"/>
      <c r="D855" s="1"/>
      <c r="E855" s="1"/>
    </row>
    <row r="856" spans="2:5" ht="15.75" customHeight="1" x14ac:dyDescent="0.35">
      <c r="B856" s="1"/>
      <c r="C856" s="1"/>
      <c r="D856" s="1"/>
      <c r="E856" s="1"/>
    </row>
    <row r="857" spans="2:5" ht="15.75" customHeight="1" x14ac:dyDescent="0.35">
      <c r="B857" s="1"/>
      <c r="C857" s="1"/>
      <c r="D857" s="1"/>
      <c r="E857" s="1"/>
    </row>
    <row r="858" spans="2:5" ht="15.75" customHeight="1" x14ac:dyDescent="0.35">
      <c r="B858" s="1"/>
      <c r="C858" s="1"/>
      <c r="D858" s="1"/>
      <c r="E858" s="1"/>
    </row>
    <row r="859" spans="2:5" ht="15.75" customHeight="1" x14ac:dyDescent="0.35">
      <c r="B859" s="1"/>
      <c r="C859" s="1"/>
      <c r="D859" s="1"/>
      <c r="E859" s="1"/>
    </row>
    <row r="860" spans="2:5" ht="15.75" customHeight="1" x14ac:dyDescent="0.35">
      <c r="B860" s="1"/>
      <c r="C860" s="1"/>
      <c r="D860" s="1"/>
      <c r="E860" s="1"/>
    </row>
    <row r="861" spans="2:5" ht="15.75" customHeight="1" x14ac:dyDescent="0.35">
      <c r="B861" s="1"/>
      <c r="C861" s="1"/>
      <c r="D861" s="1"/>
      <c r="E861" s="1"/>
    </row>
    <row r="862" spans="2:5" ht="15.75" customHeight="1" x14ac:dyDescent="0.35">
      <c r="B862" s="1"/>
      <c r="C862" s="1"/>
      <c r="D862" s="1"/>
      <c r="E862" s="1"/>
    </row>
    <row r="863" spans="2:5" ht="15.75" customHeight="1" x14ac:dyDescent="0.35">
      <c r="B863" s="1"/>
      <c r="C863" s="1"/>
      <c r="D863" s="1"/>
      <c r="E863" s="1"/>
    </row>
    <row r="864" spans="2:5" ht="15.75" customHeight="1" x14ac:dyDescent="0.35">
      <c r="B864" s="1"/>
      <c r="C864" s="1"/>
      <c r="D864" s="1"/>
      <c r="E864" s="1"/>
    </row>
    <row r="865" spans="2:5" ht="15.75" customHeight="1" x14ac:dyDescent="0.35">
      <c r="B865" s="1"/>
      <c r="C865" s="1"/>
      <c r="D865" s="1"/>
      <c r="E865" s="1"/>
    </row>
    <row r="866" spans="2:5" ht="15.75" customHeight="1" x14ac:dyDescent="0.35">
      <c r="B866" s="1"/>
      <c r="C866" s="1"/>
      <c r="D866" s="1"/>
      <c r="E866" s="1"/>
    </row>
    <row r="867" spans="2:5" ht="15.75" customHeight="1" x14ac:dyDescent="0.35">
      <c r="B867" s="1"/>
      <c r="C867" s="1"/>
      <c r="D867" s="1"/>
      <c r="E867" s="1"/>
    </row>
    <row r="868" spans="2:5" ht="15.75" customHeight="1" x14ac:dyDescent="0.35">
      <c r="B868" s="1"/>
      <c r="C868" s="1"/>
      <c r="D868" s="1"/>
      <c r="E868" s="1"/>
    </row>
    <row r="869" spans="2:5" ht="15.75" customHeight="1" x14ac:dyDescent="0.35">
      <c r="B869" s="1"/>
      <c r="C869" s="1"/>
      <c r="D869" s="1"/>
      <c r="E869" s="1"/>
    </row>
    <row r="870" spans="2:5" ht="15.75" customHeight="1" x14ac:dyDescent="0.35">
      <c r="B870" s="1"/>
      <c r="C870" s="1"/>
      <c r="D870" s="1"/>
      <c r="E870" s="1"/>
    </row>
    <row r="871" spans="2:5" ht="15.75" customHeight="1" x14ac:dyDescent="0.35">
      <c r="B871" s="1"/>
      <c r="C871" s="1"/>
      <c r="D871" s="1"/>
      <c r="E871" s="1"/>
    </row>
    <row r="872" spans="2:5" ht="15.75" customHeight="1" x14ac:dyDescent="0.35">
      <c r="B872" s="1"/>
      <c r="C872" s="1"/>
      <c r="D872" s="1"/>
      <c r="E872" s="1"/>
    </row>
    <row r="873" spans="2:5" ht="15.75" customHeight="1" x14ac:dyDescent="0.35">
      <c r="B873" s="1"/>
      <c r="C873" s="1"/>
      <c r="D873" s="1"/>
      <c r="E873" s="1"/>
    </row>
    <row r="874" spans="2:5" ht="15.75" customHeight="1" x14ac:dyDescent="0.35">
      <c r="B874" s="1"/>
      <c r="C874" s="1"/>
      <c r="D874" s="1"/>
      <c r="E874" s="1"/>
    </row>
    <row r="875" spans="2:5" ht="15.75" customHeight="1" x14ac:dyDescent="0.35">
      <c r="B875" s="1"/>
      <c r="C875" s="1"/>
      <c r="D875" s="1"/>
      <c r="E875" s="1"/>
    </row>
    <row r="876" spans="2:5" ht="15.75" customHeight="1" x14ac:dyDescent="0.35">
      <c r="B876" s="1"/>
      <c r="C876" s="1"/>
      <c r="D876" s="1"/>
      <c r="E876" s="1"/>
    </row>
    <row r="877" spans="2:5" ht="15.75" customHeight="1" x14ac:dyDescent="0.35">
      <c r="B877" s="1"/>
      <c r="C877" s="1"/>
      <c r="D877" s="1"/>
      <c r="E877" s="1"/>
    </row>
    <row r="878" spans="2:5" ht="15.75" customHeight="1" x14ac:dyDescent="0.35">
      <c r="B878" s="1"/>
      <c r="C878" s="1"/>
      <c r="D878" s="1"/>
      <c r="E878" s="1"/>
    </row>
    <row r="879" spans="2:5" ht="15.75" customHeight="1" x14ac:dyDescent="0.35">
      <c r="B879" s="1"/>
      <c r="C879" s="1"/>
      <c r="D879" s="1"/>
      <c r="E879" s="1"/>
    </row>
    <row r="880" spans="2:5" ht="15.75" customHeight="1" x14ac:dyDescent="0.35">
      <c r="B880" s="1"/>
      <c r="C880" s="1"/>
      <c r="D880" s="1"/>
      <c r="E880" s="1"/>
    </row>
    <row r="881" spans="2:5" ht="15.75" customHeight="1" x14ac:dyDescent="0.35">
      <c r="B881" s="1"/>
      <c r="C881" s="1"/>
      <c r="D881" s="1"/>
      <c r="E881" s="1"/>
    </row>
    <row r="882" spans="2:5" ht="15.75" customHeight="1" x14ac:dyDescent="0.35">
      <c r="B882" s="1"/>
      <c r="C882" s="1"/>
      <c r="D882" s="1"/>
      <c r="E882" s="1"/>
    </row>
    <row r="883" spans="2:5" ht="15.75" customHeight="1" x14ac:dyDescent="0.35">
      <c r="B883" s="1"/>
      <c r="C883" s="1"/>
      <c r="D883" s="1"/>
      <c r="E883" s="1"/>
    </row>
    <row r="884" spans="2:5" ht="15.75" customHeight="1" x14ac:dyDescent="0.35">
      <c r="B884" s="1"/>
      <c r="C884" s="1"/>
      <c r="D884" s="1"/>
      <c r="E884" s="1"/>
    </row>
    <row r="885" spans="2:5" ht="15.75" customHeight="1" x14ac:dyDescent="0.35">
      <c r="B885" s="1"/>
      <c r="C885" s="1"/>
      <c r="D885" s="1"/>
      <c r="E885" s="1"/>
    </row>
    <row r="886" spans="2:5" ht="15.75" customHeight="1" x14ac:dyDescent="0.35">
      <c r="B886" s="1"/>
      <c r="C886" s="1"/>
      <c r="D886" s="1"/>
      <c r="E886" s="1"/>
    </row>
    <row r="887" spans="2:5" ht="15.75" customHeight="1" x14ac:dyDescent="0.35">
      <c r="B887" s="1"/>
      <c r="C887" s="1"/>
      <c r="D887" s="1"/>
      <c r="E887" s="1"/>
    </row>
    <row r="888" spans="2:5" ht="15.75" customHeight="1" x14ac:dyDescent="0.35">
      <c r="B888" s="1"/>
      <c r="C888" s="1"/>
      <c r="D888" s="1"/>
      <c r="E888" s="1"/>
    </row>
    <row r="889" spans="2:5" ht="15.75" customHeight="1" x14ac:dyDescent="0.35">
      <c r="B889" s="1"/>
      <c r="C889" s="1"/>
      <c r="D889" s="1"/>
      <c r="E889" s="1"/>
    </row>
    <row r="890" spans="2:5" ht="15.75" customHeight="1" x14ac:dyDescent="0.35">
      <c r="B890" s="1"/>
      <c r="C890" s="1"/>
      <c r="D890" s="1"/>
      <c r="E890" s="1"/>
    </row>
    <row r="891" spans="2:5" ht="15.75" customHeight="1" x14ac:dyDescent="0.35">
      <c r="B891" s="1"/>
      <c r="C891" s="1"/>
      <c r="D891" s="1"/>
      <c r="E891" s="1"/>
    </row>
    <row r="892" spans="2:5" ht="15.75" customHeight="1" x14ac:dyDescent="0.35">
      <c r="B892" s="1"/>
      <c r="C892" s="1"/>
      <c r="D892" s="1"/>
      <c r="E892" s="1"/>
    </row>
    <row r="893" spans="2:5" ht="15.75" customHeight="1" x14ac:dyDescent="0.35">
      <c r="B893" s="1"/>
      <c r="C893" s="1"/>
      <c r="D893" s="1"/>
      <c r="E893" s="1"/>
    </row>
    <row r="894" spans="2:5" ht="15.75" customHeight="1" x14ac:dyDescent="0.35">
      <c r="B894" s="1"/>
      <c r="C894" s="1"/>
      <c r="D894" s="1"/>
      <c r="E894" s="1"/>
    </row>
    <row r="895" spans="2:5" ht="15.75" customHeight="1" x14ac:dyDescent="0.35">
      <c r="B895" s="1"/>
      <c r="C895" s="1"/>
      <c r="D895" s="1"/>
      <c r="E895" s="1"/>
    </row>
    <row r="896" spans="2:5" ht="15.75" customHeight="1" x14ac:dyDescent="0.35">
      <c r="B896" s="1"/>
      <c r="C896" s="1"/>
      <c r="D896" s="1"/>
      <c r="E896" s="1"/>
    </row>
    <row r="897" spans="2:5" ht="15.75" customHeight="1" x14ac:dyDescent="0.35">
      <c r="B897" s="1"/>
      <c r="C897" s="1"/>
      <c r="D897" s="1"/>
      <c r="E897" s="1"/>
    </row>
    <row r="898" spans="2:5" ht="15.75" customHeight="1" x14ac:dyDescent="0.35">
      <c r="B898" s="1"/>
      <c r="C898" s="1"/>
      <c r="D898" s="1"/>
      <c r="E898" s="1"/>
    </row>
    <row r="899" spans="2:5" ht="15.75" customHeight="1" x14ac:dyDescent="0.35">
      <c r="B899" s="1"/>
      <c r="C899" s="1"/>
      <c r="D899" s="1"/>
      <c r="E899" s="1"/>
    </row>
    <row r="900" spans="2:5" ht="15.75" customHeight="1" x14ac:dyDescent="0.35">
      <c r="B900" s="1"/>
      <c r="C900" s="1"/>
      <c r="D900" s="1"/>
      <c r="E900" s="1"/>
    </row>
    <row r="901" spans="2:5" ht="15.75" customHeight="1" x14ac:dyDescent="0.35">
      <c r="B901" s="1"/>
      <c r="C901" s="1"/>
      <c r="D901" s="1"/>
      <c r="E901" s="1"/>
    </row>
    <row r="902" spans="2:5" ht="15.75" customHeight="1" x14ac:dyDescent="0.35">
      <c r="B902" s="1"/>
      <c r="C902" s="1"/>
      <c r="D902" s="1"/>
      <c r="E902" s="1"/>
    </row>
    <row r="903" spans="2:5" ht="15.75" customHeight="1" x14ac:dyDescent="0.35">
      <c r="B903" s="1"/>
      <c r="C903" s="1"/>
      <c r="D903" s="1"/>
      <c r="E903" s="1"/>
    </row>
    <row r="904" spans="2:5" ht="15.75" customHeight="1" x14ac:dyDescent="0.35">
      <c r="B904" s="1"/>
      <c r="C904" s="1"/>
      <c r="D904" s="1"/>
      <c r="E904" s="1"/>
    </row>
    <row r="905" spans="2:5" ht="15.75" customHeight="1" x14ac:dyDescent="0.35">
      <c r="B905" s="1"/>
      <c r="C905" s="1"/>
      <c r="D905" s="1"/>
      <c r="E905" s="1"/>
    </row>
    <row r="906" spans="2:5" ht="15.75" customHeight="1" x14ac:dyDescent="0.35">
      <c r="B906" s="1"/>
      <c r="C906" s="1"/>
      <c r="D906" s="1"/>
      <c r="E906" s="1"/>
    </row>
    <row r="907" spans="2:5" ht="15.75" customHeight="1" x14ac:dyDescent="0.35">
      <c r="B907" s="1"/>
      <c r="C907" s="1"/>
      <c r="D907" s="1"/>
      <c r="E907" s="1"/>
    </row>
    <row r="908" spans="2:5" ht="15.75" customHeight="1" x14ac:dyDescent="0.35">
      <c r="B908" s="1"/>
      <c r="C908" s="1"/>
      <c r="D908" s="1"/>
      <c r="E908" s="1"/>
    </row>
    <row r="909" spans="2:5" ht="15.75" customHeight="1" x14ac:dyDescent="0.35">
      <c r="B909" s="1"/>
      <c r="C909" s="1"/>
      <c r="D909" s="1"/>
      <c r="E909" s="1"/>
    </row>
    <row r="910" spans="2:5" ht="15.75" customHeight="1" x14ac:dyDescent="0.35">
      <c r="B910" s="1"/>
      <c r="C910" s="1"/>
      <c r="D910" s="1"/>
      <c r="E910" s="1"/>
    </row>
    <row r="911" spans="2:5" ht="15.75" customHeight="1" x14ac:dyDescent="0.35">
      <c r="B911" s="1"/>
      <c r="C911" s="1"/>
      <c r="D911" s="1"/>
      <c r="E911" s="1"/>
    </row>
    <row r="912" spans="2:5" ht="15.75" customHeight="1" x14ac:dyDescent="0.35">
      <c r="B912" s="1"/>
      <c r="C912" s="1"/>
      <c r="D912" s="1"/>
      <c r="E912" s="1"/>
    </row>
    <row r="913" spans="2:5" ht="15.75" customHeight="1" x14ac:dyDescent="0.35">
      <c r="B913" s="1"/>
      <c r="C913" s="1"/>
      <c r="D913" s="1"/>
      <c r="E913" s="1"/>
    </row>
    <row r="914" spans="2:5" ht="15.75" customHeight="1" x14ac:dyDescent="0.35">
      <c r="B914" s="1"/>
      <c r="C914" s="1"/>
      <c r="D914" s="1"/>
      <c r="E914" s="1"/>
    </row>
    <row r="915" spans="2:5" ht="15.75" customHeight="1" x14ac:dyDescent="0.35">
      <c r="B915" s="1"/>
      <c r="C915" s="1"/>
      <c r="D915" s="1"/>
      <c r="E915" s="1"/>
    </row>
    <row r="916" spans="2:5" ht="15.75" customHeight="1" x14ac:dyDescent="0.35">
      <c r="B916" s="1"/>
      <c r="C916" s="1"/>
      <c r="D916" s="1"/>
      <c r="E916" s="1"/>
    </row>
    <row r="917" spans="2:5" ht="15.75" customHeight="1" x14ac:dyDescent="0.35">
      <c r="B917" s="1"/>
      <c r="C917" s="1"/>
      <c r="D917" s="1"/>
      <c r="E917" s="1"/>
    </row>
    <row r="918" spans="2:5" ht="15.75" customHeight="1" x14ac:dyDescent="0.35">
      <c r="B918" s="1"/>
      <c r="C918" s="1"/>
      <c r="D918" s="1"/>
      <c r="E918" s="1"/>
    </row>
    <row r="919" spans="2:5" ht="15.75" customHeight="1" x14ac:dyDescent="0.35">
      <c r="B919" s="1"/>
      <c r="C919" s="1"/>
      <c r="D919" s="1"/>
      <c r="E919" s="1"/>
    </row>
    <row r="920" spans="2:5" ht="15.75" customHeight="1" x14ac:dyDescent="0.35">
      <c r="B920" s="1"/>
      <c r="C920" s="1"/>
      <c r="D920" s="1"/>
      <c r="E920" s="1"/>
    </row>
    <row r="921" spans="2:5" ht="15.75" customHeight="1" x14ac:dyDescent="0.35">
      <c r="B921" s="1"/>
      <c r="C921" s="1"/>
      <c r="D921" s="1"/>
      <c r="E921" s="1"/>
    </row>
    <row r="922" spans="2:5" ht="15.75" customHeight="1" x14ac:dyDescent="0.35">
      <c r="B922" s="1"/>
      <c r="C922" s="1"/>
      <c r="D922" s="1"/>
      <c r="E922" s="1"/>
    </row>
    <row r="923" spans="2:5" ht="15.75" customHeight="1" x14ac:dyDescent="0.35">
      <c r="B923" s="1"/>
      <c r="C923" s="1"/>
      <c r="D923" s="1"/>
      <c r="E923" s="1"/>
    </row>
    <row r="924" spans="2:5" ht="15.75" customHeight="1" x14ac:dyDescent="0.35">
      <c r="B924" s="1"/>
      <c r="C924" s="1"/>
      <c r="D924" s="1"/>
      <c r="E924" s="1"/>
    </row>
    <row r="925" spans="2:5" ht="15.75" customHeight="1" x14ac:dyDescent="0.35">
      <c r="B925" s="1"/>
      <c r="C925" s="1"/>
      <c r="D925" s="1"/>
      <c r="E925" s="1"/>
    </row>
    <row r="926" spans="2:5" ht="15.75" customHeight="1" x14ac:dyDescent="0.35">
      <c r="B926" s="1"/>
      <c r="C926" s="1"/>
      <c r="D926" s="1"/>
      <c r="E926" s="1"/>
    </row>
    <row r="927" spans="2:5" ht="15.75" customHeight="1" x14ac:dyDescent="0.35">
      <c r="B927" s="1"/>
      <c r="C927" s="1"/>
      <c r="D927" s="1"/>
      <c r="E927" s="1"/>
    </row>
    <row r="928" spans="2:5" ht="15.75" customHeight="1" x14ac:dyDescent="0.35">
      <c r="B928" s="1"/>
      <c r="C928" s="1"/>
      <c r="D928" s="1"/>
      <c r="E928" s="1"/>
    </row>
    <row r="929" spans="2:5" ht="15.75" customHeight="1" x14ac:dyDescent="0.35">
      <c r="B929" s="1"/>
      <c r="C929" s="1"/>
      <c r="D929" s="1"/>
      <c r="E929" s="1"/>
    </row>
    <row r="930" spans="2:5" ht="15.75" customHeight="1" x14ac:dyDescent="0.35">
      <c r="B930" s="1"/>
      <c r="C930" s="1"/>
      <c r="D930" s="1"/>
      <c r="E930" s="1"/>
    </row>
    <row r="931" spans="2:5" ht="15.75" customHeight="1" x14ac:dyDescent="0.35">
      <c r="B931" s="1"/>
      <c r="C931" s="1"/>
      <c r="D931" s="1"/>
      <c r="E931" s="1"/>
    </row>
    <row r="932" spans="2:5" ht="15.75" customHeight="1" x14ac:dyDescent="0.35">
      <c r="B932" s="1"/>
      <c r="C932" s="1"/>
      <c r="D932" s="1"/>
      <c r="E932" s="1"/>
    </row>
    <row r="933" spans="2:5" ht="15.75" customHeight="1" x14ac:dyDescent="0.35">
      <c r="B933" s="1"/>
      <c r="C933" s="1"/>
      <c r="D933" s="1"/>
      <c r="E933" s="1"/>
    </row>
    <row r="934" spans="2:5" ht="15.75" customHeight="1" x14ac:dyDescent="0.35">
      <c r="B934" s="1"/>
      <c r="C934" s="1"/>
      <c r="D934" s="1"/>
      <c r="E934" s="1"/>
    </row>
    <row r="935" spans="2:5" ht="15.75" customHeight="1" x14ac:dyDescent="0.35">
      <c r="B935" s="1"/>
      <c r="C935" s="1"/>
      <c r="D935" s="1"/>
      <c r="E935" s="1"/>
    </row>
    <row r="936" spans="2:5" ht="15.75" customHeight="1" x14ac:dyDescent="0.35">
      <c r="B936" s="1"/>
      <c r="C936" s="1"/>
      <c r="D936" s="1"/>
      <c r="E936" s="1"/>
    </row>
    <row r="937" spans="2:5" ht="15.75" customHeight="1" x14ac:dyDescent="0.35">
      <c r="B937" s="1"/>
      <c r="C937" s="1"/>
      <c r="D937" s="1"/>
      <c r="E937" s="1"/>
    </row>
    <row r="938" spans="2:5" ht="15.75" customHeight="1" x14ac:dyDescent="0.35">
      <c r="B938" s="1"/>
      <c r="C938" s="1"/>
      <c r="D938" s="1"/>
      <c r="E938" s="1"/>
    </row>
    <row r="939" spans="2:5" ht="15.75" customHeight="1" x14ac:dyDescent="0.35">
      <c r="B939" s="1"/>
      <c r="C939" s="1"/>
      <c r="D939" s="1"/>
      <c r="E939" s="1"/>
    </row>
    <row r="940" spans="2:5" ht="15.75" customHeight="1" x14ac:dyDescent="0.35">
      <c r="B940" s="1"/>
      <c r="C940" s="1"/>
      <c r="D940" s="1"/>
      <c r="E940" s="1"/>
    </row>
    <row r="941" spans="2:5" ht="15.75" customHeight="1" x14ac:dyDescent="0.35">
      <c r="B941" s="1"/>
      <c r="C941" s="1"/>
      <c r="D941" s="1"/>
      <c r="E941" s="1"/>
    </row>
    <row r="942" spans="2:5" ht="15.75" customHeight="1" x14ac:dyDescent="0.35">
      <c r="B942" s="1"/>
      <c r="C942" s="1"/>
      <c r="D942" s="1"/>
      <c r="E942" s="1"/>
    </row>
    <row r="943" spans="2:5" ht="15.75" customHeight="1" x14ac:dyDescent="0.35">
      <c r="B943" s="1"/>
      <c r="C943" s="1"/>
      <c r="D943" s="1"/>
      <c r="E943" s="1"/>
    </row>
    <row r="944" spans="2:5" ht="15.75" customHeight="1" x14ac:dyDescent="0.35">
      <c r="B944" s="1"/>
      <c r="C944" s="1"/>
      <c r="D944" s="1"/>
      <c r="E944" s="1"/>
    </row>
    <row r="945" spans="2:5" ht="15.75" customHeight="1" x14ac:dyDescent="0.35">
      <c r="B945" s="1"/>
      <c r="C945" s="1"/>
      <c r="D945" s="1"/>
      <c r="E945" s="1"/>
    </row>
    <row r="946" spans="2:5" ht="15.75" customHeight="1" x14ac:dyDescent="0.35">
      <c r="B946" s="1"/>
      <c r="C946" s="1"/>
      <c r="D946" s="1"/>
      <c r="E946" s="1"/>
    </row>
    <row r="947" spans="2:5" ht="15.75" customHeight="1" x14ac:dyDescent="0.35">
      <c r="B947" s="1"/>
      <c r="C947" s="1"/>
      <c r="D947" s="1"/>
      <c r="E947" s="1"/>
    </row>
    <row r="948" spans="2:5" ht="15.75" customHeight="1" x14ac:dyDescent="0.35">
      <c r="B948" s="1"/>
      <c r="C948" s="1"/>
      <c r="D948" s="1"/>
      <c r="E948" s="1"/>
    </row>
    <row r="949" spans="2:5" ht="15.75" customHeight="1" x14ac:dyDescent="0.35">
      <c r="B949" s="1"/>
      <c r="C949" s="1"/>
      <c r="D949" s="1"/>
      <c r="E949" s="1"/>
    </row>
    <row r="950" spans="2:5" ht="15.75" customHeight="1" x14ac:dyDescent="0.35">
      <c r="B950" s="1"/>
      <c r="C950" s="1"/>
      <c r="D950" s="1"/>
      <c r="E950" s="1"/>
    </row>
    <row r="951" spans="2:5" ht="15.75" customHeight="1" x14ac:dyDescent="0.35">
      <c r="B951" s="1"/>
      <c r="C951" s="1"/>
      <c r="D951" s="1"/>
      <c r="E951" s="1"/>
    </row>
    <row r="952" spans="2:5" ht="15.75" customHeight="1" x14ac:dyDescent="0.35">
      <c r="B952" s="1"/>
      <c r="C952" s="1"/>
      <c r="D952" s="1"/>
      <c r="E952" s="1"/>
    </row>
    <row r="953" spans="2:5" ht="15.75" customHeight="1" x14ac:dyDescent="0.35">
      <c r="B953" s="1"/>
      <c r="C953" s="1"/>
      <c r="D953" s="1"/>
      <c r="E953" s="1"/>
    </row>
    <row r="954" spans="2:5" ht="15.75" customHeight="1" x14ac:dyDescent="0.35">
      <c r="B954" s="1"/>
      <c r="C954" s="1"/>
      <c r="D954" s="1"/>
      <c r="E954" s="1"/>
    </row>
    <row r="955" spans="2:5" ht="15.75" customHeight="1" x14ac:dyDescent="0.35">
      <c r="B955" s="1"/>
      <c r="C955" s="1"/>
      <c r="D955" s="1"/>
      <c r="E955" s="1"/>
    </row>
    <row r="956" spans="2:5" ht="15.75" customHeight="1" x14ac:dyDescent="0.35">
      <c r="B956" s="1"/>
      <c r="C956" s="1"/>
      <c r="D956" s="1"/>
      <c r="E956" s="1"/>
    </row>
    <row r="957" spans="2:5" ht="15.75" customHeight="1" x14ac:dyDescent="0.35">
      <c r="B957" s="1"/>
      <c r="C957" s="1"/>
      <c r="D957" s="1"/>
      <c r="E957" s="1"/>
    </row>
    <row r="958" spans="2:5" ht="15.75" customHeight="1" x14ac:dyDescent="0.35">
      <c r="B958" s="1"/>
      <c r="C958" s="1"/>
      <c r="D958" s="1"/>
      <c r="E958" s="1"/>
    </row>
    <row r="959" spans="2:5" ht="15.75" customHeight="1" x14ac:dyDescent="0.35">
      <c r="B959" s="1"/>
      <c r="C959" s="1"/>
      <c r="D959" s="1"/>
      <c r="E959" s="1"/>
    </row>
    <row r="960" spans="2:5" ht="15.75" customHeight="1" x14ac:dyDescent="0.35">
      <c r="B960" s="1"/>
      <c r="C960" s="1"/>
      <c r="D960" s="1"/>
      <c r="E960" s="1"/>
    </row>
    <row r="961" spans="2:5" ht="15.75" customHeight="1" x14ac:dyDescent="0.35">
      <c r="B961" s="1"/>
      <c r="C961" s="1"/>
      <c r="D961" s="1"/>
      <c r="E961" s="1"/>
    </row>
    <row r="962" spans="2:5" ht="15.75" customHeight="1" x14ac:dyDescent="0.35">
      <c r="B962" s="1"/>
      <c r="C962" s="1"/>
      <c r="D962" s="1"/>
      <c r="E962" s="1"/>
    </row>
    <row r="963" spans="2:5" ht="15.75" customHeight="1" x14ac:dyDescent="0.35">
      <c r="B963" s="1"/>
      <c r="C963" s="1"/>
      <c r="D963" s="1"/>
      <c r="E963" s="1"/>
    </row>
    <row r="964" spans="2:5" ht="15.75" customHeight="1" x14ac:dyDescent="0.35">
      <c r="B964" s="1"/>
      <c r="C964" s="1"/>
      <c r="D964" s="1"/>
      <c r="E964" s="1"/>
    </row>
    <row r="965" spans="2:5" ht="15.75" customHeight="1" x14ac:dyDescent="0.35">
      <c r="B965" s="1"/>
      <c r="C965" s="1"/>
      <c r="D965" s="1"/>
      <c r="E965" s="1"/>
    </row>
    <row r="966" spans="2:5" ht="15.75" customHeight="1" x14ac:dyDescent="0.35">
      <c r="B966" s="1"/>
      <c r="C966" s="1"/>
      <c r="D966" s="1"/>
      <c r="E966" s="1"/>
    </row>
    <row r="967" spans="2:5" ht="15.75" customHeight="1" x14ac:dyDescent="0.35">
      <c r="B967" s="1"/>
      <c r="C967" s="1"/>
      <c r="D967" s="1"/>
      <c r="E967" s="1"/>
    </row>
    <row r="968" spans="2:5" ht="15.75" customHeight="1" x14ac:dyDescent="0.35">
      <c r="B968" s="1"/>
      <c r="C968" s="1"/>
      <c r="D968" s="1"/>
      <c r="E968" s="1"/>
    </row>
    <row r="969" spans="2:5" ht="15.75" customHeight="1" x14ac:dyDescent="0.35">
      <c r="B969" s="1"/>
      <c r="C969" s="1"/>
      <c r="D969" s="1"/>
      <c r="E969" s="1"/>
    </row>
    <row r="970" spans="2:5" ht="15.75" customHeight="1" x14ac:dyDescent="0.35">
      <c r="B970" s="1"/>
      <c r="C970" s="1"/>
      <c r="D970" s="1"/>
      <c r="E970" s="1"/>
    </row>
    <row r="971" spans="2:5" ht="15.75" customHeight="1" x14ac:dyDescent="0.35">
      <c r="B971" s="1"/>
      <c r="C971" s="1"/>
      <c r="D971" s="1"/>
      <c r="E971" s="1"/>
    </row>
    <row r="972" spans="2:5" ht="15.75" customHeight="1" x14ac:dyDescent="0.35">
      <c r="B972" s="1"/>
      <c r="C972" s="1"/>
      <c r="D972" s="1"/>
      <c r="E972" s="1"/>
    </row>
    <row r="973" spans="2:5" ht="15.75" customHeight="1" x14ac:dyDescent="0.35">
      <c r="B973" s="1"/>
      <c r="C973" s="1"/>
      <c r="D973" s="1"/>
      <c r="E973" s="1"/>
    </row>
    <row r="974" spans="2:5" ht="15.75" customHeight="1" x14ac:dyDescent="0.35">
      <c r="B974" s="1"/>
      <c r="C974" s="1"/>
      <c r="D974" s="1"/>
      <c r="E974" s="1"/>
    </row>
    <row r="975" spans="2:5" ht="15.75" customHeight="1" x14ac:dyDescent="0.35">
      <c r="B975" s="1"/>
      <c r="C975" s="1"/>
      <c r="D975" s="1"/>
      <c r="E975" s="1"/>
    </row>
    <row r="976" spans="2:5" ht="15.75" customHeight="1" x14ac:dyDescent="0.35">
      <c r="B976" s="1"/>
      <c r="C976" s="1"/>
      <c r="D976" s="1"/>
      <c r="E976" s="1"/>
    </row>
    <row r="977" spans="2:5" ht="15.75" customHeight="1" x14ac:dyDescent="0.35">
      <c r="B977" s="1"/>
      <c r="C977" s="1"/>
      <c r="D977" s="1"/>
      <c r="E977" s="1"/>
    </row>
    <row r="978" spans="2:5" ht="15.75" customHeight="1" x14ac:dyDescent="0.35">
      <c r="B978" s="1"/>
      <c r="C978" s="1"/>
      <c r="D978" s="1"/>
      <c r="E978" s="1"/>
    </row>
    <row r="979" spans="2:5" ht="15.75" customHeight="1" x14ac:dyDescent="0.35">
      <c r="B979" s="1"/>
      <c r="C979" s="1"/>
      <c r="D979" s="1"/>
      <c r="E979" s="1"/>
    </row>
    <row r="980" spans="2:5" ht="15.75" customHeight="1" x14ac:dyDescent="0.35">
      <c r="B980" s="1"/>
      <c r="C980" s="1"/>
      <c r="D980" s="1"/>
      <c r="E980" s="1"/>
    </row>
    <row r="981" spans="2:5" ht="15.75" customHeight="1" x14ac:dyDescent="0.35">
      <c r="B981" s="1"/>
      <c r="C981" s="1"/>
      <c r="D981" s="1"/>
      <c r="E981" s="1"/>
    </row>
    <row r="982" spans="2:5" ht="15.75" customHeight="1" x14ac:dyDescent="0.35">
      <c r="B982" s="1"/>
      <c r="C982" s="1"/>
      <c r="D982" s="1"/>
      <c r="E982" s="1"/>
    </row>
    <row r="983" spans="2:5" ht="15.75" customHeight="1" x14ac:dyDescent="0.35">
      <c r="B983" s="1"/>
      <c r="C983" s="1"/>
      <c r="D983" s="1"/>
      <c r="E983" s="1"/>
    </row>
    <row r="984" spans="2:5" ht="15.75" customHeight="1" x14ac:dyDescent="0.35">
      <c r="B984" s="1"/>
      <c r="C984" s="1"/>
      <c r="D984" s="1"/>
      <c r="E984" s="1"/>
    </row>
    <row r="985" spans="2:5" ht="15.75" customHeight="1" x14ac:dyDescent="0.35">
      <c r="B985" s="1"/>
      <c r="C985" s="1"/>
      <c r="D985" s="1"/>
      <c r="E985" s="1"/>
    </row>
    <row r="986" spans="2:5" ht="15.75" customHeight="1" x14ac:dyDescent="0.35">
      <c r="B986" s="1"/>
      <c r="C986" s="1"/>
      <c r="D986" s="1"/>
      <c r="E986" s="1"/>
    </row>
    <row r="987" spans="2:5" ht="15.75" customHeight="1" x14ac:dyDescent="0.35">
      <c r="B987" s="1"/>
      <c r="C987" s="1"/>
      <c r="D987" s="1"/>
      <c r="E987" s="1"/>
    </row>
    <row r="988" spans="2:5" ht="15.75" customHeight="1" x14ac:dyDescent="0.35">
      <c r="B988" s="1"/>
      <c r="C988" s="1"/>
      <c r="D988" s="1"/>
      <c r="E988" s="1"/>
    </row>
    <row r="989" spans="2:5" ht="15.75" customHeight="1" x14ac:dyDescent="0.35">
      <c r="B989" s="1"/>
      <c r="C989" s="1"/>
      <c r="D989" s="1"/>
      <c r="E989" s="1"/>
    </row>
    <row r="990" spans="2:5" ht="15.75" customHeight="1" x14ac:dyDescent="0.35">
      <c r="B990" s="1"/>
      <c r="C990" s="1"/>
      <c r="D990" s="1"/>
      <c r="E990" s="1"/>
    </row>
    <row r="991" spans="2:5" ht="15.75" customHeight="1" x14ac:dyDescent="0.35">
      <c r="B991" s="1"/>
      <c r="C991" s="1"/>
      <c r="D991" s="1"/>
      <c r="E991" s="1"/>
    </row>
    <row r="992" spans="2:5" ht="15.75" customHeight="1" x14ac:dyDescent="0.35">
      <c r="B992" s="1"/>
      <c r="C992" s="1"/>
      <c r="D992" s="1"/>
      <c r="E992" s="1"/>
    </row>
    <row r="993" spans="2:5" ht="15.75" customHeight="1" x14ac:dyDescent="0.35">
      <c r="B993" s="1"/>
      <c r="C993" s="1"/>
      <c r="D993" s="1"/>
      <c r="E993" s="1"/>
    </row>
    <row r="994" spans="2:5" ht="15.75" customHeight="1" x14ac:dyDescent="0.35">
      <c r="B994" s="1"/>
      <c r="C994" s="1"/>
      <c r="D994" s="1"/>
      <c r="E994" s="1"/>
    </row>
    <row r="995" spans="2:5" ht="15.75" customHeight="1" x14ac:dyDescent="0.35">
      <c r="B995" s="1"/>
      <c r="C995" s="1"/>
      <c r="D995" s="1"/>
      <c r="E995" s="1"/>
    </row>
    <row r="996" spans="2:5" ht="15.75" customHeight="1" x14ac:dyDescent="0.35">
      <c r="B996" s="1"/>
      <c r="C996" s="1"/>
      <c r="D996" s="1"/>
      <c r="E996" s="1"/>
    </row>
    <row r="997" spans="2:5" ht="15.75" customHeight="1" x14ac:dyDescent="0.35">
      <c r="B997" s="1"/>
      <c r="C997" s="1"/>
      <c r="D997" s="1"/>
      <c r="E997" s="1"/>
    </row>
    <row r="998" spans="2:5" ht="15.75" customHeight="1" x14ac:dyDescent="0.35">
      <c r="B998" s="1"/>
      <c r="C998" s="1"/>
      <c r="D998" s="1"/>
      <c r="E998" s="1"/>
    </row>
    <row r="999" spans="2:5" ht="15.75" customHeight="1" x14ac:dyDescent="0.35">
      <c r="B999" s="1"/>
      <c r="C999" s="1"/>
      <c r="D999" s="1"/>
      <c r="E999" s="1"/>
    </row>
    <row r="1000" spans="2:5" ht="15.75" customHeight="1" x14ac:dyDescent="0.35">
      <c r="B1000" s="1"/>
      <c r="C1000" s="1"/>
      <c r="D1000" s="1"/>
      <c r="E1000" s="1"/>
    </row>
  </sheetData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000"/>
  <sheetViews>
    <sheetView workbookViewId="0">
      <pane ySplit="1" topLeftCell="A2" activePane="bottomLeft" state="frozen"/>
      <selection pane="bottomLeft" activeCell="B1" sqref="B1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45108</v>
      </c>
      <c r="B2" s="9">
        <v>2301.11</v>
      </c>
      <c r="C2" s="9">
        <v>1544.31</v>
      </c>
      <c r="D2" s="9">
        <v>259.7</v>
      </c>
      <c r="E2" s="9"/>
      <c r="F2" s="9"/>
      <c r="G2" s="9"/>
      <c r="H2" s="9">
        <v>107.7</v>
      </c>
      <c r="I2" s="9"/>
      <c r="J2" s="9"/>
      <c r="K2" s="9"/>
      <c r="L2" s="9">
        <v>395</v>
      </c>
      <c r="M2" s="31">
        <f t="shared" ref="M2:M32" si="0">C2+D2+E2+F2+G2+H2+I2+J2+L2+K2</f>
        <v>2306.71</v>
      </c>
      <c r="N2" s="27">
        <f t="shared" ref="N2:N32" si="1">L2-O2</f>
        <v>389.40000000000009</v>
      </c>
      <c r="O2" s="32">
        <f t="shared" ref="O2:O32" si="2">M2-B2-F2</f>
        <v>5.5999999999999091</v>
      </c>
      <c r="P2" s="33">
        <v>70</v>
      </c>
    </row>
    <row r="3" spans="1:18" ht="15.75" customHeight="1" x14ac:dyDescent="0.35">
      <c r="A3" s="26">
        <v>45109</v>
      </c>
      <c r="B3" s="9">
        <v>2085.2399999999998</v>
      </c>
      <c r="C3" s="9">
        <v>1532.44</v>
      </c>
      <c r="D3" s="9">
        <v>94.4</v>
      </c>
      <c r="E3" s="9"/>
      <c r="F3" s="9"/>
      <c r="G3" s="9"/>
      <c r="H3" s="9">
        <v>75.8</v>
      </c>
      <c r="I3" s="9"/>
      <c r="J3" s="9"/>
      <c r="K3" s="9"/>
      <c r="L3" s="9">
        <v>385</v>
      </c>
      <c r="M3" s="31">
        <f t="shared" si="0"/>
        <v>2087.6400000000003</v>
      </c>
      <c r="N3" s="27">
        <f t="shared" si="1"/>
        <v>382.59999999999945</v>
      </c>
      <c r="O3" s="70">
        <f t="shared" si="2"/>
        <v>2.4000000000005457</v>
      </c>
      <c r="P3" s="28">
        <v>65</v>
      </c>
      <c r="Q3" s="56"/>
    </row>
    <row r="4" spans="1:18" ht="15.75" customHeight="1" x14ac:dyDescent="0.35">
      <c r="A4" s="26">
        <v>45110</v>
      </c>
      <c r="B4" s="9">
        <v>722.17</v>
      </c>
      <c r="C4" s="9">
        <v>365.17</v>
      </c>
      <c r="D4" s="9">
        <v>65.900000000000006</v>
      </c>
      <c r="E4" s="9"/>
      <c r="F4" s="9"/>
      <c r="G4" s="9"/>
      <c r="H4" s="9"/>
      <c r="I4" s="9"/>
      <c r="J4" s="9"/>
      <c r="K4" s="9"/>
      <c r="L4" s="9">
        <v>290</v>
      </c>
      <c r="M4" s="31">
        <f t="shared" si="0"/>
        <v>721.07</v>
      </c>
      <c r="N4" s="27">
        <f t="shared" si="1"/>
        <v>291.09999999999991</v>
      </c>
      <c r="O4" s="41">
        <f t="shared" si="2"/>
        <v>-1.0999999999999091</v>
      </c>
      <c r="P4" s="28"/>
    </row>
    <row r="5" spans="1:18" ht="15.75" customHeight="1" x14ac:dyDescent="0.35">
      <c r="A5" s="26">
        <v>45111</v>
      </c>
      <c r="B5" s="9">
        <v>964.04</v>
      </c>
      <c r="C5" s="9">
        <v>562.84</v>
      </c>
      <c r="D5" s="9">
        <v>109.3</v>
      </c>
      <c r="E5" s="9"/>
      <c r="F5" s="9"/>
      <c r="G5" s="9"/>
      <c r="H5" s="9">
        <v>18.899999999999999</v>
      </c>
      <c r="I5" s="9"/>
      <c r="J5" s="9"/>
      <c r="K5" s="9"/>
      <c r="L5" s="9">
        <v>280</v>
      </c>
      <c r="M5" s="31">
        <f t="shared" si="0"/>
        <v>971.04</v>
      </c>
      <c r="N5" s="27">
        <f t="shared" si="1"/>
        <v>273</v>
      </c>
      <c r="O5" s="41">
        <f t="shared" si="2"/>
        <v>7</v>
      </c>
      <c r="P5" s="28"/>
    </row>
    <row r="6" spans="1:18" ht="15.75" customHeight="1" x14ac:dyDescent="0.35">
      <c r="A6" s="26">
        <v>45112</v>
      </c>
      <c r="B6" s="9">
        <v>829.86</v>
      </c>
      <c r="C6" s="9">
        <v>505.51</v>
      </c>
      <c r="D6" s="9">
        <v>40</v>
      </c>
      <c r="E6" s="9"/>
      <c r="F6" s="9"/>
      <c r="G6" s="9"/>
      <c r="H6" s="9"/>
      <c r="I6" s="9"/>
      <c r="J6" s="9"/>
      <c r="K6" s="16">
        <v>25.08</v>
      </c>
      <c r="L6" s="9">
        <v>260</v>
      </c>
      <c r="M6" s="31">
        <f t="shared" si="0"/>
        <v>830.59</v>
      </c>
      <c r="N6" s="27">
        <f t="shared" si="1"/>
        <v>259.27</v>
      </c>
      <c r="O6" s="41">
        <f t="shared" si="2"/>
        <v>0.73000000000001819</v>
      </c>
      <c r="P6" s="28"/>
    </row>
    <row r="7" spans="1:18" ht="15.75" customHeight="1" x14ac:dyDescent="0.35">
      <c r="A7" s="26">
        <v>45113</v>
      </c>
      <c r="B7" s="9">
        <v>984.12</v>
      </c>
      <c r="C7" s="9">
        <v>597.66</v>
      </c>
      <c r="D7" s="9">
        <v>48.22</v>
      </c>
      <c r="E7" s="9"/>
      <c r="F7" s="9"/>
      <c r="G7" s="9"/>
      <c r="H7" s="9">
        <v>37.799999999999997</v>
      </c>
      <c r="I7" s="9"/>
      <c r="J7" s="9"/>
      <c r="K7" s="9"/>
      <c r="L7" s="9">
        <v>300</v>
      </c>
      <c r="M7" s="31">
        <f t="shared" si="0"/>
        <v>983.68</v>
      </c>
      <c r="N7" s="27">
        <f t="shared" si="1"/>
        <v>300.44000000000005</v>
      </c>
      <c r="O7" s="41">
        <f t="shared" si="2"/>
        <v>-0.44000000000005457</v>
      </c>
      <c r="P7" s="28"/>
    </row>
    <row r="8" spans="1:18" ht="15.75" customHeight="1" x14ac:dyDescent="0.35">
      <c r="A8" s="26">
        <v>45114</v>
      </c>
      <c r="B8" s="9">
        <v>1244.03</v>
      </c>
      <c r="C8" s="9">
        <v>640.72</v>
      </c>
      <c r="D8" s="9">
        <v>142.54</v>
      </c>
      <c r="E8" s="9"/>
      <c r="F8" s="9"/>
      <c r="G8" s="9"/>
      <c r="H8" s="9">
        <v>18.899999999999999</v>
      </c>
      <c r="I8" s="9"/>
      <c r="J8" s="9"/>
      <c r="K8" s="9"/>
      <c r="L8" s="9">
        <v>445</v>
      </c>
      <c r="M8" s="31">
        <f t="shared" si="0"/>
        <v>1247.1599999999999</v>
      </c>
      <c r="N8" s="27">
        <f t="shared" si="1"/>
        <v>441.87000000000012</v>
      </c>
      <c r="O8" s="41">
        <f t="shared" si="2"/>
        <v>3.1299999999998818</v>
      </c>
      <c r="P8" s="28"/>
    </row>
    <row r="9" spans="1:18" ht="15.75" customHeight="1" x14ac:dyDescent="0.35">
      <c r="A9" s="26">
        <v>45115</v>
      </c>
      <c r="B9" s="9">
        <v>1671.83</v>
      </c>
      <c r="C9" s="9">
        <v>1005.7</v>
      </c>
      <c r="D9" s="9">
        <v>118.1</v>
      </c>
      <c r="E9" s="9"/>
      <c r="F9" s="9"/>
      <c r="G9" s="9"/>
      <c r="H9" s="9"/>
      <c r="I9" s="9"/>
      <c r="J9" s="9"/>
      <c r="K9" s="9"/>
      <c r="L9" s="9">
        <v>550</v>
      </c>
      <c r="M9" s="31">
        <f t="shared" si="0"/>
        <v>1673.8</v>
      </c>
      <c r="N9" s="27">
        <f t="shared" si="1"/>
        <v>548.03</v>
      </c>
      <c r="O9" s="41">
        <f t="shared" si="2"/>
        <v>1.9700000000000273</v>
      </c>
      <c r="P9" s="28"/>
    </row>
    <row r="10" spans="1:18" ht="15.75" customHeight="1" x14ac:dyDescent="0.35">
      <c r="A10" s="26">
        <v>45116</v>
      </c>
      <c r="B10" s="9">
        <v>1857.66</v>
      </c>
      <c r="C10" s="9">
        <v>1242.6600000000001</v>
      </c>
      <c r="D10" s="9">
        <v>120.2</v>
      </c>
      <c r="E10" s="9"/>
      <c r="F10" s="9"/>
      <c r="G10" s="9"/>
      <c r="H10" s="9">
        <v>82.7</v>
      </c>
      <c r="I10" s="9"/>
      <c r="J10" s="9"/>
      <c r="K10" s="9"/>
      <c r="L10" s="9">
        <v>405</v>
      </c>
      <c r="M10" s="31">
        <f t="shared" si="0"/>
        <v>1850.5600000000002</v>
      </c>
      <c r="N10" s="27">
        <f t="shared" si="1"/>
        <v>412.09999999999991</v>
      </c>
      <c r="O10" s="41">
        <f t="shared" si="2"/>
        <v>-7.0999999999999091</v>
      </c>
      <c r="P10" s="28"/>
    </row>
    <row r="11" spans="1:18" ht="15.75" customHeight="1" x14ac:dyDescent="0.35">
      <c r="A11" s="26">
        <v>45117</v>
      </c>
      <c r="B11" s="9">
        <v>890.36</v>
      </c>
      <c r="C11" s="9">
        <v>442.88</v>
      </c>
      <c r="D11" s="9">
        <v>91.9</v>
      </c>
      <c r="E11" s="9"/>
      <c r="F11" s="9"/>
      <c r="G11" s="9"/>
      <c r="H11" s="9">
        <v>19.899999999999999</v>
      </c>
      <c r="I11" s="9"/>
      <c r="J11" s="9"/>
      <c r="K11" s="9"/>
      <c r="L11" s="9">
        <v>335</v>
      </c>
      <c r="M11" s="31">
        <f t="shared" si="0"/>
        <v>889.68</v>
      </c>
      <c r="N11" s="27">
        <f t="shared" si="1"/>
        <v>335.68000000000006</v>
      </c>
      <c r="O11" s="41">
        <f t="shared" si="2"/>
        <v>-0.68000000000006366</v>
      </c>
      <c r="P11" s="28"/>
    </row>
    <row r="12" spans="1:18" ht="15.75" customHeight="1" x14ac:dyDescent="0.35">
      <c r="A12" s="26">
        <v>45118</v>
      </c>
      <c r="B12" s="9">
        <v>962.6</v>
      </c>
      <c r="C12" s="9">
        <v>534.1</v>
      </c>
      <c r="D12" s="9">
        <v>117.3</v>
      </c>
      <c r="E12" s="9"/>
      <c r="F12" s="9"/>
      <c r="G12" s="9"/>
      <c r="H12" s="9"/>
      <c r="I12" s="9"/>
      <c r="J12" s="9"/>
      <c r="K12" s="9"/>
      <c r="L12" s="9">
        <v>315</v>
      </c>
      <c r="M12" s="31">
        <f t="shared" si="0"/>
        <v>966.4</v>
      </c>
      <c r="N12" s="27">
        <f t="shared" si="1"/>
        <v>311.20000000000005</v>
      </c>
      <c r="O12" s="41">
        <f t="shared" si="2"/>
        <v>3.7999999999999545</v>
      </c>
      <c r="P12" s="28"/>
      <c r="Q12" s="56"/>
    </row>
    <row r="13" spans="1:18" ht="15.75" customHeight="1" x14ac:dyDescent="0.35">
      <c r="A13" s="26">
        <v>45119</v>
      </c>
      <c r="B13" s="9">
        <v>1146.75</v>
      </c>
      <c r="C13" s="9">
        <v>638.35</v>
      </c>
      <c r="D13" s="9">
        <v>119.58</v>
      </c>
      <c r="E13" s="9"/>
      <c r="F13" s="9"/>
      <c r="G13" s="9"/>
      <c r="H13" s="9">
        <v>18.899999999999999</v>
      </c>
      <c r="I13" s="9"/>
      <c r="J13" s="9"/>
      <c r="K13" s="16">
        <v>106.05</v>
      </c>
      <c r="L13" s="9">
        <v>265</v>
      </c>
      <c r="M13" s="31">
        <f t="shared" si="0"/>
        <v>1147.8799999999999</v>
      </c>
      <c r="N13" s="27">
        <f t="shared" si="1"/>
        <v>263.87000000000012</v>
      </c>
      <c r="O13" s="41">
        <f t="shared" si="2"/>
        <v>1.1299999999998818</v>
      </c>
      <c r="P13" s="28"/>
    </row>
    <row r="14" spans="1:18" ht="15.75" customHeight="1" x14ac:dyDescent="0.35">
      <c r="A14" s="26">
        <v>45120</v>
      </c>
      <c r="B14" s="9">
        <v>884.18</v>
      </c>
      <c r="C14" s="9">
        <v>522.05999999999995</v>
      </c>
      <c r="D14" s="9">
        <v>45.4</v>
      </c>
      <c r="E14" s="9"/>
      <c r="F14" s="9"/>
      <c r="G14" s="9"/>
      <c r="H14" s="9"/>
      <c r="I14" s="9"/>
      <c r="J14" s="9"/>
      <c r="K14" s="16">
        <v>89.5</v>
      </c>
      <c r="L14" s="9">
        <v>220</v>
      </c>
      <c r="M14" s="31">
        <f t="shared" si="0"/>
        <v>876.95999999999992</v>
      </c>
      <c r="N14" s="27">
        <f t="shared" si="1"/>
        <v>227.22000000000003</v>
      </c>
      <c r="O14" s="41">
        <f t="shared" si="2"/>
        <v>-7.2200000000000273</v>
      </c>
      <c r="P14" s="28"/>
    </row>
    <row r="15" spans="1:18" ht="15.75" customHeight="1" x14ac:dyDescent="0.35">
      <c r="A15" s="26">
        <v>45121</v>
      </c>
      <c r="B15" s="9">
        <v>817.28</v>
      </c>
      <c r="C15" s="9">
        <v>517.96</v>
      </c>
      <c r="D15" s="9">
        <v>61.6</v>
      </c>
      <c r="E15" s="9"/>
      <c r="F15" s="9"/>
      <c r="G15" s="9"/>
      <c r="H15" s="9"/>
      <c r="I15" s="9"/>
      <c r="J15" s="9"/>
      <c r="K15" s="9"/>
      <c r="L15" s="9">
        <v>230</v>
      </c>
      <c r="M15" s="31">
        <f t="shared" si="0"/>
        <v>809.56000000000006</v>
      </c>
      <c r="N15" s="27">
        <f t="shared" si="1"/>
        <v>237.71999999999991</v>
      </c>
      <c r="O15" s="41">
        <f t="shared" si="2"/>
        <v>-7.7199999999999136</v>
      </c>
      <c r="P15" s="28"/>
    </row>
    <row r="16" spans="1:18" ht="15.75" customHeight="1" x14ac:dyDescent="0.35">
      <c r="A16" s="26">
        <v>45122</v>
      </c>
      <c r="B16" s="9">
        <v>1671.18</v>
      </c>
      <c r="C16" s="9">
        <v>1220.51</v>
      </c>
      <c r="D16" s="9">
        <v>117.5</v>
      </c>
      <c r="E16" s="9"/>
      <c r="F16" s="9"/>
      <c r="G16" s="9"/>
      <c r="H16" s="9">
        <v>37.799999999999997</v>
      </c>
      <c r="I16" s="9"/>
      <c r="J16" s="9"/>
      <c r="K16" s="16">
        <v>29.5</v>
      </c>
      <c r="L16" s="9">
        <v>265</v>
      </c>
      <c r="M16" s="31">
        <f t="shared" si="0"/>
        <v>1670.31</v>
      </c>
      <c r="N16" s="27">
        <f t="shared" si="1"/>
        <v>265.87000000000012</v>
      </c>
      <c r="O16" s="41">
        <f t="shared" si="2"/>
        <v>-0.87000000000011823</v>
      </c>
      <c r="P16" s="28"/>
    </row>
    <row r="17" spans="1:16" ht="15.75" customHeight="1" x14ac:dyDescent="0.35">
      <c r="A17" s="26">
        <v>45123</v>
      </c>
      <c r="B17" s="9">
        <v>1542.59</v>
      </c>
      <c r="C17" s="9">
        <v>1085.8499999999999</v>
      </c>
      <c r="D17" s="9">
        <v>113.22</v>
      </c>
      <c r="E17" s="9"/>
      <c r="F17" s="9"/>
      <c r="G17" s="9"/>
      <c r="H17" s="9">
        <v>38.799999999999997</v>
      </c>
      <c r="I17" s="9"/>
      <c r="J17" s="9"/>
      <c r="K17" s="9"/>
      <c r="L17" s="9">
        <v>305</v>
      </c>
      <c r="M17" s="31">
        <f t="shared" si="0"/>
        <v>1542.87</v>
      </c>
      <c r="N17" s="27">
        <f t="shared" si="1"/>
        <v>304.72000000000003</v>
      </c>
      <c r="O17" s="41">
        <f t="shared" si="2"/>
        <v>0.27999999999997272</v>
      </c>
      <c r="P17" s="28"/>
    </row>
    <row r="18" spans="1:16" ht="15.75" customHeight="1" x14ac:dyDescent="0.35">
      <c r="A18" s="26">
        <v>45124</v>
      </c>
      <c r="B18" s="9">
        <v>1405</v>
      </c>
      <c r="C18" s="9">
        <v>425.72</v>
      </c>
      <c r="D18" s="9">
        <v>40.6</v>
      </c>
      <c r="E18" s="9"/>
      <c r="F18" s="9"/>
      <c r="G18" s="9"/>
      <c r="H18" s="9">
        <v>20</v>
      </c>
      <c r="I18" s="9"/>
      <c r="J18" s="9"/>
      <c r="K18" s="16">
        <f>420 + 25.08</f>
        <v>445.08</v>
      </c>
      <c r="L18" s="9">
        <v>475</v>
      </c>
      <c r="M18" s="31">
        <f t="shared" si="0"/>
        <v>1406.4</v>
      </c>
      <c r="N18" s="27">
        <f t="shared" si="1"/>
        <v>473.59999999999991</v>
      </c>
      <c r="O18" s="41">
        <f t="shared" si="2"/>
        <v>1.4000000000000909</v>
      </c>
      <c r="P18" s="28"/>
    </row>
    <row r="19" spans="1:16" ht="15.75" customHeight="1" x14ac:dyDescent="0.35">
      <c r="A19" s="26">
        <v>45125</v>
      </c>
      <c r="B19" s="9">
        <v>1107.06</v>
      </c>
      <c r="C19" s="9">
        <v>575.55999999999995</v>
      </c>
      <c r="D19" s="9">
        <v>71.099999999999994</v>
      </c>
      <c r="E19" s="9"/>
      <c r="F19" s="9"/>
      <c r="G19" s="9"/>
      <c r="H19" s="9">
        <v>52.8</v>
      </c>
      <c r="I19" s="9"/>
      <c r="J19" s="9"/>
      <c r="K19" s="9"/>
      <c r="L19" s="9">
        <v>405</v>
      </c>
      <c r="M19" s="31">
        <f t="shared" si="0"/>
        <v>1104.46</v>
      </c>
      <c r="N19" s="27">
        <f t="shared" si="1"/>
        <v>407.59999999999991</v>
      </c>
      <c r="O19" s="41">
        <f t="shared" si="2"/>
        <v>-2.5999999999999091</v>
      </c>
      <c r="P19" s="28"/>
    </row>
    <row r="20" spans="1:16" ht="15.75" customHeight="1" x14ac:dyDescent="0.35">
      <c r="A20" s="26">
        <v>45126</v>
      </c>
      <c r="B20" s="9">
        <v>756.72</v>
      </c>
      <c r="C20" s="9">
        <v>475.62</v>
      </c>
      <c r="D20" s="9">
        <v>47.7</v>
      </c>
      <c r="E20" s="9"/>
      <c r="F20" s="9"/>
      <c r="G20" s="9"/>
      <c r="H20" s="9">
        <v>18.899999999999999</v>
      </c>
      <c r="I20" s="9"/>
      <c r="J20" s="9"/>
      <c r="K20" s="9"/>
      <c r="L20" s="9">
        <v>215</v>
      </c>
      <c r="M20" s="31">
        <f t="shared" si="0"/>
        <v>757.22</v>
      </c>
      <c r="N20" s="27">
        <f t="shared" si="1"/>
        <v>214.5</v>
      </c>
      <c r="O20" s="41">
        <f t="shared" si="2"/>
        <v>0.5</v>
      </c>
      <c r="P20" s="28"/>
    </row>
    <row r="21" spans="1:16" ht="15.75" customHeight="1" x14ac:dyDescent="0.35">
      <c r="A21" s="26">
        <v>45127</v>
      </c>
      <c r="B21" s="9">
        <v>928.52</v>
      </c>
      <c r="C21" s="9">
        <v>605.02</v>
      </c>
      <c r="D21" s="9">
        <v>53.7</v>
      </c>
      <c r="E21" s="9"/>
      <c r="F21" s="9"/>
      <c r="G21" s="9"/>
      <c r="H21" s="9">
        <v>18.899999999999999</v>
      </c>
      <c r="I21" s="9"/>
      <c r="J21" s="9"/>
      <c r="K21" s="9"/>
      <c r="L21" s="9">
        <v>250</v>
      </c>
      <c r="M21" s="31">
        <f t="shared" si="0"/>
        <v>927.62</v>
      </c>
      <c r="N21" s="27">
        <f t="shared" si="1"/>
        <v>250.89999999999998</v>
      </c>
      <c r="O21" s="41">
        <f t="shared" si="2"/>
        <v>-0.89999999999997726</v>
      </c>
      <c r="P21" s="28"/>
    </row>
    <row r="22" spans="1:16" ht="15.75" customHeight="1" x14ac:dyDescent="0.35">
      <c r="A22" s="26">
        <v>45128</v>
      </c>
      <c r="B22" s="9">
        <v>1157.77</v>
      </c>
      <c r="C22" s="9">
        <v>755.64</v>
      </c>
      <c r="D22" s="9">
        <v>61.84</v>
      </c>
      <c r="E22" s="9"/>
      <c r="F22" s="9"/>
      <c r="G22" s="9"/>
      <c r="H22" s="9">
        <v>18.899999999999999</v>
      </c>
      <c r="I22" s="9"/>
      <c r="J22" s="9"/>
      <c r="K22" s="16">
        <v>38.79</v>
      </c>
      <c r="L22" s="9">
        <v>285</v>
      </c>
      <c r="M22" s="31">
        <f t="shared" si="0"/>
        <v>1160.17</v>
      </c>
      <c r="N22" s="27">
        <f t="shared" si="1"/>
        <v>282.59999999999991</v>
      </c>
      <c r="O22" s="41">
        <f t="shared" si="2"/>
        <v>2.4000000000000909</v>
      </c>
      <c r="P22" s="28"/>
    </row>
    <row r="23" spans="1:16" ht="15.75" customHeight="1" x14ac:dyDescent="0.35">
      <c r="A23" s="26">
        <v>45129</v>
      </c>
      <c r="B23" s="9">
        <v>2149.5100000000002</v>
      </c>
      <c r="C23" s="9">
        <v>1475.07</v>
      </c>
      <c r="D23" s="9">
        <v>340.8</v>
      </c>
      <c r="E23" s="9"/>
      <c r="F23" s="9"/>
      <c r="G23" s="9"/>
      <c r="H23" s="9">
        <v>18.899999999999999</v>
      </c>
      <c r="I23" s="9"/>
      <c r="J23" s="9"/>
      <c r="K23" s="9"/>
      <c r="L23" s="9">
        <v>310</v>
      </c>
      <c r="M23" s="31">
        <f t="shared" si="0"/>
        <v>2144.77</v>
      </c>
      <c r="N23" s="27">
        <f t="shared" si="1"/>
        <v>314.74000000000024</v>
      </c>
      <c r="O23" s="41">
        <f t="shared" si="2"/>
        <v>-4.7400000000002365</v>
      </c>
      <c r="P23" s="28"/>
    </row>
    <row r="24" spans="1:16" ht="15.75" customHeight="1" x14ac:dyDescent="0.35">
      <c r="A24" s="26">
        <v>45130</v>
      </c>
      <c r="B24" s="9">
        <v>1676.16</v>
      </c>
      <c r="C24" s="9">
        <v>1019.53</v>
      </c>
      <c r="D24" s="9">
        <v>115.73</v>
      </c>
      <c r="E24" s="9"/>
      <c r="F24" s="9"/>
      <c r="G24" s="9">
        <v>18.899999999999999</v>
      </c>
      <c r="H24" s="9"/>
      <c r="I24" s="9"/>
      <c r="J24" s="9"/>
      <c r="K24" s="9"/>
      <c r="L24" s="9">
        <v>520</v>
      </c>
      <c r="M24" s="31">
        <f t="shared" si="0"/>
        <v>1674.16</v>
      </c>
      <c r="N24" s="27">
        <f t="shared" si="1"/>
        <v>522</v>
      </c>
      <c r="O24" s="41">
        <f t="shared" si="2"/>
        <v>-2</v>
      </c>
      <c r="P24" s="28"/>
    </row>
    <row r="25" spans="1:16" ht="15.75" customHeight="1" x14ac:dyDescent="0.35">
      <c r="A25" s="26">
        <v>45131</v>
      </c>
      <c r="B25" s="9">
        <v>984.24</v>
      </c>
      <c r="C25" s="9">
        <v>551.84</v>
      </c>
      <c r="D25" s="9">
        <v>44.7</v>
      </c>
      <c r="E25" s="9"/>
      <c r="F25" s="9"/>
      <c r="G25" s="9"/>
      <c r="H25" s="9"/>
      <c r="I25" s="9"/>
      <c r="J25" s="9"/>
      <c r="K25" s="9"/>
      <c r="L25" s="9">
        <v>390</v>
      </c>
      <c r="M25" s="31">
        <f t="shared" si="0"/>
        <v>986.54000000000008</v>
      </c>
      <c r="N25" s="27">
        <f t="shared" si="1"/>
        <v>387.69999999999993</v>
      </c>
      <c r="O25" s="41">
        <f t="shared" si="2"/>
        <v>2.3000000000000682</v>
      </c>
      <c r="P25" s="28"/>
    </row>
    <row r="26" spans="1:16" ht="15.75" customHeight="1" x14ac:dyDescent="0.35">
      <c r="A26" s="26">
        <v>45132</v>
      </c>
      <c r="B26" s="9">
        <v>1675.21</v>
      </c>
      <c r="C26" s="9">
        <v>438.49</v>
      </c>
      <c r="D26" s="9">
        <v>86.8</v>
      </c>
      <c r="E26" s="9"/>
      <c r="F26" s="9"/>
      <c r="G26" s="9"/>
      <c r="H26" s="9">
        <v>19.899999999999999</v>
      </c>
      <c r="I26" s="9"/>
      <c r="J26" s="9"/>
      <c r="K26" s="16">
        <f>795+85.3</f>
        <v>880.3</v>
      </c>
      <c r="L26" s="9">
        <v>250</v>
      </c>
      <c r="M26" s="31">
        <f t="shared" si="0"/>
        <v>1675.4899999999998</v>
      </c>
      <c r="N26" s="27">
        <f t="shared" si="1"/>
        <v>249.72000000000025</v>
      </c>
      <c r="O26" s="41">
        <f t="shared" si="2"/>
        <v>0.27999999999974534</v>
      </c>
      <c r="P26" s="28"/>
    </row>
    <row r="27" spans="1:16" ht="15.75" customHeight="1" x14ac:dyDescent="0.35">
      <c r="A27" s="26">
        <v>45133</v>
      </c>
      <c r="B27" s="9">
        <v>1129.04</v>
      </c>
      <c r="C27" s="9">
        <v>674.54</v>
      </c>
      <c r="D27" s="9">
        <v>44.9</v>
      </c>
      <c r="E27" s="9"/>
      <c r="F27" s="9"/>
      <c r="G27" s="9"/>
      <c r="H27" s="9"/>
      <c r="I27" s="9"/>
      <c r="J27" s="9"/>
      <c r="K27" s="9"/>
      <c r="L27" s="9">
        <v>365</v>
      </c>
      <c r="M27" s="31">
        <f t="shared" si="0"/>
        <v>1084.44</v>
      </c>
      <c r="N27" s="27">
        <f t="shared" si="1"/>
        <v>409.59999999999991</v>
      </c>
      <c r="O27" s="41">
        <f t="shared" si="2"/>
        <v>-44.599999999999909</v>
      </c>
      <c r="P27" s="28"/>
    </row>
    <row r="28" spans="1:16" ht="15.75" customHeight="1" x14ac:dyDescent="0.35">
      <c r="A28" s="26">
        <v>45134</v>
      </c>
      <c r="B28" s="9">
        <v>1147.1500000000001</v>
      </c>
      <c r="C28" s="9">
        <v>741.8</v>
      </c>
      <c r="D28" s="9">
        <v>51.4</v>
      </c>
      <c r="E28" s="9"/>
      <c r="F28" s="9"/>
      <c r="G28" s="9"/>
      <c r="H28" s="9">
        <v>32.9</v>
      </c>
      <c r="I28" s="9"/>
      <c r="J28" s="9"/>
      <c r="K28" s="16">
        <v>144.85</v>
      </c>
      <c r="L28" s="9">
        <v>225</v>
      </c>
      <c r="M28" s="31">
        <f t="shared" si="0"/>
        <v>1195.9499999999998</v>
      </c>
      <c r="N28" s="27">
        <f t="shared" si="1"/>
        <v>176.20000000000027</v>
      </c>
      <c r="O28" s="41">
        <f t="shared" si="2"/>
        <v>48.799999999999727</v>
      </c>
      <c r="P28" s="28"/>
    </row>
    <row r="29" spans="1:16" ht="15.75" customHeight="1" x14ac:dyDescent="0.35">
      <c r="A29" s="26">
        <v>45135</v>
      </c>
      <c r="B29" s="9">
        <v>1552.06</v>
      </c>
      <c r="C29" s="9">
        <v>977.31</v>
      </c>
      <c r="D29" s="9">
        <v>101</v>
      </c>
      <c r="E29" s="9"/>
      <c r="F29" s="9"/>
      <c r="G29" s="9"/>
      <c r="H29" s="9">
        <v>18.899999999999999</v>
      </c>
      <c r="I29" s="9"/>
      <c r="J29" s="9"/>
      <c r="K29" s="16">
        <f>210.33</f>
        <v>210.33</v>
      </c>
      <c r="L29" s="9">
        <v>245</v>
      </c>
      <c r="M29" s="31">
        <f t="shared" si="0"/>
        <v>1552.54</v>
      </c>
      <c r="N29" s="27">
        <f t="shared" si="1"/>
        <v>244.51999999999998</v>
      </c>
      <c r="O29" s="41">
        <f t="shared" si="2"/>
        <v>0.48000000000001819</v>
      </c>
      <c r="P29" s="28"/>
    </row>
    <row r="30" spans="1:16" ht="15.75" customHeight="1" x14ac:dyDescent="0.35">
      <c r="A30" s="26">
        <v>45136</v>
      </c>
      <c r="B30" s="9">
        <v>2039.82</v>
      </c>
      <c r="C30" s="9">
        <v>1154.1199999999999</v>
      </c>
      <c r="D30" s="9">
        <v>124.9</v>
      </c>
      <c r="E30" s="9"/>
      <c r="F30" s="9"/>
      <c r="G30" s="9"/>
      <c r="H30" s="9">
        <v>146.5</v>
      </c>
      <c r="I30" s="9"/>
      <c r="J30" s="9"/>
      <c r="K30" s="9"/>
      <c r="L30" s="9">
        <v>615</v>
      </c>
      <c r="M30" s="31">
        <f t="shared" si="0"/>
        <v>2040.52</v>
      </c>
      <c r="N30" s="27">
        <f t="shared" si="1"/>
        <v>614.29999999999995</v>
      </c>
      <c r="O30" s="41">
        <f t="shared" si="2"/>
        <v>0.70000000000004547</v>
      </c>
      <c r="P30" s="28"/>
    </row>
    <row r="31" spans="1:16" ht="15.75" customHeight="1" x14ac:dyDescent="0.35">
      <c r="A31" s="26">
        <v>45137</v>
      </c>
      <c r="B31" s="9">
        <v>1719.18</v>
      </c>
      <c r="C31" s="9">
        <v>1090.0999999999999</v>
      </c>
      <c r="D31" s="9">
        <v>113.28</v>
      </c>
      <c r="E31" s="9"/>
      <c r="F31" s="9"/>
      <c r="G31" s="9"/>
      <c r="H31" s="9"/>
      <c r="I31" s="9"/>
      <c r="J31" s="9"/>
      <c r="K31" s="9"/>
      <c r="L31" s="9">
        <v>515</v>
      </c>
      <c r="M31" s="31">
        <f t="shared" si="0"/>
        <v>1718.3799999999999</v>
      </c>
      <c r="N31" s="27">
        <f t="shared" si="1"/>
        <v>515.80000000000018</v>
      </c>
      <c r="O31" s="41">
        <f t="shared" si="2"/>
        <v>-0.8000000000001819</v>
      </c>
      <c r="P31" s="28"/>
    </row>
    <row r="32" spans="1:16" ht="15.75" customHeight="1" x14ac:dyDescent="0.35">
      <c r="A32" s="26">
        <v>45138</v>
      </c>
      <c r="B32" s="44">
        <v>1037.4000000000001</v>
      </c>
      <c r="C32" s="44">
        <v>694</v>
      </c>
      <c r="D32" s="44">
        <v>105.6</v>
      </c>
      <c r="E32" s="9"/>
      <c r="F32" s="9"/>
      <c r="G32" s="9"/>
      <c r="H32" s="44">
        <v>32.9</v>
      </c>
      <c r="I32" s="9"/>
      <c r="J32" s="9"/>
      <c r="K32" s="55"/>
      <c r="L32" s="44">
        <v>210</v>
      </c>
      <c r="M32" s="31">
        <f t="shared" si="0"/>
        <v>1042.5</v>
      </c>
      <c r="N32" s="27">
        <f t="shared" si="1"/>
        <v>204.90000000000009</v>
      </c>
      <c r="O32" s="41">
        <f t="shared" si="2"/>
        <v>5.0999999999999091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41047.069999999992</v>
      </c>
      <c r="N33" s="72">
        <f>M33-O33</f>
        <v>41039.839999999989</v>
      </c>
      <c r="O33" s="49">
        <f>SUM(O2:O32)</f>
        <v>7.2299999999996771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000"/>
  <sheetViews>
    <sheetView workbookViewId="0">
      <pane ySplit="1" topLeftCell="A32" activePane="bottomLeft" state="frozen"/>
      <selection pane="bottomLeft" activeCell="B12" sqref="B12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44835</v>
      </c>
      <c r="B2" s="30">
        <v>1522.94</v>
      </c>
      <c r="C2" s="30">
        <v>910.14</v>
      </c>
      <c r="D2" s="30">
        <v>104</v>
      </c>
      <c r="E2" s="30"/>
      <c r="F2" s="30"/>
      <c r="G2" s="30"/>
      <c r="H2" s="30"/>
      <c r="I2" s="30"/>
      <c r="J2" s="30">
        <v>28.9</v>
      </c>
      <c r="K2" s="30"/>
      <c r="L2" s="30">
        <v>480</v>
      </c>
      <c r="M2" s="31">
        <f t="shared" ref="M2:M3" si="0">C2+D2+E2+F2+G2+H2+I2+J2+L2</f>
        <v>1523.04</v>
      </c>
      <c r="N2" s="27">
        <f t="shared" ref="N2:N10" si="1">L2-O2</f>
        <v>479.90000000000009</v>
      </c>
      <c r="O2" s="32">
        <f t="shared" ref="O2:O10" si="2">M2-B2-F2</f>
        <v>9.9999999999909051E-2</v>
      </c>
      <c r="P2" s="33">
        <v>75.05</v>
      </c>
    </row>
    <row r="3" spans="1:18" ht="15.75" customHeight="1" x14ac:dyDescent="0.35">
      <c r="A3" s="26">
        <v>44836</v>
      </c>
      <c r="B3" s="9">
        <v>1501.28</v>
      </c>
      <c r="C3" s="9">
        <v>1084.68</v>
      </c>
      <c r="D3" s="9">
        <v>100.95</v>
      </c>
      <c r="E3" s="9"/>
      <c r="F3" s="9"/>
      <c r="G3" s="9"/>
      <c r="H3" s="9"/>
      <c r="I3" s="9"/>
      <c r="J3" s="9"/>
      <c r="K3" s="9"/>
      <c r="L3" s="9">
        <v>320</v>
      </c>
      <c r="M3" s="27">
        <f t="shared" si="0"/>
        <v>1505.63</v>
      </c>
      <c r="N3" s="27">
        <f t="shared" si="1"/>
        <v>315.64999999999986</v>
      </c>
      <c r="O3" s="70">
        <f t="shared" si="2"/>
        <v>4.3500000000001364</v>
      </c>
      <c r="P3" s="28">
        <v>74.25</v>
      </c>
      <c r="Q3" s="56"/>
    </row>
    <row r="4" spans="1:18" ht="15.75" customHeight="1" x14ac:dyDescent="0.35">
      <c r="A4" s="26">
        <v>44837</v>
      </c>
      <c r="B4" s="9">
        <v>0</v>
      </c>
      <c r="C4" s="9">
        <v>0</v>
      </c>
      <c r="D4" s="9">
        <v>0</v>
      </c>
      <c r="E4" s="9"/>
      <c r="F4" s="9"/>
      <c r="G4" s="9"/>
      <c r="H4" s="9"/>
      <c r="I4" s="9"/>
      <c r="J4" s="9"/>
      <c r="K4" s="9"/>
      <c r="L4" s="9">
        <v>0</v>
      </c>
      <c r="M4" s="27">
        <f t="shared" ref="M4:M10" si="3">C4+D4+E4+F4+G4+H4+I4+J4+L4+K4</f>
        <v>0</v>
      </c>
      <c r="N4" s="27">
        <f t="shared" si="1"/>
        <v>0</v>
      </c>
      <c r="O4" s="41">
        <f t="shared" si="2"/>
        <v>0</v>
      </c>
      <c r="P4" s="28"/>
    </row>
    <row r="5" spans="1:18" ht="15.75" customHeight="1" x14ac:dyDescent="0.35">
      <c r="A5" s="26">
        <v>44838</v>
      </c>
      <c r="B5" s="9">
        <v>539.47</v>
      </c>
      <c r="C5" s="9">
        <v>251.22</v>
      </c>
      <c r="D5" s="9">
        <v>42.2</v>
      </c>
      <c r="E5" s="9"/>
      <c r="F5" s="9"/>
      <c r="G5" s="9"/>
      <c r="H5" s="9"/>
      <c r="I5" s="9"/>
      <c r="J5" s="9"/>
      <c r="K5" s="9"/>
      <c r="L5" s="9">
        <v>245</v>
      </c>
      <c r="M5" s="27">
        <f t="shared" si="3"/>
        <v>538.42000000000007</v>
      </c>
      <c r="N5" s="27">
        <f t="shared" si="1"/>
        <v>246.04999999999995</v>
      </c>
      <c r="O5" s="41">
        <f t="shared" si="2"/>
        <v>-1.0499999999999545</v>
      </c>
      <c r="P5" s="28">
        <v>75.25</v>
      </c>
    </row>
    <row r="6" spans="1:18" ht="15.75" customHeight="1" x14ac:dyDescent="0.35">
      <c r="A6" s="26">
        <v>44839</v>
      </c>
      <c r="B6" s="9">
        <v>1503.24</v>
      </c>
      <c r="C6" s="9">
        <v>738.95</v>
      </c>
      <c r="D6" s="9">
        <v>99.15</v>
      </c>
      <c r="E6" s="9"/>
      <c r="F6" s="9"/>
      <c r="G6" s="9"/>
      <c r="H6" s="9">
        <v>56.7</v>
      </c>
      <c r="I6" s="9"/>
      <c r="J6" s="9"/>
      <c r="K6" s="9"/>
      <c r="L6" s="9">
        <v>610</v>
      </c>
      <c r="M6" s="27">
        <f t="shared" si="3"/>
        <v>1504.8000000000002</v>
      </c>
      <c r="N6" s="27">
        <f t="shared" si="1"/>
        <v>608.43999999999983</v>
      </c>
      <c r="O6" s="41">
        <f t="shared" si="2"/>
        <v>1.5600000000001728</v>
      </c>
      <c r="P6" s="28">
        <v>75.7</v>
      </c>
    </row>
    <row r="7" spans="1:18" ht="15.75" customHeight="1" x14ac:dyDescent="0.35">
      <c r="A7" s="26">
        <v>44840</v>
      </c>
      <c r="B7" s="9">
        <v>412.7</v>
      </c>
      <c r="C7" s="9">
        <v>301.5</v>
      </c>
      <c r="D7" s="9">
        <v>17.100000000000001</v>
      </c>
      <c r="E7" s="9"/>
      <c r="F7" s="9"/>
      <c r="G7" s="9"/>
      <c r="H7" s="9"/>
      <c r="I7" s="9"/>
      <c r="J7" s="9"/>
      <c r="K7" s="9"/>
      <c r="L7" s="9">
        <v>95</v>
      </c>
      <c r="M7" s="27">
        <f t="shared" si="3"/>
        <v>413.6</v>
      </c>
      <c r="N7" s="27">
        <f t="shared" si="1"/>
        <v>94.099999999999966</v>
      </c>
      <c r="O7" s="41">
        <f t="shared" si="2"/>
        <v>0.90000000000003411</v>
      </c>
      <c r="P7" s="28">
        <v>73</v>
      </c>
    </row>
    <row r="8" spans="1:18" ht="15.75" customHeight="1" x14ac:dyDescent="0.35">
      <c r="A8" s="26">
        <v>44841</v>
      </c>
      <c r="B8" s="9">
        <v>538.58000000000004</v>
      </c>
      <c r="C8" s="9">
        <v>285.60000000000002</v>
      </c>
      <c r="D8" s="9">
        <v>56.2</v>
      </c>
      <c r="E8" s="9"/>
      <c r="F8" s="9"/>
      <c r="G8" s="9"/>
      <c r="H8" s="9">
        <v>46.8</v>
      </c>
      <c r="I8" s="9"/>
      <c r="J8" s="9"/>
      <c r="K8" s="9"/>
      <c r="L8" s="9">
        <v>150</v>
      </c>
      <c r="M8" s="27">
        <f t="shared" si="3"/>
        <v>538.6</v>
      </c>
      <c r="N8" s="27">
        <f t="shared" si="1"/>
        <v>149.98000000000002</v>
      </c>
      <c r="O8" s="41">
        <f t="shared" si="2"/>
        <v>1.999999999998181E-2</v>
      </c>
      <c r="P8" s="28">
        <v>72.900000000000006</v>
      </c>
    </row>
    <row r="9" spans="1:18" ht="15.75" customHeight="1" x14ac:dyDescent="0.35">
      <c r="A9" s="26">
        <v>44842</v>
      </c>
      <c r="B9" s="9">
        <v>938.44</v>
      </c>
      <c r="C9" s="9">
        <v>600.38</v>
      </c>
      <c r="D9" s="9">
        <v>93</v>
      </c>
      <c r="E9" s="9"/>
      <c r="F9" s="9"/>
      <c r="G9" s="9"/>
      <c r="H9" s="9"/>
      <c r="I9" s="9"/>
      <c r="J9" s="9"/>
      <c r="K9" s="9"/>
      <c r="L9" s="9">
        <v>245</v>
      </c>
      <c r="M9" s="27">
        <f t="shared" si="3"/>
        <v>938.38</v>
      </c>
      <c r="N9" s="27">
        <f t="shared" si="1"/>
        <v>245.06000000000006</v>
      </c>
      <c r="O9" s="41">
        <f t="shared" si="2"/>
        <v>-6.0000000000059117E-2</v>
      </c>
      <c r="P9" s="28">
        <v>72.75</v>
      </c>
    </row>
    <row r="10" spans="1:18" ht="15.75" customHeight="1" x14ac:dyDescent="0.35">
      <c r="A10" s="26">
        <v>44843</v>
      </c>
      <c r="B10" s="9">
        <v>621.75</v>
      </c>
      <c r="C10" s="9">
        <v>390.65</v>
      </c>
      <c r="D10" s="9">
        <v>37.5</v>
      </c>
      <c r="E10" s="9"/>
      <c r="F10" s="9"/>
      <c r="G10" s="9"/>
      <c r="H10" s="9"/>
      <c r="I10" s="9"/>
      <c r="J10" s="9"/>
      <c r="K10" s="9"/>
      <c r="L10" s="9">
        <v>193.38</v>
      </c>
      <c r="M10" s="27">
        <f t="shared" si="3"/>
        <v>621.53</v>
      </c>
      <c r="N10" s="27">
        <f t="shared" si="1"/>
        <v>193.60000000000002</v>
      </c>
      <c r="O10" s="41">
        <f t="shared" si="2"/>
        <v>-0.22000000000002728</v>
      </c>
      <c r="P10" s="28">
        <v>71.13</v>
      </c>
    </row>
    <row r="11" spans="1:18" ht="15.75" customHeight="1" x14ac:dyDescent="0.35">
      <c r="A11" s="26">
        <v>44844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</row>
    <row r="12" spans="1:18" ht="15.75" customHeight="1" x14ac:dyDescent="0.35">
      <c r="A12" s="26">
        <v>44845</v>
      </c>
      <c r="B12" s="9">
        <v>410.77</v>
      </c>
      <c r="C12" s="9">
        <v>214.63</v>
      </c>
      <c r="D12" s="9">
        <v>44.6</v>
      </c>
      <c r="E12" s="9"/>
      <c r="F12" s="9"/>
      <c r="G12" s="9"/>
      <c r="H12" s="9">
        <v>18.899999999999999</v>
      </c>
      <c r="I12" s="9"/>
      <c r="J12" s="9"/>
      <c r="K12" s="9"/>
      <c r="L12" s="9">
        <v>130</v>
      </c>
      <c r="M12" s="27">
        <f t="shared" ref="M12:M24" si="4">C12+D12+E12+F12+G12+H12+I12+J12+L12+K12</f>
        <v>408.13</v>
      </c>
      <c r="N12" s="27">
        <f t="shared" ref="N12:N17" si="5">L12-O12</f>
        <v>132.63999999999999</v>
      </c>
      <c r="O12" s="41">
        <f t="shared" ref="O12:O31" si="6">M12-B12-F12</f>
        <v>-2.6399999999999864</v>
      </c>
      <c r="P12" s="28">
        <v>71.78</v>
      </c>
      <c r="Q12" s="56"/>
    </row>
    <row r="13" spans="1:18" ht="15.75" customHeight="1" x14ac:dyDescent="0.35">
      <c r="A13" s="26">
        <v>44846</v>
      </c>
      <c r="B13" s="9">
        <v>600.34</v>
      </c>
      <c r="C13" s="9">
        <v>211.84</v>
      </c>
      <c r="D13" s="9">
        <v>55.4</v>
      </c>
      <c r="E13" s="9"/>
      <c r="F13" s="9"/>
      <c r="G13" s="9"/>
      <c r="H13" s="9">
        <v>18.899999999999999</v>
      </c>
      <c r="I13" s="9"/>
      <c r="J13" s="9"/>
      <c r="K13" s="16">
        <v>201.6</v>
      </c>
      <c r="L13" s="9">
        <v>115</v>
      </c>
      <c r="M13" s="27">
        <f t="shared" si="4"/>
        <v>602.74</v>
      </c>
      <c r="N13" s="27">
        <f t="shared" si="5"/>
        <v>112.60000000000002</v>
      </c>
      <c r="O13" s="41">
        <f t="shared" si="6"/>
        <v>2.3999999999999773</v>
      </c>
      <c r="P13" s="28">
        <v>72.98</v>
      </c>
    </row>
    <row r="14" spans="1:18" ht="15.75" customHeight="1" x14ac:dyDescent="0.35">
      <c r="A14" s="26">
        <v>44847</v>
      </c>
      <c r="B14" s="9">
        <v>302.76</v>
      </c>
      <c r="C14" s="9">
        <v>154.5</v>
      </c>
      <c r="D14" s="9">
        <v>34.9</v>
      </c>
      <c r="E14" s="9"/>
      <c r="F14" s="9"/>
      <c r="G14" s="9"/>
      <c r="H14" s="9"/>
      <c r="I14" s="9"/>
      <c r="J14" s="9"/>
      <c r="K14" s="9"/>
      <c r="L14" s="9">
        <v>115</v>
      </c>
      <c r="M14" s="27">
        <f t="shared" si="4"/>
        <v>304.39999999999998</v>
      </c>
      <c r="N14" s="27">
        <f t="shared" si="5"/>
        <v>113.36000000000001</v>
      </c>
      <c r="O14" s="41">
        <f t="shared" si="6"/>
        <v>1.6399999999999864</v>
      </c>
      <c r="P14" s="28">
        <v>71.78</v>
      </c>
    </row>
    <row r="15" spans="1:18" ht="15.75" customHeight="1" x14ac:dyDescent="0.35">
      <c r="A15" s="26">
        <v>44848</v>
      </c>
      <c r="B15" s="9">
        <v>465.58</v>
      </c>
      <c r="C15" s="9">
        <v>332.14</v>
      </c>
      <c r="D15" s="9">
        <v>30.5</v>
      </c>
      <c r="E15" s="9"/>
      <c r="F15" s="9"/>
      <c r="G15" s="9"/>
      <c r="H15" s="9"/>
      <c r="I15" s="9"/>
      <c r="J15" s="9"/>
      <c r="K15" s="9"/>
      <c r="L15" s="9">
        <v>125</v>
      </c>
      <c r="M15" s="27">
        <f t="shared" si="4"/>
        <v>487.64</v>
      </c>
      <c r="N15" s="27">
        <f t="shared" si="5"/>
        <v>102.94</v>
      </c>
      <c r="O15" s="41">
        <f t="shared" si="6"/>
        <v>22.060000000000002</v>
      </c>
      <c r="P15" s="28">
        <v>72.28</v>
      </c>
    </row>
    <row r="16" spans="1:18" ht="15.75" customHeight="1" x14ac:dyDescent="0.35">
      <c r="A16" s="26">
        <v>44849</v>
      </c>
      <c r="B16" s="9">
        <v>599.89</v>
      </c>
      <c r="C16" s="9">
        <v>336.15</v>
      </c>
      <c r="D16" s="9">
        <v>8.6</v>
      </c>
      <c r="E16" s="9"/>
      <c r="F16" s="9"/>
      <c r="G16" s="9"/>
      <c r="H16" s="9">
        <v>18.899999999999999</v>
      </c>
      <c r="I16" s="9"/>
      <c r="J16" s="9"/>
      <c r="K16" s="9"/>
      <c r="L16" s="9">
        <v>235</v>
      </c>
      <c r="M16" s="27">
        <f t="shared" si="4"/>
        <v>598.65</v>
      </c>
      <c r="N16" s="27">
        <f t="shared" si="5"/>
        <v>236.24</v>
      </c>
      <c r="O16" s="41">
        <f t="shared" si="6"/>
        <v>-1.2400000000000091</v>
      </c>
      <c r="P16" s="28">
        <v>71.27</v>
      </c>
    </row>
    <row r="17" spans="1:16" ht="15.75" customHeight="1" x14ac:dyDescent="0.35">
      <c r="A17" s="26">
        <v>44850</v>
      </c>
      <c r="B17" s="9">
        <v>854.07</v>
      </c>
      <c r="C17" s="9">
        <v>503.85</v>
      </c>
      <c r="D17" s="9">
        <v>108</v>
      </c>
      <c r="E17" s="9"/>
      <c r="F17" s="9"/>
      <c r="G17" s="9"/>
      <c r="H17" s="9">
        <v>36.9</v>
      </c>
      <c r="I17" s="9"/>
      <c r="J17" s="9"/>
      <c r="K17" s="9"/>
      <c r="L17" s="9">
        <v>205</v>
      </c>
      <c r="M17" s="27">
        <f t="shared" si="4"/>
        <v>853.75</v>
      </c>
      <c r="N17" s="27">
        <f t="shared" si="5"/>
        <v>205.32000000000005</v>
      </c>
      <c r="O17" s="41">
        <f t="shared" si="6"/>
        <v>-0.32000000000005002</v>
      </c>
      <c r="P17" s="28">
        <v>74.12</v>
      </c>
    </row>
    <row r="18" spans="1:16" ht="15.75" customHeight="1" x14ac:dyDescent="0.35">
      <c r="A18" s="26">
        <v>44851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27">
        <f t="shared" si="4"/>
        <v>0</v>
      </c>
      <c r="N18" s="27">
        <v>0</v>
      </c>
      <c r="O18" s="41">
        <f t="shared" si="6"/>
        <v>0</v>
      </c>
      <c r="P18" s="28"/>
    </row>
    <row r="19" spans="1:16" ht="15.75" customHeight="1" x14ac:dyDescent="0.35">
      <c r="A19" s="26">
        <v>44852</v>
      </c>
      <c r="B19" s="9">
        <v>249.61</v>
      </c>
      <c r="C19" s="9">
        <v>178.05</v>
      </c>
      <c r="D19" s="9">
        <v>28.76</v>
      </c>
      <c r="E19" s="9"/>
      <c r="F19" s="9"/>
      <c r="G19" s="9"/>
      <c r="H19" s="9"/>
      <c r="I19" s="9"/>
      <c r="J19" s="9"/>
      <c r="K19" s="9"/>
      <c r="L19" s="9">
        <v>40</v>
      </c>
      <c r="M19" s="27">
        <f t="shared" si="4"/>
        <v>246.81</v>
      </c>
      <c r="N19" s="27">
        <f t="shared" ref="N19:N24" si="7">L19-O19</f>
        <v>42.800000000000011</v>
      </c>
      <c r="O19" s="41">
        <f t="shared" si="6"/>
        <v>-2.8000000000000114</v>
      </c>
      <c r="P19" s="28"/>
    </row>
    <row r="20" spans="1:16" ht="15.75" customHeight="1" x14ac:dyDescent="0.35">
      <c r="A20" s="26">
        <v>44853</v>
      </c>
      <c r="B20" s="9">
        <v>229.95</v>
      </c>
      <c r="C20" s="9">
        <v>131.94999999999999</v>
      </c>
      <c r="D20" s="9">
        <v>9.6</v>
      </c>
      <c r="E20" s="9"/>
      <c r="F20" s="9"/>
      <c r="G20" s="9"/>
      <c r="H20" s="9"/>
      <c r="I20" s="9"/>
      <c r="J20" s="9"/>
      <c r="K20" s="58">
        <v>42</v>
      </c>
      <c r="L20" s="9">
        <v>50</v>
      </c>
      <c r="M20" s="27">
        <f t="shared" si="4"/>
        <v>233.54999999999998</v>
      </c>
      <c r="N20" s="27">
        <f t="shared" si="7"/>
        <v>46.400000000000006</v>
      </c>
      <c r="O20" s="41">
        <f t="shared" si="6"/>
        <v>3.5999999999999943</v>
      </c>
      <c r="P20" s="28">
        <v>73.489999999999995</v>
      </c>
    </row>
    <row r="21" spans="1:16" ht="15.75" customHeight="1" x14ac:dyDescent="0.35">
      <c r="A21" s="26">
        <v>44854</v>
      </c>
      <c r="B21" s="9">
        <v>138.06</v>
      </c>
      <c r="C21" s="9">
        <v>72.760000000000005</v>
      </c>
      <c r="D21" s="9">
        <v>0</v>
      </c>
      <c r="E21" s="9"/>
      <c r="F21" s="9"/>
      <c r="G21" s="9"/>
      <c r="H21" s="9"/>
      <c r="I21" s="9"/>
      <c r="J21" s="9"/>
      <c r="K21" s="9"/>
      <c r="L21" s="9">
        <v>65</v>
      </c>
      <c r="M21" s="27">
        <f t="shared" si="4"/>
        <v>137.76</v>
      </c>
      <c r="N21" s="27">
        <f t="shared" si="7"/>
        <v>65.300000000000011</v>
      </c>
      <c r="O21" s="41">
        <f t="shared" si="6"/>
        <v>-0.30000000000001137</v>
      </c>
      <c r="P21" s="28">
        <v>74.59</v>
      </c>
    </row>
    <row r="22" spans="1:16" ht="15.75" customHeight="1" x14ac:dyDescent="0.35">
      <c r="A22" s="26">
        <v>44855</v>
      </c>
      <c r="B22" s="9">
        <v>369.86</v>
      </c>
      <c r="C22" s="9">
        <v>209</v>
      </c>
      <c r="D22" s="9">
        <v>7.3</v>
      </c>
      <c r="E22" s="9"/>
      <c r="F22" s="9"/>
      <c r="G22" s="9"/>
      <c r="H22" s="9">
        <v>37.799999999999997</v>
      </c>
      <c r="I22" s="9"/>
      <c r="J22" s="9"/>
      <c r="K22" s="9"/>
      <c r="L22" s="9">
        <v>115</v>
      </c>
      <c r="M22" s="27">
        <f t="shared" si="4"/>
        <v>369.1</v>
      </c>
      <c r="N22" s="27">
        <f t="shared" si="7"/>
        <v>115.75999999999999</v>
      </c>
      <c r="O22" s="41">
        <f t="shared" si="6"/>
        <v>-0.75999999999999091</v>
      </c>
      <c r="P22" s="28">
        <v>75.19</v>
      </c>
    </row>
    <row r="23" spans="1:16" ht="15.75" customHeight="1" x14ac:dyDescent="0.35">
      <c r="A23" s="26">
        <v>44856</v>
      </c>
      <c r="B23" s="9">
        <v>314.13</v>
      </c>
      <c r="C23" s="9">
        <v>237.13</v>
      </c>
      <c r="D23" s="9">
        <v>7.6</v>
      </c>
      <c r="E23" s="9"/>
      <c r="F23" s="9"/>
      <c r="G23" s="9"/>
      <c r="H23" s="9"/>
      <c r="I23" s="9"/>
      <c r="J23" s="9"/>
      <c r="K23" s="9"/>
      <c r="L23" s="9">
        <v>70</v>
      </c>
      <c r="M23" s="27">
        <f t="shared" si="4"/>
        <v>314.73</v>
      </c>
      <c r="N23" s="27">
        <f t="shared" si="7"/>
        <v>69.399999999999977</v>
      </c>
      <c r="O23" s="41">
        <f t="shared" si="6"/>
        <v>0.60000000000002274</v>
      </c>
      <c r="P23" s="28">
        <v>73.56</v>
      </c>
    </row>
    <row r="24" spans="1:16" ht="15.75" customHeight="1" x14ac:dyDescent="0.35">
      <c r="A24" s="26">
        <v>44857</v>
      </c>
      <c r="B24" s="9">
        <v>429.2</v>
      </c>
      <c r="C24" s="9">
        <v>206.1</v>
      </c>
      <c r="D24" s="9">
        <v>17.899999999999999</v>
      </c>
      <c r="E24" s="9"/>
      <c r="F24" s="9"/>
      <c r="G24" s="9"/>
      <c r="H24" s="9">
        <v>37.799999999999997</v>
      </c>
      <c r="I24" s="9"/>
      <c r="J24" s="9"/>
      <c r="K24" s="9"/>
      <c r="L24" s="9">
        <v>170</v>
      </c>
      <c r="M24" s="27">
        <f t="shared" si="4"/>
        <v>431.8</v>
      </c>
      <c r="N24" s="27">
        <f t="shared" si="7"/>
        <v>167.39999999999998</v>
      </c>
      <c r="O24" s="41">
        <f t="shared" si="6"/>
        <v>2.6000000000000227</v>
      </c>
      <c r="P24" s="28">
        <v>70.92</v>
      </c>
    </row>
    <row r="25" spans="1:16" ht="15.75" customHeight="1" x14ac:dyDescent="0.35">
      <c r="A25" s="26">
        <v>44858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27">
        <v>0</v>
      </c>
      <c r="N25" s="27">
        <v>0</v>
      </c>
      <c r="O25" s="41">
        <f t="shared" si="6"/>
        <v>0</v>
      </c>
      <c r="P25" s="28"/>
    </row>
    <row r="26" spans="1:16" ht="15.75" customHeight="1" x14ac:dyDescent="0.35">
      <c r="A26" s="26">
        <v>44859</v>
      </c>
      <c r="B26" s="9">
        <v>249.4</v>
      </c>
      <c r="C26" s="9">
        <v>169.1</v>
      </c>
      <c r="D26" s="9">
        <v>10</v>
      </c>
      <c r="E26" s="9"/>
      <c r="F26" s="9"/>
      <c r="G26" s="9"/>
      <c r="H26" s="9"/>
      <c r="I26" s="9"/>
      <c r="J26" s="9"/>
      <c r="K26" s="9"/>
      <c r="L26" s="9">
        <v>70</v>
      </c>
      <c r="M26" s="27">
        <f t="shared" ref="M26:M33" si="8">C26+D26+E26+F26+G26+H26+I26+J26+L26+K26</f>
        <v>249.1</v>
      </c>
      <c r="N26" s="27">
        <f t="shared" ref="N26:N31" si="9">L26-O26</f>
        <v>70.300000000000011</v>
      </c>
      <c r="O26" s="41">
        <f t="shared" si="6"/>
        <v>-0.30000000000001137</v>
      </c>
      <c r="P26" s="28"/>
    </row>
    <row r="27" spans="1:16" ht="15.75" customHeight="1" x14ac:dyDescent="0.35">
      <c r="A27" s="26">
        <v>44860</v>
      </c>
      <c r="B27" s="9">
        <v>205.48</v>
      </c>
      <c r="C27" s="9">
        <v>115.6</v>
      </c>
      <c r="D27" s="9">
        <v>32.5</v>
      </c>
      <c r="E27" s="9"/>
      <c r="F27" s="9"/>
      <c r="G27" s="9"/>
      <c r="H27" s="9"/>
      <c r="I27" s="9"/>
      <c r="J27" s="9"/>
      <c r="K27" s="9"/>
      <c r="L27" s="9">
        <v>55</v>
      </c>
      <c r="M27" s="27">
        <f t="shared" si="8"/>
        <v>203.1</v>
      </c>
      <c r="N27" s="27">
        <f t="shared" si="9"/>
        <v>57.379999999999995</v>
      </c>
      <c r="O27" s="41">
        <f t="shared" si="6"/>
        <v>-2.3799999999999955</v>
      </c>
      <c r="P27" s="28">
        <v>73.599999999999994</v>
      </c>
    </row>
    <row r="28" spans="1:16" ht="15.75" customHeight="1" x14ac:dyDescent="0.35">
      <c r="A28" s="26">
        <v>44861</v>
      </c>
      <c r="B28" s="9">
        <v>142.52000000000001</v>
      </c>
      <c r="C28" s="9">
        <v>98.04</v>
      </c>
      <c r="D28" s="9">
        <v>3.2</v>
      </c>
      <c r="E28" s="9"/>
      <c r="F28" s="9"/>
      <c r="G28" s="9"/>
      <c r="H28" s="9"/>
      <c r="I28" s="9"/>
      <c r="J28" s="9"/>
      <c r="K28" s="9"/>
      <c r="L28" s="9">
        <v>40</v>
      </c>
      <c r="M28" s="27">
        <f t="shared" si="8"/>
        <v>141.24</v>
      </c>
      <c r="N28" s="27">
        <f t="shared" si="9"/>
        <v>41.28</v>
      </c>
      <c r="O28" s="41">
        <f t="shared" si="6"/>
        <v>-1.2800000000000011</v>
      </c>
      <c r="P28" s="28">
        <v>74.900000000000006</v>
      </c>
    </row>
    <row r="29" spans="1:16" ht="15.75" customHeight="1" x14ac:dyDescent="0.35">
      <c r="A29" s="26">
        <v>44862</v>
      </c>
      <c r="B29" s="9">
        <v>176.8</v>
      </c>
      <c r="C29" s="9">
        <v>83.84</v>
      </c>
      <c r="D29" s="9">
        <v>14.86</v>
      </c>
      <c r="E29" s="9"/>
      <c r="F29" s="9"/>
      <c r="G29" s="9"/>
      <c r="H29" s="9"/>
      <c r="I29" s="9"/>
      <c r="J29" s="9"/>
      <c r="K29" s="9"/>
      <c r="L29" s="9">
        <v>80</v>
      </c>
      <c r="M29" s="27">
        <f t="shared" si="8"/>
        <v>178.7</v>
      </c>
      <c r="N29" s="27">
        <f t="shared" si="9"/>
        <v>78.100000000000023</v>
      </c>
      <c r="O29" s="41">
        <f t="shared" si="6"/>
        <v>1.8999999999999773</v>
      </c>
      <c r="P29" s="28"/>
    </row>
    <row r="30" spans="1:16" ht="15.75" customHeight="1" x14ac:dyDescent="0.35">
      <c r="A30" s="26">
        <v>44863</v>
      </c>
      <c r="B30" s="9">
        <v>593.05999999999995</v>
      </c>
      <c r="C30" s="9">
        <v>355.46</v>
      </c>
      <c r="D30" s="9">
        <v>76.3</v>
      </c>
      <c r="E30" s="9"/>
      <c r="F30" s="9"/>
      <c r="G30" s="9"/>
      <c r="H30" s="9">
        <v>37.799999999999997</v>
      </c>
      <c r="I30" s="9"/>
      <c r="J30" s="9"/>
      <c r="K30" s="9"/>
      <c r="L30" s="9">
        <v>130</v>
      </c>
      <c r="M30" s="27">
        <f t="shared" si="8"/>
        <v>599.55999999999995</v>
      </c>
      <c r="N30" s="27">
        <f t="shared" si="9"/>
        <v>123.5</v>
      </c>
      <c r="O30" s="41">
        <f t="shared" si="6"/>
        <v>6.5</v>
      </c>
      <c r="P30" s="28">
        <v>77.89</v>
      </c>
    </row>
    <row r="31" spans="1:16" ht="15.75" customHeight="1" x14ac:dyDescent="0.35">
      <c r="A31" s="26">
        <v>44864</v>
      </c>
      <c r="B31" s="9">
        <v>1158.76</v>
      </c>
      <c r="C31" s="9">
        <v>620.41999999999996</v>
      </c>
      <c r="D31" s="9">
        <v>82.1</v>
      </c>
      <c r="E31" s="9"/>
      <c r="F31" s="9"/>
      <c r="G31" s="9"/>
      <c r="H31" s="9">
        <v>37.799999999999997</v>
      </c>
      <c r="I31" s="9"/>
      <c r="J31" s="9"/>
      <c r="K31" s="9"/>
      <c r="L31" s="9">
        <v>430</v>
      </c>
      <c r="M31" s="27">
        <f t="shared" si="8"/>
        <v>1170.32</v>
      </c>
      <c r="N31" s="27">
        <f t="shared" si="9"/>
        <v>418.44000000000005</v>
      </c>
      <c r="O31" s="41">
        <f t="shared" si="6"/>
        <v>11.559999999999945</v>
      </c>
      <c r="P31" s="28">
        <v>76.33</v>
      </c>
    </row>
    <row r="32" spans="1:16" ht="15.75" customHeight="1" x14ac:dyDescent="0.35">
      <c r="A32" s="26">
        <v>44865</v>
      </c>
      <c r="B32" s="53">
        <v>0</v>
      </c>
      <c r="C32" s="54">
        <v>0</v>
      </c>
      <c r="D32" s="54">
        <v>0</v>
      </c>
      <c r="E32" s="9"/>
      <c r="F32" s="9"/>
      <c r="G32" s="9"/>
      <c r="H32" s="9"/>
      <c r="I32" s="9"/>
      <c r="J32" s="9"/>
      <c r="K32" s="9"/>
      <c r="L32" s="54">
        <v>0</v>
      </c>
      <c r="M32" s="27">
        <f t="shared" si="8"/>
        <v>0</v>
      </c>
      <c r="N32" s="27">
        <v>0</v>
      </c>
      <c r="O32" s="41">
        <v>0</v>
      </c>
      <c r="P32" s="33"/>
    </row>
    <row r="33" spans="1:18" ht="15.75" customHeight="1" x14ac:dyDescent="0.35">
      <c r="A33" s="71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27">
        <f t="shared" si="8"/>
        <v>0</v>
      </c>
      <c r="N33" s="27">
        <f>L33-O33</f>
        <v>0</v>
      </c>
      <c r="O33" s="41">
        <f>M33-B33-F33</f>
        <v>0</v>
      </c>
      <c r="P33" s="47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15115.079999999998</v>
      </c>
      <c r="N34" s="72">
        <f>M34-O34</f>
        <v>15068.639999999998</v>
      </c>
      <c r="O34" s="49">
        <f>SUM(O2:O33)</f>
        <v>46.440000000000055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C109-3E57-411B-8A68-D7725CAAD37F}">
  <dimension ref="A1:R1000"/>
  <sheetViews>
    <sheetView workbookViewId="0">
      <pane ySplit="1" topLeftCell="A19" activePane="bottomLeft" state="frozen"/>
      <selection pane="bottomLeft" activeCell="E26" sqref="E26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10.7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5.5" customWidth="1"/>
    <col min="11" max="11" width="14.08203125" customWidth="1"/>
    <col min="12" max="12" width="11.58203125" customWidth="1"/>
    <col min="13" max="13" width="13.33203125" customWidth="1"/>
    <col min="14" max="14" width="18.08203125" bestFit="1" customWidth="1"/>
    <col min="15" max="15" width="10.58203125" customWidth="1"/>
    <col min="16" max="16" width="12.75" bestFit="1" customWidth="1"/>
    <col min="17" max="17" width="12.58203125" customWidth="1"/>
    <col min="18" max="26" width="11" customWidth="1"/>
  </cols>
  <sheetData>
    <row r="1" spans="1:18" ht="30.75" customHeight="1" x14ac:dyDescent="0.35">
      <c r="A1" s="22"/>
      <c r="B1" s="78" t="s">
        <v>2651</v>
      </c>
      <c r="C1" s="78" t="s">
        <v>2652</v>
      </c>
      <c r="D1" s="78" t="s">
        <v>2653</v>
      </c>
      <c r="E1" s="78" t="s">
        <v>2654</v>
      </c>
      <c r="F1" s="78" t="s">
        <v>2655</v>
      </c>
      <c r="G1" s="78" t="s">
        <v>2656</v>
      </c>
      <c r="H1" s="78" t="s">
        <v>2657</v>
      </c>
      <c r="I1" s="78" t="s">
        <v>2658</v>
      </c>
      <c r="J1" s="78" t="s">
        <v>2659</v>
      </c>
      <c r="K1" s="78" t="s">
        <v>2666</v>
      </c>
      <c r="L1" s="78" t="s">
        <v>2660</v>
      </c>
      <c r="M1" s="78" t="s">
        <v>2661</v>
      </c>
      <c r="N1" s="78" t="s">
        <v>2678</v>
      </c>
      <c r="O1" s="79" t="s">
        <v>2663</v>
      </c>
      <c r="P1" s="79" t="s">
        <v>2664</v>
      </c>
      <c r="Q1" s="80" t="s">
        <v>2679</v>
      </c>
      <c r="R1" s="2" t="s">
        <v>2670</v>
      </c>
    </row>
    <row r="2" spans="1:18" ht="15.75" customHeight="1" x14ac:dyDescent="0.35">
      <c r="A2" s="26">
        <v>45231</v>
      </c>
      <c r="B2" s="9">
        <v>594.53</v>
      </c>
      <c r="C2" s="9">
        <v>328.02</v>
      </c>
      <c r="D2" s="9">
        <v>112.46</v>
      </c>
      <c r="E2" s="9"/>
      <c r="F2" s="9"/>
      <c r="G2" s="9"/>
      <c r="H2" s="9"/>
      <c r="I2" s="9"/>
      <c r="J2" s="9"/>
      <c r="K2" s="73">
        <v>41.27</v>
      </c>
      <c r="L2" s="9">
        <v>110</v>
      </c>
      <c r="M2" s="31">
        <f t="shared" ref="M2:M32" si="0">C2+D2+E2+F2+G2+H2+I2+J2+L2+K2</f>
        <v>591.75</v>
      </c>
      <c r="N2" s="27">
        <f t="shared" ref="N2:N32" si="1">L2-O2</f>
        <v>112.77999999999997</v>
      </c>
      <c r="O2" s="32">
        <f t="shared" ref="O2:O32" si="2">M2-B2-F2</f>
        <v>-2.7799999999999727</v>
      </c>
      <c r="P2" s="32"/>
      <c r="Q2" s="33"/>
    </row>
    <row r="3" spans="1:18" ht="15.75" customHeight="1" x14ac:dyDescent="0.35">
      <c r="A3" s="26">
        <v>45232</v>
      </c>
      <c r="B3" s="9">
        <v>120.66</v>
      </c>
      <c r="C3" s="9">
        <v>96.96</v>
      </c>
      <c r="D3" s="9">
        <v>0</v>
      </c>
      <c r="E3" s="9"/>
      <c r="F3" s="9"/>
      <c r="G3" s="9"/>
      <c r="H3" s="9">
        <v>18.899999999999999</v>
      </c>
      <c r="I3" s="9"/>
      <c r="J3" s="9"/>
      <c r="K3" s="9"/>
      <c r="L3" s="9">
        <v>5</v>
      </c>
      <c r="M3" s="31">
        <f t="shared" si="0"/>
        <v>120.85999999999999</v>
      </c>
      <c r="N3" s="27">
        <f t="shared" si="1"/>
        <v>4.8000000000000114</v>
      </c>
      <c r="O3" s="70">
        <f t="shared" si="2"/>
        <v>0.19999999999998863</v>
      </c>
      <c r="P3" s="70"/>
      <c r="Q3" s="28"/>
    </row>
    <row r="4" spans="1:18" ht="15.75" customHeight="1" x14ac:dyDescent="0.35">
      <c r="A4" s="26">
        <v>45233</v>
      </c>
      <c r="B4" s="9">
        <v>434.24</v>
      </c>
      <c r="C4" s="9">
        <v>282.54000000000002</v>
      </c>
      <c r="D4" s="9">
        <v>21.9</v>
      </c>
      <c r="E4" s="9"/>
      <c r="F4" s="9"/>
      <c r="G4" s="9"/>
      <c r="H4" s="9">
        <v>52.8</v>
      </c>
      <c r="I4" s="9"/>
      <c r="J4" s="9"/>
      <c r="K4" s="9"/>
      <c r="L4" s="9">
        <v>80</v>
      </c>
      <c r="M4" s="31">
        <f t="shared" si="0"/>
        <v>437.24</v>
      </c>
      <c r="N4" s="27">
        <f t="shared" si="1"/>
        <v>77</v>
      </c>
      <c r="O4" s="41">
        <f t="shared" si="2"/>
        <v>3</v>
      </c>
      <c r="P4" s="41"/>
      <c r="Q4" s="28"/>
    </row>
    <row r="5" spans="1:18" ht="15.75" customHeight="1" x14ac:dyDescent="0.35">
      <c r="A5" s="26">
        <v>45234</v>
      </c>
      <c r="B5" s="9">
        <v>889.4</v>
      </c>
      <c r="C5" s="9">
        <v>471.46</v>
      </c>
      <c r="D5" s="9">
        <v>103.18</v>
      </c>
      <c r="E5" s="9"/>
      <c r="F5" s="9"/>
      <c r="G5" s="9"/>
      <c r="H5" s="9">
        <v>37.799999999999997</v>
      </c>
      <c r="I5" s="9"/>
      <c r="J5" s="9"/>
      <c r="K5" s="9"/>
      <c r="L5" s="9">
        <v>280</v>
      </c>
      <c r="M5" s="31">
        <f t="shared" si="0"/>
        <v>892.43999999999994</v>
      </c>
      <c r="N5" s="27">
        <f t="shared" si="1"/>
        <v>276.96000000000004</v>
      </c>
      <c r="O5" s="41">
        <f t="shared" si="2"/>
        <v>3.0399999999999636</v>
      </c>
      <c r="P5" s="41"/>
      <c r="Q5" s="28"/>
    </row>
    <row r="6" spans="1:18" ht="15.75" customHeight="1" x14ac:dyDescent="0.35">
      <c r="A6" s="26">
        <v>45235</v>
      </c>
      <c r="B6" s="9">
        <v>517.88</v>
      </c>
      <c r="C6" s="9">
        <v>339.62</v>
      </c>
      <c r="D6" s="9">
        <v>43.2</v>
      </c>
      <c r="E6" s="9"/>
      <c r="F6" s="9"/>
      <c r="G6" s="9"/>
      <c r="H6" s="9">
        <v>18.899999999999999</v>
      </c>
      <c r="I6" s="9"/>
      <c r="J6" s="9"/>
      <c r="K6" s="9"/>
      <c r="L6" s="9">
        <v>115</v>
      </c>
      <c r="M6" s="31">
        <f t="shared" si="0"/>
        <v>516.72</v>
      </c>
      <c r="N6" s="27">
        <f t="shared" si="1"/>
        <v>116.15999999999997</v>
      </c>
      <c r="O6" s="41">
        <f t="shared" si="2"/>
        <v>-1.1599999999999682</v>
      </c>
      <c r="P6" s="41"/>
      <c r="Q6" s="28"/>
    </row>
    <row r="7" spans="1:18" ht="15.75" customHeight="1" x14ac:dyDescent="0.35">
      <c r="A7" s="26">
        <v>45236</v>
      </c>
      <c r="B7" s="9">
        <v>195.3</v>
      </c>
      <c r="C7" s="9">
        <v>165.9</v>
      </c>
      <c r="D7" s="9">
        <v>0</v>
      </c>
      <c r="E7" s="9"/>
      <c r="F7" s="9"/>
      <c r="G7" s="9"/>
      <c r="H7" s="9"/>
      <c r="I7" s="9"/>
      <c r="J7" s="9"/>
      <c r="K7" s="9"/>
      <c r="L7" s="9">
        <v>30</v>
      </c>
      <c r="M7" s="31">
        <f t="shared" si="0"/>
        <v>195.9</v>
      </c>
      <c r="N7" s="27">
        <f t="shared" si="1"/>
        <v>29.400000000000006</v>
      </c>
      <c r="O7" s="41">
        <f t="shared" si="2"/>
        <v>0.59999999999999432</v>
      </c>
      <c r="P7" s="41"/>
      <c r="Q7" s="28"/>
    </row>
    <row r="8" spans="1:18" ht="15.75" customHeight="1" x14ac:dyDescent="0.35">
      <c r="A8" s="26">
        <v>45237</v>
      </c>
      <c r="B8" s="9">
        <v>153.4</v>
      </c>
      <c r="C8" s="9">
        <v>94.3</v>
      </c>
      <c r="D8" s="9">
        <v>15.4</v>
      </c>
      <c r="E8" s="9"/>
      <c r="F8" s="9"/>
      <c r="G8" s="9"/>
      <c r="H8" s="9">
        <v>18.899999999999999</v>
      </c>
      <c r="I8" s="9"/>
      <c r="J8" s="9"/>
      <c r="K8" s="9"/>
      <c r="L8" s="9">
        <v>25</v>
      </c>
      <c r="M8" s="31">
        <f t="shared" si="0"/>
        <v>153.6</v>
      </c>
      <c r="N8" s="27">
        <f t="shared" si="1"/>
        <v>24.800000000000011</v>
      </c>
      <c r="O8" s="41">
        <f t="shared" si="2"/>
        <v>0.19999999999998863</v>
      </c>
      <c r="P8" s="41"/>
      <c r="Q8" s="28"/>
    </row>
    <row r="9" spans="1:18" ht="15.75" customHeight="1" x14ac:dyDescent="0.35">
      <c r="A9" s="26">
        <v>45238</v>
      </c>
      <c r="B9" s="9">
        <v>202.57</v>
      </c>
      <c r="C9" s="9">
        <v>22.46</v>
      </c>
      <c r="D9" s="9">
        <v>4.8</v>
      </c>
      <c r="E9" s="9"/>
      <c r="F9" s="9"/>
      <c r="G9" s="9"/>
      <c r="H9" s="9">
        <v>37.799999999999997</v>
      </c>
      <c r="I9" s="9"/>
      <c r="J9" s="9"/>
      <c r="K9" s="73">
        <v>125.71</v>
      </c>
      <c r="L9" s="9">
        <v>15</v>
      </c>
      <c r="M9" s="31">
        <f t="shared" si="0"/>
        <v>205.76999999999998</v>
      </c>
      <c r="N9" s="27">
        <f t="shared" si="1"/>
        <v>11.800000000000011</v>
      </c>
      <c r="O9" s="41">
        <f t="shared" si="2"/>
        <v>3.1999999999999886</v>
      </c>
      <c r="P9" s="41"/>
      <c r="Q9" s="28"/>
    </row>
    <row r="10" spans="1:18" ht="15.75" customHeight="1" x14ac:dyDescent="0.35">
      <c r="A10" s="26">
        <v>45239</v>
      </c>
      <c r="B10" s="9">
        <v>306.42</v>
      </c>
      <c r="C10" s="9">
        <v>252.62</v>
      </c>
      <c r="D10" s="9">
        <v>0</v>
      </c>
      <c r="E10" s="9"/>
      <c r="F10" s="9"/>
      <c r="G10" s="9"/>
      <c r="H10" s="9">
        <v>18.899999999999999</v>
      </c>
      <c r="I10" s="9"/>
      <c r="J10" s="9"/>
      <c r="K10" s="9"/>
      <c r="L10" s="9">
        <v>35</v>
      </c>
      <c r="M10" s="31">
        <f t="shared" si="0"/>
        <v>306.52</v>
      </c>
      <c r="N10" s="27">
        <f t="shared" si="1"/>
        <v>34.900000000000034</v>
      </c>
      <c r="O10" s="41">
        <f t="shared" si="2"/>
        <v>9.9999999999965894E-2</v>
      </c>
      <c r="P10" s="41"/>
      <c r="Q10" s="28"/>
    </row>
    <row r="11" spans="1:18" ht="15.75" customHeight="1" x14ac:dyDescent="0.35">
      <c r="A11" s="26">
        <v>45240</v>
      </c>
      <c r="B11" s="9">
        <v>347.3</v>
      </c>
      <c r="C11" s="9">
        <v>197.35</v>
      </c>
      <c r="D11" s="9">
        <v>15.9</v>
      </c>
      <c r="E11" s="9"/>
      <c r="F11" s="9"/>
      <c r="G11" s="9"/>
      <c r="H11" s="9">
        <v>84.7</v>
      </c>
      <c r="I11" s="9"/>
      <c r="J11" s="9"/>
      <c r="K11" s="9"/>
      <c r="L11" s="9">
        <v>50</v>
      </c>
      <c r="M11" s="31">
        <f t="shared" si="0"/>
        <v>347.95</v>
      </c>
      <c r="N11" s="27">
        <f t="shared" si="1"/>
        <v>49.350000000000023</v>
      </c>
      <c r="O11" s="41">
        <f t="shared" si="2"/>
        <v>0.64999999999997726</v>
      </c>
      <c r="P11" s="41"/>
      <c r="Q11" s="28"/>
    </row>
    <row r="12" spans="1:18" ht="15.75" customHeight="1" x14ac:dyDescent="0.35">
      <c r="A12" s="26">
        <v>45241</v>
      </c>
      <c r="B12" s="9">
        <v>714.74</v>
      </c>
      <c r="C12" s="9">
        <v>469.64</v>
      </c>
      <c r="D12" s="9">
        <v>25.1</v>
      </c>
      <c r="E12" s="9"/>
      <c r="F12" s="9"/>
      <c r="G12" s="9"/>
      <c r="H12" s="9">
        <v>37.799999999999997</v>
      </c>
      <c r="I12" s="9"/>
      <c r="J12" s="9"/>
      <c r="K12" s="9"/>
      <c r="L12" s="9">
        <v>180</v>
      </c>
      <c r="M12" s="31">
        <f>C12+D12+E12+F12+G12+H12+I12+J12+L12+K12</f>
        <v>712.54</v>
      </c>
      <c r="N12" s="27">
        <f t="shared" si="1"/>
        <v>182.20000000000005</v>
      </c>
      <c r="O12" s="41">
        <f t="shared" si="2"/>
        <v>-2.2000000000000455</v>
      </c>
      <c r="P12" s="41"/>
      <c r="Q12" s="28"/>
    </row>
    <row r="13" spans="1:18" ht="15.75" customHeight="1" x14ac:dyDescent="0.35">
      <c r="A13" s="26">
        <v>45242</v>
      </c>
      <c r="B13" s="9">
        <v>423.32</v>
      </c>
      <c r="C13" s="9">
        <v>340.02</v>
      </c>
      <c r="D13" s="9">
        <v>3.8</v>
      </c>
      <c r="E13" s="9"/>
      <c r="F13" s="9"/>
      <c r="G13" s="9"/>
      <c r="H13" s="9"/>
      <c r="I13" s="9"/>
      <c r="J13" s="9"/>
      <c r="K13" s="9"/>
      <c r="L13" s="9">
        <v>80</v>
      </c>
      <c r="M13" s="31">
        <f>C13+D13+E13+F13+G13+H13+I13+J13+L13+K13</f>
        <v>423.82</v>
      </c>
      <c r="N13" s="27">
        <f t="shared" si="1"/>
        <v>79.5</v>
      </c>
      <c r="O13" s="41">
        <f t="shared" si="2"/>
        <v>0.5</v>
      </c>
      <c r="P13" s="41"/>
      <c r="Q13" s="28"/>
    </row>
    <row r="14" spans="1:18" ht="15.75" customHeight="1" x14ac:dyDescent="0.35">
      <c r="A14" s="26">
        <v>45243</v>
      </c>
      <c r="B14" s="9">
        <v>142.4</v>
      </c>
      <c r="C14" s="9">
        <v>41</v>
      </c>
      <c r="D14" s="9">
        <v>14.7</v>
      </c>
      <c r="E14" s="9"/>
      <c r="F14" s="9"/>
      <c r="G14" s="9"/>
      <c r="H14" s="9">
        <v>32.9</v>
      </c>
      <c r="I14" s="9"/>
      <c r="J14" s="9"/>
      <c r="K14" s="9"/>
      <c r="L14" s="9">
        <v>55</v>
      </c>
      <c r="M14" s="31">
        <f t="shared" si="0"/>
        <v>143.6</v>
      </c>
      <c r="N14" s="27">
        <f t="shared" si="1"/>
        <v>53.800000000000011</v>
      </c>
      <c r="O14" s="41">
        <f t="shared" si="2"/>
        <v>1.1999999999999886</v>
      </c>
      <c r="P14" s="41"/>
      <c r="Q14" s="28"/>
    </row>
    <row r="15" spans="1:18" ht="15.75" customHeight="1" x14ac:dyDescent="0.35">
      <c r="A15" s="26">
        <v>45244</v>
      </c>
      <c r="B15" s="9">
        <v>122.2</v>
      </c>
      <c r="C15" s="9">
        <v>86.4</v>
      </c>
      <c r="D15" s="9">
        <v>12.2</v>
      </c>
      <c r="E15" s="9"/>
      <c r="F15" s="9"/>
      <c r="G15" s="9"/>
      <c r="H15" s="9"/>
      <c r="I15" s="9"/>
      <c r="J15" s="9"/>
      <c r="K15" s="9"/>
      <c r="L15" s="9">
        <v>25</v>
      </c>
      <c r="M15" s="31">
        <f t="shared" si="0"/>
        <v>123.60000000000001</v>
      </c>
      <c r="N15" s="27">
        <f t="shared" si="1"/>
        <v>23.599999999999994</v>
      </c>
      <c r="O15" s="41">
        <f t="shared" si="2"/>
        <v>1.4000000000000057</v>
      </c>
      <c r="P15" s="41"/>
      <c r="Q15" s="28"/>
    </row>
    <row r="16" spans="1:18" ht="15.75" customHeight="1" x14ac:dyDescent="0.35">
      <c r="A16" s="26">
        <v>45245</v>
      </c>
      <c r="B16" s="9">
        <v>266.39999999999998</v>
      </c>
      <c r="C16" s="9">
        <v>174.4</v>
      </c>
      <c r="D16" s="9">
        <v>21.4</v>
      </c>
      <c r="E16" s="9"/>
      <c r="F16" s="9"/>
      <c r="G16" s="9"/>
      <c r="H16" s="9">
        <v>19</v>
      </c>
      <c r="I16" s="9"/>
      <c r="J16" s="9"/>
      <c r="K16" s="9"/>
      <c r="L16" s="9">
        <v>50</v>
      </c>
      <c r="M16" s="31">
        <f t="shared" si="0"/>
        <v>264.8</v>
      </c>
      <c r="N16" s="27">
        <f t="shared" si="1"/>
        <v>51.599999999999966</v>
      </c>
      <c r="O16" s="41">
        <f t="shared" si="2"/>
        <v>-1.5999999999999659</v>
      </c>
      <c r="P16" s="41"/>
      <c r="Q16" s="28"/>
    </row>
    <row r="17" spans="1:17" ht="15.75" customHeight="1" x14ac:dyDescent="0.35">
      <c r="A17" s="26">
        <v>45246</v>
      </c>
      <c r="B17" s="9">
        <v>148.34</v>
      </c>
      <c r="C17" s="9">
        <v>109.4</v>
      </c>
      <c r="D17" s="9">
        <v>4.8</v>
      </c>
      <c r="E17" s="9"/>
      <c r="F17" s="9"/>
      <c r="G17" s="9"/>
      <c r="H17" s="9"/>
      <c r="I17" s="9"/>
      <c r="J17" s="9"/>
      <c r="K17" s="9"/>
      <c r="L17" s="9">
        <v>40</v>
      </c>
      <c r="M17" s="31">
        <f t="shared" si="0"/>
        <v>154.19999999999999</v>
      </c>
      <c r="N17" s="27">
        <f t="shared" si="1"/>
        <v>34.140000000000015</v>
      </c>
      <c r="O17" s="41">
        <f t="shared" si="2"/>
        <v>5.8599999999999852</v>
      </c>
      <c r="P17" s="41"/>
      <c r="Q17" s="28"/>
    </row>
    <row r="18" spans="1:17" ht="15.75" customHeight="1" x14ac:dyDescent="0.35">
      <c r="A18" s="26">
        <v>45247</v>
      </c>
      <c r="B18" s="9">
        <v>640.71</v>
      </c>
      <c r="C18" s="9">
        <v>329.79</v>
      </c>
      <c r="D18" s="9">
        <v>33</v>
      </c>
      <c r="E18" s="9"/>
      <c r="F18" s="9"/>
      <c r="G18" s="9">
        <v>18.899999999999999</v>
      </c>
      <c r="H18" s="9"/>
      <c r="I18" s="9"/>
      <c r="J18" s="9"/>
      <c r="K18" s="73">
        <v>74.86</v>
      </c>
      <c r="L18" s="9">
        <v>185</v>
      </c>
      <c r="M18" s="31">
        <f t="shared" si="0"/>
        <v>641.55000000000007</v>
      </c>
      <c r="N18" s="27">
        <f t="shared" si="1"/>
        <v>184.15999999999997</v>
      </c>
      <c r="O18" s="41">
        <f t="shared" si="2"/>
        <v>0.84000000000003183</v>
      </c>
      <c r="P18" s="41"/>
      <c r="Q18" s="28"/>
    </row>
    <row r="19" spans="1:17" ht="15.75" customHeight="1" x14ac:dyDescent="0.35">
      <c r="A19" s="26">
        <v>45248</v>
      </c>
      <c r="B19" s="9">
        <v>1320.03</v>
      </c>
      <c r="C19" s="9">
        <v>882.43</v>
      </c>
      <c r="D19" s="9">
        <v>187.6</v>
      </c>
      <c r="E19" s="9"/>
      <c r="F19" s="9"/>
      <c r="G19" s="9"/>
      <c r="H19" s="9">
        <v>51.8</v>
      </c>
      <c r="I19" s="9"/>
      <c r="J19" s="9"/>
      <c r="K19" s="9"/>
      <c r="L19" s="9">
        <v>200</v>
      </c>
      <c r="M19" s="31">
        <f t="shared" si="0"/>
        <v>1321.83</v>
      </c>
      <c r="N19" s="27">
        <f t="shared" si="1"/>
        <v>198.20000000000005</v>
      </c>
      <c r="O19" s="41">
        <f t="shared" si="2"/>
        <v>1.7999999999999545</v>
      </c>
      <c r="P19" s="41"/>
      <c r="Q19" s="28"/>
    </row>
    <row r="20" spans="1:17" ht="15.75" customHeight="1" x14ac:dyDescent="0.35">
      <c r="A20" s="26">
        <v>45249</v>
      </c>
      <c r="B20" s="9">
        <v>1139.94</v>
      </c>
      <c r="C20" s="9">
        <v>813.48</v>
      </c>
      <c r="D20" s="9">
        <v>61.1</v>
      </c>
      <c r="E20" s="9"/>
      <c r="F20" s="9"/>
      <c r="G20" s="9"/>
      <c r="H20" s="9">
        <v>32.9</v>
      </c>
      <c r="I20" s="9"/>
      <c r="J20" s="9"/>
      <c r="K20" s="9"/>
      <c r="L20" s="9">
        <v>235</v>
      </c>
      <c r="M20" s="31">
        <f t="shared" si="0"/>
        <v>1142.48</v>
      </c>
      <c r="N20" s="27">
        <f t="shared" si="1"/>
        <v>232.46000000000004</v>
      </c>
      <c r="O20" s="41">
        <f t="shared" si="2"/>
        <v>2.5399999999999636</v>
      </c>
      <c r="P20" s="41"/>
      <c r="Q20" s="28"/>
    </row>
    <row r="21" spans="1:17" ht="15.75" customHeight="1" x14ac:dyDescent="0.35">
      <c r="A21" s="26">
        <v>45250</v>
      </c>
      <c r="B21" s="9">
        <v>317.74</v>
      </c>
      <c r="C21" s="9">
        <v>170.48</v>
      </c>
      <c r="D21" s="9">
        <v>24.6</v>
      </c>
      <c r="E21" s="9"/>
      <c r="F21" s="9"/>
      <c r="G21" s="9"/>
      <c r="H21" s="9">
        <v>18.899999999999999</v>
      </c>
      <c r="I21" s="9"/>
      <c r="J21" s="9"/>
      <c r="K21" s="73">
        <f>7.38</f>
        <v>7.38</v>
      </c>
      <c r="L21" s="9">
        <v>100</v>
      </c>
      <c r="M21" s="31">
        <f t="shared" si="0"/>
        <v>321.36</v>
      </c>
      <c r="N21" s="27">
        <f t="shared" si="1"/>
        <v>96.38</v>
      </c>
      <c r="O21" s="41">
        <f t="shared" si="2"/>
        <v>3.6200000000000045</v>
      </c>
      <c r="P21" s="41"/>
      <c r="Q21" s="28"/>
    </row>
    <row r="22" spans="1:17" ht="15.75" customHeight="1" x14ac:dyDescent="0.35">
      <c r="A22" s="26">
        <v>45251</v>
      </c>
      <c r="B22" s="9">
        <v>342.9</v>
      </c>
      <c r="C22" s="9">
        <v>192.7</v>
      </c>
      <c r="D22" s="9">
        <v>27.4</v>
      </c>
      <c r="E22" s="9"/>
      <c r="F22" s="9"/>
      <c r="G22" s="9"/>
      <c r="H22" s="9">
        <v>33.9</v>
      </c>
      <c r="I22" s="9"/>
      <c r="J22" s="9"/>
      <c r="K22" s="9"/>
      <c r="L22" s="9">
        <v>90</v>
      </c>
      <c r="M22" s="31">
        <f t="shared" si="0"/>
        <v>344</v>
      </c>
      <c r="N22" s="27">
        <f>L22-O22</f>
        <v>88.899999999999977</v>
      </c>
      <c r="O22" s="41">
        <f t="shared" si="2"/>
        <v>1.1000000000000227</v>
      </c>
      <c r="P22" s="41"/>
      <c r="Q22" s="28"/>
    </row>
    <row r="23" spans="1:17" ht="15.75" customHeight="1" x14ac:dyDescent="0.35">
      <c r="A23" s="26">
        <v>45252</v>
      </c>
      <c r="B23" s="9">
        <v>390.18</v>
      </c>
      <c r="C23" s="9">
        <v>249.56</v>
      </c>
      <c r="D23" s="9">
        <v>46.6</v>
      </c>
      <c r="E23" s="9"/>
      <c r="F23" s="9"/>
      <c r="G23" s="9"/>
      <c r="H23" s="9"/>
      <c r="I23" s="9"/>
      <c r="J23" s="9"/>
      <c r="K23" s="73">
        <f>14+16.72</f>
        <v>30.72</v>
      </c>
      <c r="L23" s="9">
        <v>65</v>
      </c>
      <c r="M23" s="31">
        <f t="shared" si="0"/>
        <v>391.88</v>
      </c>
      <c r="N23" s="27">
        <f t="shared" si="1"/>
        <v>63.300000000000011</v>
      </c>
      <c r="O23" s="41">
        <f t="shared" si="2"/>
        <v>1.6999999999999886</v>
      </c>
      <c r="P23" s="41"/>
      <c r="Q23" s="28"/>
    </row>
    <row r="24" spans="1:17" ht="15.75" customHeight="1" x14ac:dyDescent="0.35">
      <c r="A24" s="26">
        <v>45253</v>
      </c>
      <c r="B24" s="9">
        <v>322.77</v>
      </c>
      <c r="C24" s="9">
        <v>176.47</v>
      </c>
      <c r="D24" s="9">
        <v>44.02</v>
      </c>
      <c r="E24" s="9"/>
      <c r="F24" s="9"/>
      <c r="G24" s="9"/>
      <c r="H24" s="9"/>
      <c r="I24" s="9"/>
      <c r="J24" s="9"/>
      <c r="K24" s="9"/>
      <c r="L24" s="9">
        <v>100</v>
      </c>
      <c r="M24" s="31">
        <f t="shared" si="0"/>
        <v>320.49</v>
      </c>
      <c r="N24" s="27">
        <f t="shared" si="1"/>
        <v>102.27999999999997</v>
      </c>
      <c r="O24" s="41">
        <f t="shared" si="2"/>
        <v>-2.2799999999999727</v>
      </c>
      <c r="P24" s="41"/>
      <c r="Q24" s="28"/>
    </row>
    <row r="25" spans="1:17" ht="15.75" customHeight="1" x14ac:dyDescent="0.35">
      <c r="A25" s="26">
        <v>45254</v>
      </c>
      <c r="B25" s="9">
        <v>619.45000000000005</v>
      </c>
      <c r="C25" s="9">
        <v>375.14</v>
      </c>
      <c r="D25" s="9">
        <v>37.4</v>
      </c>
      <c r="E25" s="9"/>
      <c r="F25" s="9"/>
      <c r="G25" s="9"/>
      <c r="H25" s="9">
        <v>39.9</v>
      </c>
      <c r="I25" s="9"/>
      <c r="J25" s="9"/>
      <c r="K25" s="73">
        <f>21.09</f>
        <v>21.09</v>
      </c>
      <c r="L25" s="9">
        <v>145</v>
      </c>
      <c r="M25" s="31">
        <f>C25+D25+E25+F25+G25+H25+I25+J25+L25+K25</f>
        <v>618.53</v>
      </c>
      <c r="N25" s="27">
        <f>L25-O25</f>
        <v>145.92000000000007</v>
      </c>
      <c r="O25" s="41">
        <f>M25-B25-F25</f>
        <v>-0.92000000000007276</v>
      </c>
      <c r="P25" s="41"/>
      <c r="Q25" s="81"/>
    </row>
    <row r="26" spans="1:17" ht="15.75" customHeight="1" x14ac:dyDescent="0.35">
      <c r="A26" s="26">
        <v>45255</v>
      </c>
      <c r="B26" s="9">
        <v>1108.54</v>
      </c>
      <c r="C26" s="82">
        <v>688.52</v>
      </c>
      <c r="D26" s="82">
        <v>73.2</v>
      </c>
      <c r="E26" s="9"/>
      <c r="F26" s="9"/>
      <c r="G26" s="9"/>
      <c r="H26" s="82">
        <v>69.8</v>
      </c>
      <c r="I26" s="9"/>
      <c r="J26" s="9"/>
      <c r="K26" s="73">
        <v>40.619999999999997</v>
      </c>
      <c r="L26" s="9">
        <v>195</v>
      </c>
      <c r="M26" s="31">
        <f t="shared" si="0"/>
        <v>1067.1399999999999</v>
      </c>
      <c r="N26" s="27">
        <f t="shared" si="1"/>
        <v>236.40000000000009</v>
      </c>
      <c r="O26" s="41">
        <f t="shared" si="2"/>
        <v>-41.400000000000091</v>
      </c>
      <c r="P26" s="41"/>
      <c r="Q26" s="81"/>
    </row>
    <row r="27" spans="1:17" ht="15.75" customHeight="1" x14ac:dyDescent="0.35">
      <c r="A27" s="26">
        <v>45256</v>
      </c>
      <c r="B27" s="9">
        <v>552.5</v>
      </c>
      <c r="C27" s="9">
        <v>355.5</v>
      </c>
      <c r="D27" s="9">
        <v>73.8</v>
      </c>
      <c r="E27" s="9"/>
      <c r="F27" s="9"/>
      <c r="G27" s="9">
        <v>18.100000000000001</v>
      </c>
      <c r="H27" s="9"/>
      <c r="I27" s="9"/>
      <c r="J27" s="9"/>
      <c r="K27" s="9"/>
      <c r="L27" s="9">
        <v>125</v>
      </c>
      <c r="M27" s="31">
        <f t="shared" si="0"/>
        <v>572.40000000000009</v>
      </c>
      <c r="N27" s="27">
        <f>L27-O27</f>
        <v>105.09999999999991</v>
      </c>
      <c r="O27" s="41">
        <f t="shared" si="2"/>
        <v>19.900000000000091</v>
      </c>
      <c r="P27" s="41"/>
      <c r="Q27" s="81"/>
    </row>
    <row r="28" spans="1:17" ht="15.75" customHeight="1" x14ac:dyDescent="0.35">
      <c r="A28" s="26">
        <v>45257</v>
      </c>
      <c r="B28" s="9">
        <v>159.02000000000001</v>
      </c>
      <c r="C28" s="9">
        <v>49.2</v>
      </c>
      <c r="D28" s="9">
        <v>39.32</v>
      </c>
      <c r="E28" s="9"/>
      <c r="F28" s="9"/>
      <c r="G28" s="9">
        <v>18.899999999999999</v>
      </c>
      <c r="H28" s="9"/>
      <c r="I28" s="9"/>
      <c r="J28" s="9"/>
      <c r="K28" s="9"/>
      <c r="L28" s="9">
        <v>50</v>
      </c>
      <c r="M28" s="31">
        <f t="shared" si="0"/>
        <v>157.42000000000002</v>
      </c>
      <c r="N28" s="27">
        <f t="shared" si="1"/>
        <v>51.599999999999994</v>
      </c>
      <c r="O28" s="41">
        <f t="shared" si="2"/>
        <v>-1.5999999999999943</v>
      </c>
      <c r="P28" s="41"/>
      <c r="Q28" s="81"/>
    </row>
    <row r="29" spans="1:17" ht="15.75" customHeight="1" x14ac:dyDescent="0.35">
      <c r="A29" s="26">
        <v>45258</v>
      </c>
      <c r="B29" s="9">
        <v>126.4</v>
      </c>
      <c r="C29" s="9">
        <v>98.7</v>
      </c>
      <c r="D29" s="83">
        <v>18.100000000000001</v>
      </c>
      <c r="E29" s="9"/>
      <c r="F29" s="9"/>
      <c r="G29" s="9"/>
      <c r="H29" s="9"/>
      <c r="I29" s="9"/>
      <c r="J29" s="9"/>
      <c r="K29" s="9"/>
      <c r="L29" s="9">
        <v>15</v>
      </c>
      <c r="M29" s="31">
        <f>C29+D29+E29+F29+G29+H29+I29+J29+L29+K29</f>
        <v>131.80000000000001</v>
      </c>
      <c r="N29" s="27">
        <f t="shared" si="1"/>
        <v>9.5999999999999943</v>
      </c>
      <c r="O29" s="41">
        <f t="shared" si="2"/>
        <v>5.4000000000000057</v>
      </c>
      <c r="P29" s="41"/>
      <c r="Q29" s="81"/>
    </row>
    <row r="30" spans="1:17" ht="15.75" customHeight="1" x14ac:dyDescent="0.35">
      <c r="A30" s="26">
        <v>45259</v>
      </c>
      <c r="B30" s="9">
        <v>65.7</v>
      </c>
      <c r="C30" s="9">
        <v>28.8</v>
      </c>
      <c r="D30" s="9">
        <v>11.2</v>
      </c>
      <c r="E30" s="9"/>
      <c r="F30" s="9"/>
      <c r="G30" s="9"/>
      <c r="H30" s="9">
        <v>18.899999999999999</v>
      </c>
      <c r="I30" s="9"/>
      <c r="J30" s="9"/>
      <c r="K30" s="9"/>
      <c r="L30" s="9">
        <v>10</v>
      </c>
      <c r="M30" s="31">
        <f t="shared" si="0"/>
        <v>68.900000000000006</v>
      </c>
      <c r="N30" s="27">
        <f t="shared" si="1"/>
        <v>6.7999999999999972</v>
      </c>
      <c r="O30" s="41">
        <f t="shared" si="2"/>
        <v>3.2000000000000028</v>
      </c>
      <c r="P30" s="41"/>
      <c r="Q30" s="81"/>
    </row>
    <row r="31" spans="1:17" ht="15.75" customHeight="1" x14ac:dyDescent="0.35">
      <c r="A31" s="26">
        <v>45260</v>
      </c>
      <c r="B31" s="9">
        <v>208.14</v>
      </c>
      <c r="C31" s="9">
        <v>123.04</v>
      </c>
      <c r="D31" s="9">
        <v>10.8</v>
      </c>
      <c r="E31" s="9"/>
      <c r="F31" s="9"/>
      <c r="G31" s="9"/>
      <c r="H31" s="9">
        <v>18.899999999999999</v>
      </c>
      <c r="I31" s="9"/>
      <c r="J31" s="9"/>
      <c r="K31" s="9"/>
      <c r="L31" s="9">
        <v>50</v>
      </c>
      <c r="M31" s="31">
        <f t="shared" si="0"/>
        <v>202.74</v>
      </c>
      <c r="N31" s="27">
        <f t="shared" si="1"/>
        <v>55.399999999999977</v>
      </c>
      <c r="O31" s="41">
        <f t="shared" si="2"/>
        <v>-5.3999999999999773</v>
      </c>
      <c r="P31" s="41"/>
      <c r="Q31" s="81"/>
    </row>
    <row r="32" spans="1:17" ht="15.75" customHeight="1" x14ac:dyDescent="0.35">
      <c r="A32" s="26"/>
      <c r="B32" s="44"/>
      <c r="C32" s="44"/>
      <c r="D32" s="44"/>
      <c r="E32" s="9"/>
      <c r="F32" s="9"/>
      <c r="G32" s="9"/>
      <c r="H32" s="44"/>
      <c r="I32" s="9"/>
      <c r="J32" s="9"/>
      <c r="K32" s="55"/>
      <c r="L32" s="44"/>
      <c r="M32" s="31">
        <f t="shared" si="0"/>
        <v>0</v>
      </c>
      <c r="N32" s="27">
        <f t="shared" si="1"/>
        <v>0</v>
      </c>
      <c r="O32" s="41">
        <f t="shared" si="2"/>
        <v>0</v>
      </c>
      <c r="P32" s="41"/>
      <c r="Q32" s="81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12893.829999999998</v>
      </c>
      <c r="N33" s="72">
        <f>M33-O33</f>
        <v>12893.119999999999</v>
      </c>
      <c r="O33" s="49">
        <f>SUM(O2:O32)</f>
        <v>0.70999999999985164</v>
      </c>
      <c r="P33" s="49"/>
      <c r="Q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000"/>
  <sheetViews>
    <sheetView workbookViewId="0">
      <pane ySplit="1" topLeftCell="A13" activePane="bottomLeft" state="frozen"/>
      <selection pane="bottomLeft" activeCell="B13" sqref="B13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44896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31">
        <f t="shared" ref="M2:M19" si="0">C2+D2+E2+F2+G2+H2+I2+J2+L2+K2</f>
        <v>0</v>
      </c>
      <c r="N2" s="27">
        <f t="shared" ref="N2:N7" si="1">L2-O2</f>
        <v>0</v>
      </c>
      <c r="O2" s="32">
        <f t="shared" ref="O2:O7" si="2">M2-B2-F2</f>
        <v>0</v>
      </c>
      <c r="P2" s="33"/>
    </row>
    <row r="3" spans="1:18" ht="15.75" customHeight="1" x14ac:dyDescent="0.35">
      <c r="A3" s="26">
        <v>44897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31">
        <f t="shared" si="0"/>
        <v>0</v>
      </c>
      <c r="N3" s="27">
        <f t="shared" si="1"/>
        <v>0</v>
      </c>
      <c r="O3" s="70">
        <f t="shared" si="2"/>
        <v>0</v>
      </c>
      <c r="P3" s="28"/>
      <c r="Q3" s="56"/>
    </row>
    <row r="4" spans="1:18" ht="15.75" customHeight="1" x14ac:dyDescent="0.35">
      <c r="A4" s="26">
        <v>44898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31">
        <f t="shared" si="0"/>
        <v>0</v>
      </c>
      <c r="N4" s="27">
        <f t="shared" si="1"/>
        <v>0</v>
      </c>
      <c r="O4" s="41">
        <f t="shared" si="2"/>
        <v>0</v>
      </c>
      <c r="P4" s="28"/>
    </row>
    <row r="5" spans="1:18" ht="15.75" customHeight="1" x14ac:dyDescent="0.35">
      <c r="A5" s="26">
        <v>44899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31">
        <f t="shared" si="0"/>
        <v>0</v>
      </c>
      <c r="N5" s="27">
        <f t="shared" si="1"/>
        <v>0</v>
      </c>
      <c r="O5" s="41">
        <f t="shared" si="2"/>
        <v>0</v>
      </c>
      <c r="P5" s="28"/>
    </row>
    <row r="6" spans="1:18" ht="15.75" customHeight="1" x14ac:dyDescent="0.35">
      <c r="A6" s="26">
        <v>44900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31">
        <f t="shared" si="0"/>
        <v>0</v>
      </c>
      <c r="N6" s="27">
        <f t="shared" si="1"/>
        <v>0</v>
      </c>
      <c r="O6" s="41">
        <f t="shared" si="2"/>
        <v>0</v>
      </c>
      <c r="P6" s="28"/>
    </row>
    <row r="7" spans="1:18" ht="15.75" customHeight="1" x14ac:dyDescent="0.35">
      <c r="A7" s="26">
        <v>44901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31">
        <f t="shared" si="0"/>
        <v>0</v>
      </c>
      <c r="N7" s="27">
        <f t="shared" si="1"/>
        <v>0</v>
      </c>
      <c r="O7" s="41">
        <f t="shared" si="2"/>
        <v>0</v>
      </c>
      <c r="P7" s="28"/>
    </row>
    <row r="8" spans="1:18" ht="15.75" customHeight="1" x14ac:dyDescent="0.35">
      <c r="A8" s="26">
        <v>44902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31">
        <f t="shared" si="0"/>
        <v>0</v>
      </c>
      <c r="N8" s="27">
        <v>0</v>
      </c>
      <c r="O8" s="41">
        <v>0</v>
      </c>
      <c r="P8" s="28"/>
    </row>
    <row r="9" spans="1:18" ht="15.75" customHeight="1" x14ac:dyDescent="0.35">
      <c r="A9" s="26">
        <v>44903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31">
        <f t="shared" si="0"/>
        <v>0</v>
      </c>
      <c r="N9" s="27">
        <f t="shared" ref="N9:N33" si="3">L9-O9</f>
        <v>0</v>
      </c>
      <c r="O9" s="41">
        <f t="shared" ref="O9:O33" si="4">M9-B9-F9</f>
        <v>0</v>
      </c>
      <c r="P9" s="28"/>
    </row>
    <row r="10" spans="1:18" ht="15.75" customHeight="1" x14ac:dyDescent="0.35">
      <c r="A10" s="26">
        <v>44904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31">
        <f t="shared" si="0"/>
        <v>0</v>
      </c>
      <c r="N10" s="27">
        <f t="shared" si="3"/>
        <v>0</v>
      </c>
      <c r="O10" s="41">
        <f t="shared" si="4"/>
        <v>0</v>
      </c>
      <c r="P10" s="28"/>
    </row>
    <row r="11" spans="1:18" ht="15.75" customHeight="1" x14ac:dyDescent="0.35">
      <c r="A11" s="26">
        <v>44905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31">
        <f t="shared" si="0"/>
        <v>0</v>
      </c>
      <c r="N11" s="27">
        <f t="shared" si="3"/>
        <v>0</v>
      </c>
      <c r="O11" s="41">
        <f t="shared" si="4"/>
        <v>0</v>
      </c>
      <c r="P11" s="28"/>
    </row>
    <row r="12" spans="1:18" ht="15.75" customHeight="1" x14ac:dyDescent="0.35">
      <c r="A12" s="26">
        <v>44906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31">
        <f t="shared" si="0"/>
        <v>0</v>
      </c>
      <c r="N12" s="27">
        <f t="shared" si="3"/>
        <v>0</v>
      </c>
      <c r="O12" s="41">
        <f t="shared" si="4"/>
        <v>0</v>
      </c>
      <c r="P12" s="28"/>
      <c r="Q12" s="56"/>
    </row>
    <row r="13" spans="1:18" ht="15.75" customHeight="1" x14ac:dyDescent="0.35">
      <c r="A13" s="26">
        <v>44907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31">
        <f t="shared" si="0"/>
        <v>0</v>
      </c>
      <c r="N13" s="27">
        <f t="shared" si="3"/>
        <v>0</v>
      </c>
      <c r="O13" s="41">
        <f t="shared" si="4"/>
        <v>0</v>
      </c>
      <c r="P13" s="28"/>
    </row>
    <row r="14" spans="1:18" ht="15.75" customHeight="1" x14ac:dyDescent="0.35">
      <c r="A14" s="26">
        <v>44908</v>
      </c>
      <c r="B14" s="9">
        <v>111.58</v>
      </c>
      <c r="C14" s="9">
        <v>46.8</v>
      </c>
      <c r="D14" s="9">
        <v>10.5</v>
      </c>
      <c r="E14" s="9">
        <f>6.89+1.69</f>
        <v>8.58</v>
      </c>
      <c r="F14" s="9"/>
      <c r="G14" s="9"/>
      <c r="H14" s="9"/>
      <c r="I14" s="9"/>
      <c r="J14" s="9"/>
      <c r="K14" s="9"/>
      <c r="L14" s="9">
        <v>50</v>
      </c>
      <c r="M14" s="31">
        <f t="shared" si="0"/>
        <v>115.88</v>
      </c>
      <c r="N14" s="27">
        <f t="shared" si="3"/>
        <v>45.7</v>
      </c>
      <c r="O14" s="41">
        <f t="shared" si="4"/>
        <v>4.2999999999999972</v>
      </c>
      <c r="P14" s="28">
        <v>68.5</v>
      </c>
    </row>
    <row r="15" spans="1:18" ht="15.75" customHeight="1" x14ac:dyDescent="0.35">
      <c r="A15" s="26">
        <v>44909</v>
      </c>
      <c r="B15" s="9">
        <v>105.12</v>
      </c>
      <c r="C15" s="9">
        <v>35.1</v>
      </c>
      <c r="D15" s="9">
        <v>15.82</v>
      </c>
      <c r="E15" s="9"/>
      <c r="F15" s="9"/>
      <c r="G15" s="9"/>
      <c r="H15" s="9">
        <v>37.799999999999997</v>
      </c>
      <c r="I15" s="9"/>
      <c r="J15" s="9"/>
      <c r="K15" s="9"/>
      <c r="L15" s="9">
        <v>10</v>
      </c>
      <c r="M15" s="31">
        <f t="shared" si="0"/>
        <v>98.72</v>
      </c>
      <c r="N15" s="27">
        <f t="shared" si="3"/>
        <v>16.400000000000006</v>
      </c>
      <c r="O15" s="41">
        <f t="shared" si="4"/>
        <v>-6.4000000000000057</v>
      </c>
      <c r="P15" s="28">
        <v>74.86</v>
      </c>
    </row>
    <row r="16" spans="1:18" ht="15.75" customHeight="1" x14ac:dyDescent="0.35">
      <c r="A16" s="26">
        <v>44910</v>
      </c>
      <c r="B16" s="9">
        <v>104.8</v>
      </c>
      <c r="C16" s="9">
        <v>93</v>
      </c>
      <c r="D16" s="9">
        <v>2.2000000000000002</v>
      </c>
      <c r="E16" s="9"/>
      <c r="F16" s="9"/>
      <c r="G16" s="9"/>
      <c r="H16" s="9"/>
      <c r="I16" s="9"/>
      <c r="J16" s="9"/>
      <c r="K16" s="9"/>
      <c r="L16" s="9">
        <v>10</v>
      </c>
      <c r="M16" s="31">
        <f t="shared" si="0"/>
        <v>105.2</v>
      </c>
      <c r="N16" s="27">
        <f t="shared" si="3"/>
        <v>9.5999999999999943</v>
      </c>
      <c r="O16" s="41">
        <f t="shared" si="4"/>
        <v>0.40000000000000568</v>
      </c>
      <c r="P16" s="28">
        <v>74.5</v>
      </c>
    </row>
    <row r="17" spans="1:16" ht="15.75" customHeight="1" x14ac:dyDescent="0.35">
      <c r="A17" s="26">
        <v>44911</v>
      </c>
      <c r="B17" s="9">
        <v>334</v>
      </c>
      <c r="C17" s="9">
        <v>198.02</v>
      </c>
      <c r="D17" s="9">
        <v>7.4</v>
      </c>
      <c r="E17" s="9"/>
      <c r="F17" s="9"/>
      <c r="G17" s="9"/>
      <c r="H17" s="9"/>
      <c r="I17" s="9"/>
      <c r="J17" s="9"/>
      <c r="K17" s="9"/>
      <c r="L17" s="9">
        <v>130</v>
      </c>
      <c r="M17" s="31">
        <f t="shared" si="0"/>
        <v>335.42</v>
      </c>
      <c r="N17" s="27">
        <f t="shared" si="3"/>
        <v>128.57999999999998</v>
      </c>
      <c r="O17" s="41">
        <f t="shared" si="4"/>
        <v>1.4200000000000159</v>
      </c>
      <c r="P17" s="28">
        <v>73.28</v>
      </c>
    </row>
    <row r="18" spans="1:16" ht="15.75" customHeight="1" x14ac:dyDescent="0.35">
      <c r="A18" s="26">
        <v>44912</v>
      </c>
      <c r="B18" s="9">
        <v>397.88</v>
      </c>
      <c r="C18" s="9">
        <v>246.18</v>
      </c>
      <c r="D18" s="9">
        <v>107</v>
      </c>
      <c r="E18" s="9"/>
      <c r="F18" s="9"/>
      <c r="G18" s="9"/>
      <c r="H18" s="9"/>
      <c r="I18" s="9"/>
      <c r="J18" s="9"/>
      <c r="K18" s="9"/>
      <c r="L18" s="9">
        <v>45</v>
      </c>
      <c r="M18" s="31">
        <f t="shared" si="0"/>
        <v>398.18</v>
      </c>
      <c r="N18" s="27">
        <f t="shared" si="3"/>
        <v>44.699999999999989</v>
      </c>
      <c r="O18" s="41">
        <f t="shared" si="4"/>
        <v>0.30000000000001137</v>
      </c>
      <c r="P18" s="28"/>
    </row>
    <row r="19" spans="1:16" ht="15.75" customHeight="1" x14ac:dyDescent="0.35">
      <c r="A19" s="26">
        <v>44913</v>
      </c>
      <c r="B19" s="9">
        <v>310.3</v>
      </c>
      <c r="C19" s="9">
        <v>122.8</v>
      </c>
      <c r="D19" s="9">
        <v>20</v>
      </c>
      <c r="E19" s="9"/>
      <c r="F19" s="9"/>
      <c r="G19" s="9"/>
      <c r="H19" s="9">
        <v>95.7</v>
      </c>
      <c r="I19" s="9"/>
      <c r="J19" s="9"/>
      <c r="K19" s="9"/>
      <c r="L19" s="9">
        <v>80</v>
      </c>
      <c r="M19" s="31">
        <f t="shared" si="0"/>
        <v>318.5</v>
      </c>
      <c r="N19" s="27">
        <f t="shared" si="3"/>
        <v>71.800000000000011</v>
      </c>
      <c r="O19" s="41">
        <f t="shared" si="4"/>
        <v>8.1999999999999886</v>
      </c>
      <c r="P19" s="28">
        <v>72.48</v>
      </c>
    </row>
    <row r="20" spans="1:16" ht="15.75" customHeight="1" x14ac:dyDescent="0.35">
      <c r="A20" s="26">
        <v>44914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31">
        <v>0</v>
      </c>
      <c r="N20" s="27">
        <f t="shared" si="3"/>
        <v>0</v>
      </c>
      <c r="O20" s="41">
        <f t="shared" si="4"/>
        <v>0</v>
      </c>
      <c r="P20" s="28"/>
    </row>
    <row r="21" spans="1:16" ht="15.75" customHeight="1" x14ac:dyDescent="0.35">
      <c r="A21" s="26">
        <v>44915</v>
      </c>
      <c r="B21" s="9">
        <v>328.46</v>
      </c>
      <c r="C21" s="9">
        <v>197.22</v>
      </c>
      <c r="D21" s="9">
        <v>1.69</v>
      </c>
      <c r="E21" s="9"/>
      <c r="F21" s="9"/>
      <c r="G21" s="9"/>
      <c r="H21" s="9"/>
      <c r="I21" s="9"/>
      <c r="J21" s="9"/>
      <c r="K21" s="9"/>
      <c r="L21" s="9">
        <v>130</v>
      </c>
      <c r="M21" s="31">
        <f t="shared" ref="M21:M33" si="5">C21+D21+E21+F21+G21+H21+I21+J21+L21+K21</f>
        <v>328.90999999999997</v>
      </c>
      <c r="N21" s="27">
        <f t="shared" si="3"/>
        <v>129.55000000000001</v>
      </c>
      <c r="O21" s="41">
        <f t="shared" si="4"/>
        <v>0.44999999999998863</v>
      </c>
      <c r="P21" s="28">
        <v>72.13</v>
      </c>
    </row>
    <row r="22" spans="1:16" ht="15.75" customHeight="1" x14ac:dyDescent="0.35">
      <c r="A22" s="26">
        <v>44916</v>
      </c>
      <c r="B22" s="9">
        <v>202.32</v>
      </c>
      <c r="C22" s="9">
        <v>122.44</v>
      </c>
      <c r="D22" s="9">
        <v>30.18</v>
      </c>
      <c r="E22" s="9"/>
      <c r="F22" s="9"/>
      <c r="G22" s="9"/>
      <c r="H22" s="9"/>
      <c r="I22" s="9"/>
      <c r="J22" s="9"/>
      <c r="K22" s="9"/>
      <c r="L22" s="9">
        <v>50</v>
      </c>
      <c r="M22" s="31">
        <f t="shared" si="5"/>
        <v>202.62</v>
      </c>
      <c r="N22" s="27">
        <f t="shared" si="3"/>
        <v>49.699999999999989</v>
      </c>
      <c r="O22" s="41">
        <f t="shared" si="4"/>
        <v>0.30000000000001137</v>
      </c>
      <c r="P22" s="28">
        <v>71.83</v>
      </c>
    </row>
    <row r="23" spans="1:16" ht="15.75" customHeight="1" x14ac:dyDescent="0.35">
      <c r="A23" s="26">
        <v>44917</v>
      </c>
      <c r="B23" s="9">
        <v>259.68</v>
      </c>
      <c r="C23" s="9">
        <v>189.38</v>
      </c>
      <c r="D23" s="9">
        <v>44.1</v>
      </c>
      <c r="E23" s="9"/>
      <c r="F23" s="9"/>
      <c r="G23" s="9"/>
      <c r="H23" s="9"/>
      <c r="I23" s="9"/>
      <c r="J23" s="9"/>
      <c r="K23" s="9"/>
      <c r="L23" s="9">
        <v>25</v>
      </c>
      <c r="M23" s="31">
        <f t="shared" si="5"/>
        <v>258.48</v>
      </c>
      <c r="N23" s="27">
        <f t="shared" si="3"/>
        <v>26.199999999999989</v>
      </c>
      <c r="O23" s="41">
        <f t="shared" si="4"/>
        <v>-1.1999999999999886</v>
      </c>
      <c r="P23" s="28">
        <v>69.81</v>
      </c>
    </row>
    <row r="24" spans="1:16" ht="15.75" customHeight="1" x14ac:dyDescent="0.35">
      <c r="A24" s="26">
        <v>44918</v>
      </c>
      <c r="B24" s="9">
        <v>477.57</v>
      </c>
      <c r="C24" s="9">
        <v>295.97000000000003</v>
      </c>
      <c r="D24" s="9">
        <v>101.4</v>
      </c>
      <c r="E24" s="9"/>
      <c r="F24" s="9"/>
      <c r="G24" s="9"/>
      <c r="H24" s="9"/>
      <c r="I24" s="9"/>
      <c r="J24" s="9"/>
      <c r="K24" s="9"/>
      <c r="L24" s="9">
        <v>80</v>
      </c>
      <c r="M24" s="31">
        <f t="shared" si="5"/>
        <v>477.37</v>
      </c>
      <c r="N24" s="27">
        <f t="shared" si="3"/>
        <v>80.199999999999989</v>
      </c>
      <c r="O24" s="41">
        <f t="shared" si="4"/>
        <v>-0.19999999999998863</v>
      </c>
      <c r="P24" s="28">
        <v>70.510000000000005</v>
      </c>
    </row>
    <row r="25" spans="1:16" ht="15.75" customHeight="1" x14ac:dyDescent="0.35">
      <c r="A25" s="26">
        <v>44919</v>
      </c>
      <c r="B25" s="9">
        <v>290.77</v>
      </c>
      <c r="C25" s="9">
        <v>232.69</v>
      </c>
      <c r="D25" s="9">
        <v>48.48</v>
      </c>
      <c r="E25" s="9"/>
      <c r="F25" s="9"/>
      <c r="G25" s="9"/>
      <c r="H25" s="9"/>
      <c r="I25" s="9"/>
      <c r="J25" s="9"/>
      <c r="K25" s="9"/>
      <c r="L25" s="9">
        <v>10</v>
      </c>
      <c r="M25" s="31">
        <f t="shared" si="5"/>
        <v>291.17</v>
      </c>
      <c r="N25" s="27">
        <f t="shared" si="3"/>
        <v>9.5999999999999659</v>
      </c>
      <c r="O25" s="41">
        <f t="shared" si="4"/>
        <v>0.40000000000003411</v>
      </c>
      <c r="P25" s="28">
        <v>69.989999999999995</v>
      </c>
    </row>
    <row r="26" spans="1:16" ht="15.75" customHeight="1" x14ac:dyDescent="0.35">
      <c r="A26" s="26">
        <v>44920</v>
      </c>
      <c r="B26" s="9"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31">
        <f t="shared" si="5"/>
        <v>0</v>
      </c>
      <c r="N26" s="27">
        <f t="shared" si="3"/>
        <v>0</v>
      </c>
      <c r="O26" s="41">
        <f t="shared" si="4"/>
        <v>0</v>
      </c>
      <c r="P26" s="28"/>
    </row>
    <row r="27" spans="1:16" ht="15.75" customHeight="1" x14ac:dyDescent="0.35">
      <c r="A27" s="26">
        <v>44921</v>
      </c>
      <c r="B27" s="9">
        <v>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31">
        <f t="shared" si="5"/>
        <v>0</v>
      </c>
      <c r="N27" s="27">
        <f t="shared" si="3"/>
        <v>0</v>
      </c>
      <c r="O27" s="41">
        <f t="shared" si="4"/>
        <v>0</v>
      </c>
      <c r="P27" s="28"/>
    </row>
    <row r="28" spans="1:16" ht="15.75" customHeight="1" x14ac:dyDescent="0.35">
      <c r="A28" s="26">
        <v>44922</v>
      </c>
      <c r="B28" s="9">
        <v>272.89999999999998</v>
      </c>
      <c r="C28" s="9">
        <v>162.19999999999999</v>
      </c>
      <c r="D28" s="9">
        <v>22.7</v>
      </c>
      <c r="E28" s="9">
        <f>9.4+1.6</f>
        <v>11</v>
      </c>
      <c r="F28" s="9"/>
      <c r="G28" s="9"/>
      <c r="H28" s="9"/>
      <c r="I28" s="9"/>
      <c r="J28" s="9"/>
      <c r="K28" s="9"/>
      <c r="L28" s="9">
        <v>80</v>
      </c>
      <c r="M28" s="31">
        <f t="shared" si="5"/>
        <v>275.89999999999998</v>
      </c>
      <c r="N28" s="27">
        <f t="shared" si="3"/>
        <v>77</v>
      </c>
      <c r="O28" s="41">
        <f t="shared" si="4"/>
        <v>3</v>
      </c>
      <c r="P28" s="28">
        <v>66.91</v>
      </c>
    </row>
    <row r="29" spans="1:16" ht="15.75" customHeight="1" x14ac:dyDescent="0.35">
      <c r="A29" s="26">
        <v>44923</v>
      </c>
      <c r="B29" s="9">
        <v>428.42</v>
      </c>
      <c r="C29" s="9">
        <v>183.78</v>
      </c>
      <c r="D29" s="9">
        <v>6.8</v>
      </c>
      <c r="E29" s="9"/>
      <c r="F29" s="9"/>
      <c r="G29" s="9"/>
      <c r="H29" s="9">
        <v>37.799999999999997</v>
      </c>
      <c r="I29" s="9"/>
      <c r="J29" s="9"/>
      <c r="K29" s="59">
        <v>196.24</v>
      </c>
      <c r="L29" s="9">
        <v>5</v>
      </c>
      <c r="M29" s="31">
        <f t="shared" si="5"/>
        <v>429.62</v>
      </c>
      <c r="N29" s="27">
        <f t="shared" si="3"/>
        <v>3.8000000000000114</v>
      </c>
      <c r="O29" s="41">
        <f t="shared" si="4"/>
        <v>1.1999999999999886</v>
      </c>
      <c r="P29" s="28">
        <v>65.91</v>
      </c>
    </row>
    <row r="30" spans="1:16" ht="15.75" customHeight="1" x14ac:dyDescent="0.35">
      <c r="A30" s="26">
        <v>44924</v>
      </c>
      <c r="B30" s="9">
        <v>95.28</v>
      </c>
      <c r="C30" s="9">
        <v>39.299999999999997</v>
      </c>
      <c r="D30" s="9">
        <v>21.3</v>
      </c>
      <c r="E30" s="9"/>
      <c r="F30" s="9"/>
      <c r="G30" s="9"/>
      <c r="H30" s="9"/>
      <c r="I30" s="9"/>
      <c r="J30" s="9"/>
      <c r="K30" s="9"/>
      <c r="L30" s="9">
        <v>35</v>
      </c>
      <c r="M30" s="31">
        <f t="shared" si="5"/>
        <v>95.6</v>
      </c>
      <c r="N30" s="27">
        <f t="shared" si="3"/>
        <v>34.680000000000007</v>
      </c>
      <c r="O30" s="41">
        <f t="shared" si="4"/>
        <v>0.31999999999999318</v>
      </c>
      <c r="P30" s="28">
        <v>65.59</v>
      </c>
    </row>
    <row r="31" spans="1:16" ht="15.75" customHeight="1" x14ac:dyDescent="0.35">
      <c r="A31" s="26">
        <v>44925</v>
      </c>
      <c r="B31" s="9">
        <v>483.37</v>
      </c>
      <c r="C31" s="9">
        <v>286.67</v>
      </c>
      <c r="D31" s="9">
        <v>46.64</v>
      </c>
      <c r="E31" s="9"/>
      <c r="F31" s="9"/>
      <c r="G31" s="9"/>
      <c r="H31" s="9">
        <v>18.899999999999999</v>
      </c>
      <c r="I31" s="9"/>
      <c r="J31" s="9"/>
      <c r="K31" s="9"/>
      <c r="L31" s="9">
        <v>135</v>
      </c>
      <c r="M31" s="31">
        <f t="shared" si="5"/>
        <v>487.21</v>
      </c>
      <c r="N31" s="27">
        <f t="shared" si="3"/>
        <v>131.16000000000003</v>
      </c>
      <c r="O31" s="41">
        <f t="shared" si="4"/>
        <v>3.839999999999975</v>
      </c>
      <c r="P31" s="28">
        <v>66.75</v>
      </c>
    </row>
    <row r="32" spans="1:16" ht="15.75" customHeight="1" x14ac:dyDescent="0.35">
      <c r="A32" s="26">
        <v>44926</v>
      </c>
      <c r="B32" s="9">
        <v>370.5</v>
      </c>
      <c r="C32" s="9">
        <v>307.06</v>
      </c>
      <c r="D32" s="9">
        <v>0</v>
      </c>
      <c r="E32" s="9"/>
      <c r="F32" s="9"/>
      <c r="G32" s="9"/>
      <c r="H32" s="9"/>
      <c r="I32" s="9"/>
      <c r="J32" s="9"/>
      <c r="K32" s="9"/>
      <c r="L32" s="9">
        <v>65</v>
      </c>
      <c r="M32" s="31">
        <f t="shared" si="5"/>
        <v>372.06</v>
      </c>
      <c r="N32" s="27">
        <f t="shared" si="3"/>
        <v>63.44</v>
      </c>
      <c r="O32" s="41">
        <f t="shared" si="4"/>
        <v>1.5600000000000023</v>
      </c>
      <c r="P32" s="33"/>
    </row>
    <row r="33" spans="1:18" ht="15.75" customHeight="1" x14ac:dyDescent="0.35">
      <c r="A33" s="26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31">
        <f t="shared" si="5"/>
        <v>0</v>
      </c>
      <c r="N33" s="27">
        <f t="shared" si="3"/>
        <v>0</v>
      </c>
      <c r="O33" s="41">
        <f t="shared" si="4"/>
        <v>0</v>
      </c>
      <c r="P33" s="47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4590.84</v>
      </c>
      <c r="N34" s="72">
        <f>M34-O34</f>
        <v>4572.95</v>
      </c>
      <c r="O34" s="49">
        <f>SUM(O2:O33)</f>
        <v>17.890000000000029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4E54-0213-470C-A494-948774F17A37}">
  <dimension ref="A1:R1000"/>
  <sheetViews>
    <sheetView workbookViewId="0">
      <pane ySplit="1" topLeftCell="A30" activePane="bottomLeft" state="frozen"/>
      <selection pane="bottomLeft" activeCell="M33" sqref="M33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45261</v>
      </c>
      <c r="B2" s="9">
        <v>429.14</v>
      </c>
      <c r="C2" s="9">
        <v>351.14</v>
      </c>
      <c r="D2" s="9">
        <v>15.4</v>
      </c>
      <c r="E2" s="9"/>
      <c r="F2" s="9"/>
      <c r="G2" s="9"/>
      <c r="H2" s="9"/>
      <c r="I2" s="9"/>
      <c r="J2" s="9"/>
      <c r="K2" s="9"/>
      <c r="L2" s="9">
        <v>60</v>
      </c>
      <c r="M2" s="31">
        <f t="shared" ref="M2:M32" si="0">C2+D2+E2+F2+G2+H2+I2+J2+L2+K2</f>
        <v>426.53999999999996</v>
      </c>
      <c r="N2" s="27">
        <f t="shared" ref="N2:N32" si="1">L2-O2</f>
        <v>62.600000000000023</v>
      </c>
      <c r="O2" s="32">
        <f t="shared" ref="O2:O32" si="2">M2-B2-F2</f>
        <v>-2.6000000000000227</v>
      </c>
      <c r="P2" s="33"/>
    </row>
    <row r="3" spans="1:18" ht="15.75" customHeight="1" x14ac:dyDescent="0.35">
      <c r="A3" s="26">
        <v>45262</v>
      </c>
      <c r="B3" s="9">
        <v>750.62</v>
      </c>
      <c r="C3" s="9">
        <v>445.8</v>
      </c>
      <c r="D3" s="9">
        <v>120.64</v>
      </c>
      <c r="E3" s="9"/>
      <c r="F3" s="9"/>
      <c r="G3" s="9"/>
      <c r="H3" s="9">
        <v>32.9</v>
      </c>
      <c r="I3" s="9"/>
      <c r="J3" s="9"/>
      <c r="K3" s="9"/>
      <c r="L3" s="9">
        <v>160</v>
      </c>
      <c r="M3" s="31">
        <f t="shared" si="0"/>
        <v>759.34</v>
      </c>
      <c r="N3" s="27">
        <f t="shared" si="1"/>
        <v>151.27999999999997</v>
      </c>
      <c r="O3" s="70">
        <f t="shared" si="2"/>
        <v>8.7200000000000273</v>
      </c>
      <c r="P3" s="28"/>
      <c r="Q3" s="56"/>
    </row>
    <row r="4" spans="1:18" ht="15.75" customHeight="1" x14ac:dyDescent="0.35">
      <c r="A4" s="26">
        <v>45263</v>
      </c>
      <c r="B4" s="9">
        <v>261.72000000000003</v>
      </c>
      <c r="C4" s="9">
        <v>198.02</v>
      </c>
      <c r="D4" s="9">
        <v>21.6</v>
      </c>
      <c r="E4" s="9"/>
      <c r="F4" s="9"/>
      <c r="G4" s="9"/>
      <c r="H4" s="9"/>
      <c r="I4" s="9"/>
      <c r="J4" s="9"/>
      <c r="K4" s="9"/>
      <c r="L4" s="9">
        <v>40</v>
      </c>
      <c r="M4" s="31">
        <f t="shared" si="0"/>
        <v>259.62</v>
      </c>
      <c r="N4" s="27">
        <f t="shared" si="1"/>
        <v>42.100000000000023</v>
      </c>
      <c r="O4" s="41">
        <f t="shared" si="2"/>
        <v>-2.1000000000000227</v>
      </c>
      <c r="P4" s="28"/>
    </row>
    <row r="5" spans="1:18" ht="15.75" customHeight="1" x14ac:dyDescent="0.35">
      <c r="A5" s="26">
        <v>45264</v>
      </c>
      <c r="B5" s="9">
        <v>174.42</v>
      </c>
      <c r="C5" s="9">
        <v>80.599999999999994</v>
      </c>
      <c r="D5" s="9">
        <v>52.22</v>
      </c>
      <c r="E5" s="9"/>
      <c r="F5" s="9"/>
      <c r="G5" s="9"/>
      <c r="H5" s="9"/>
      <c r="I5" s="9"/>
      <c r="J5" s="9"/>
      <c r="K5" s="9"/>
      <c r="L5" s="9">
        <v>40</v>
      </c>
      <c r="M5" s="31">
        <f t="shared" si="0"/>
        <v>172.82</v>
      </c>
      <c r="N5" s="27">
        <f t="shared" si="1"/>
        <v>41.599999999999994</v>
      </c>
      <c r="O5" s="41">
        <f t="shared" si="2"/>
        <v>-1.5999999999999943</v>
      </c>
      <c r="P5" s="28"/>
    </row>
    <row r="6" spans="1:18" ht="15.75" customHeight="1" x14ac:dyDescent="0.35">
      <c r="A6" s="26">
        <v>45265</v>
      </c>
      <c r="B6" s="9">
        <v>248.74</v>
      </c>
      <c r="C6" s="9">
        <v>48.54</v>
      </c>
      <c r="D6" s="83">
        <v>13.4</v>
      </c>
      <c r="E6" s="9"/>
      <c r="F6" s="9"/>
      <c r="G6" s="9"/>
      <c r="H6" s="9">
        <v>18.899999999999999</v>
      </c>
      <c r="I6" s="9"/>
      <c r="J6" s="9"/>
      <c r="K6" s="73">
        <v>131.19999999999999</v>
      </c>
      <c r="L6" s="9">
        <v>35</v>
      </c>
      <c r="M6" s="31">
        <f t="shared" ref="M6:M13" si="3">C6+D6+E6+F6+G6+H6+I6+J6+L6+K6</f>
        <v>247.04</v>
      </c>
      <c r="N6" s="27">
        <f t="shared" ref="N6:N13" si="4">L6-O6</f>
        <v>36.700000000000017</v>
      </c>
      <c r="O6" s="41">
        <f t="shared" ref="O6:O13" si="5">M6-B6-F6</f>
        <v>-1.7000000000000171</v>
      </c>
      <c r="P6" s="28"/>
    </row>
    <row r="7" spans="1:18" ht="15.75" customHeight="1" x14ac:dyDescent="0.35">
      <c r="A7" s="26">
        <v>45266</v>
      </c>
      <c r="B7" s="9">
        <v>295.35000000000002</v>
      </c>
      <c r="C7" s="9">
        <v>143.78</v>
      </c>
      <c r="D7" s="9">
        <v>10.6</v>
      </c>
      <c r="E7" s="9"/>
      <c r="F7" s="9"/>
      <c r="G7" s="9"/>
      <c r="H7" s="9"/>
      <c r="I7" s="9"/>
      <c r="J7" s="9"/>
      <c r="K7" s="73">
        <v>86.97</v>
      </c>
      <c r="L7" s="9">
        <v>50</v>
      </c>
      <c r="M7" s="31">
        <f t="shared" si="3"/>
        <v>291.35000000000002</v>
      </c>
      <c r="N7" s="27">
        <f t="shared" si="4"/>
        <v>54</v>
      </c>
      <c r="O7" s="41">
        <f t="shared" si="5"/>
        <v>-4</v>
      </c>
      <c r="P7" s="28"/>
    </row>
    <row r="8" spans="1:18" ht="15.75" customHeight="1" x14ac:dyDescent="0.35">
      <c r="A8" s="26">
        <v>45267</v>
      </c>
      <c r="B8" s="9">
        <v>218.19</v>
      </c>
      <c r="C8" s="9">
        <v>195.39</v>
      </c>
      <c r="D8" s="9">
        <v>2.9</v>
      </c>
      <c r="E8" s="9"/>
      <c r="F8" s="9"/>
      <c r="G8" s="9"/>
      <c r="H8" s="9">
        <v>19.899999999999999</v>
      </c>
      <c r="I8" s="9"/>
      <c r="J8" s="9"/>
      <c r="K8" s="9"/>
      <c r="L8" s="9">
        <v>0</v>
      </c>
      <c r="M8" s="31">
        <f t="shared" si="3"/>
        <v>218.19</v>
      </c>
      <c r="N8" s="27">
        <f t="shared" si="4"/>
        <v>0</v>
      </c>
      <c r="O8" s="41">
        <f t="shared" si="5"/>
        <v>0</v>
      </c>
      <c r="P8" s="28"/>
    </row>
    <row r="9" spans="1:18" ht="15.75" customHeight="1" x14ac:dyDescent="0.35">
      <c r="A9" s="26">
        <v>45268</v>
      </c>
      <c r="B9" s="9">
        <v>646.61</v>
      </c>
      <c r="C9" s="9">
        <v>323.72000000000003</v>
      </c>
      <c r="D9" s="9">
        <v>49.8</v>
      </c>
      <c r="E9" s="9"/>
      <c r="F9" s="9"/>
      <c r="G9" s="9"/>
      <c r="H9" s="9">
        <v>39.9</v>
      </c>
      <c r="I9" s="9"/>
      <c r="J9" s="9"/>
      <c r="K9" s="73">
        <v>73.900000000000006</v>
      </c>
      <c r="L9" s="9">
        <v>160</v>
      </c>
      <c r="M9" s="31">
        <f t="shared" si="3"/>
        <v>647.32000000000005</v>
      </c>
      <c r="N9" s="27">
        <f t="shared" si="4"/>
        <v>159.28999999999996</v>
      </c>
      <c r="O9" s="41">
        <f t="shared" si="5"/>
        <v>0.71000000000003638</v>
      </c>
      <c r="P9" s="28"/>
    </row>
    <row r="10" spans="1:18" ht="15.75" customHeight="1" x14ac:dyDescent="0.35">
      <c r="A10" s="26">
        <v>45269</v>
      </c>
      <c r="B10" s="9">
        <v>590.54</v>
      </c>
      <c r="C10" s="9">
        <v>96.8</v>
      </c>
      <c r="D10" s="9">
        <v>257.16000000000003</v>
      </c>
      <c r="E10" s="9"/>
      <c r="F10" s="9"/>
      <c r="G10" s="9"/>
      <c r="H10" s="9">
        <v>32.9</v>
      </c>
      <c r="I10" s="9"/>
      <c r="J10" s="9"/>
      <c r="K10" s="9"/>
      <c r="L10" s="9">
        <v>205</v>
      </c>
      <c r="M10" s="31">
        <f t="shared" si="3"/>
        <v>591.86</v>
      </c>
      <c r="N10" s="27">
        <f t="shared" si="4"/>
        <v>203.67999999999995</v>
      </c>
      <c r="O10" s="41">
        <f t="shared" si="5"/>
        <v>1.32000000000005</v>
      </c>
      <c r="P10" s="28"/>
    </row>
    <row r="11" spans="1:18" ht="15.75" customHeight="1" x14ac:dyDescent="0.35">
      <c r="A11" s="26">
        <v>45270</v>
      </c>
      <c r="B11" s="9">
        <v>259.52</v>
      </c>
      <c r="C11" s="9">
        <v>195.3</v>
      </c>
      <c r="D11" s="9">
        <v>15.62</v>
      </c>
      <c r="E11" s="9"/>
      <c r="F11" s="9"/>
      <c r="G11" s="9"/>
      <c r="H11" s="9"/>
      <c r="I11" s="9"/>
      <c r="J11" s="9"/>
      <c r="K11" s="9"/>
      <c r="L11" s="9">
        <v>50</v>
      </c>
      <c r="M11" s="31">
        <f t="shared" si="3"/>
        <v>260.92</v>
      </c>
      <c r="N11" s="27">
        <f t="shared" si="4"/>
        <v>48.599999999999966</v>
      </c>
      <c r="O11" s="41">
        <f t="shared" si="5"/>
        <v>1.4000000000000341</v>
      </c>
      <c r="P11" s="28"/>
    </row>
    <row r="12" spans="1:18" ht="15.75" customHeight="1" x14ac:dyDescent="0.35">
      <c r="A12" s="26">
        <v>45271</v>
      </c>
      <c r="B12" s="9">
        <v>158.19999999999999</v>
      </c>
      <c r="C12" s="9">
        <v>89.38</v>
      </c>
      <c r="D12" s="9">
        <v>19.22</v>
      </c>
      <c r="E12" s="9"/>
      <c r="F12" s="9"/>
      <c r="G12" s="9"/>
      <c r="H12" s="9"/>
      <c r="I12" s="9"/>
      <c r="J12" s="9"/>
      <c r="K12" s="9"/>
      <c r="L12" s="9">
        <v>50</v>
      </c>
      <c r="M12" s="31">
        <f t="shared" si="3"/>
        <v>158.6</v>
      </c>
      <c r="N12" s="27">
        <f t="shared" si="4"/>
        <v>49.599999999999994</v>
      </c>
      <c r="O12" s="41">
        <f t="shared" si="5"/>
        <v>0.40000000000000568</v>
      </c>
      <c r="P12" s="28"/>
      <c r="Q12" s="56"/>
    </row>
    <row r="13" spans="1:18" ht="15.75" customHeight="1" x14ac:dyDescent="0.35">
      <c r="A13" s="26">
        <v>45272</v>
      </c>
      <c r="B13" s="9">
        <v>211.43</v>
      </c>
      <c r="C13" s="9">
        <v>101.56</v>
      </c>
      <c r="D13" s="9">
        <v>60.15</v>
      </c>
      <c r="E13" s="9"/>
      <c r="F13" s="9"/>
      <c r="G13" s="9"/>
      <c r="H13" s="9"/>
      <c r="I13" s="9"/>
      <c r="J13" s="9"/>
      <c r="K13" s="73">
        <v>24.06</v>
      </c>
      <c r="L13" s="9">
        <v>25</v>
      </c>
      <c r="M13" s="31">
        <f t="shared" si="3"/>
        <v>210.77</v>
      </c>
      <c r="N13" s="27">
        <f t="shared" si="4"/>
        <v>25.659999999999997</v>
      </c>
      <c r="O13" s="41">
        <f t="shared" si="5"/>
        <v>-0.65999999999999659</v>
      </c>
      <c r="P13" s="28"/>
    </row>
    <row r="14" spans="1:18" ht="15.75" customHeight="1" x14ac:dyDescent="0.35">
      <c r="A14" s="26">
        <v>45273</v>
      </c>
      <c r="B14" s="9">
        <v>206.46</v>
      </c>
      <c r="C14" s="9">
        <v>107.36</v>
      </c>
      <c r="D14" s="9">
        <v>0</v>
      </c>
      <c r="E14" s="9"/>
      <c r="F14" s="9"/>
      <c r="G14" s="9"/>
      <c r="H14" s="9">
        <v>52.8</v>
      </c>
      <c r="I14" s="9"/>
      <c r="J14" s="9"/>
      <c r="K14" s="9"/>
      <c r="L14" s="9">
        <v>50</v>
      </c>
      <c r="M14" s="31">
        <f t="shared" si="0"/>
        <v>210.16</v>
      </c>
      <c r="N14" s="27">
        <f t="shared" si="1"/>
        <v>46.300000000000011</v>
      </c>
      <c r="O14" s="41">
        <f t="shared" si="2"/>
        <v>3.6999999999999886</v>
      </c>
      <c r="P14" s="28"/>
    </row>
    <row r="15" spans="1:18" ht="15.75" customHeight="1" x14ac:dyDescent="0.35">
      <c r="A15" s="26">
        <v>45274</v>
      </c>
      <c r="B15" s="9">
        <v>373.8</v>
      </c>
      <c r="C15" s="9">
        <v>269.5</v>
      </c>
      <c r="D15" s="9">
        <v>36.1</v>
      </c>
      <c r="E15" s="9"/>
      <c r="F15" s="9"/>
      <c r="G15" s="9"/>
      <c r="H15" s="9"/>
      <c r="I15" s="9"/>
      <c r="J15" s="9"/>
      <c r="K15" s="9"/>
      <c r="L15" s="9">
        <v>70</v>
      </c>
      <c r="M15" s="31">
        <f t="shared" si="0"/>
        <v>375.6</v>
      </c>
      <c r="N15" s="27">
        <f t="shared" si="1"/>
        <v>68.199999999999989</v>
      </c>
      <c r="O15" s="41">
        <f t="shared" si="2"/>
        <v>1.8000000000000114</v>
      </c>
      <c r="P15" s="28"/>
    </row>
    <row r="16" spans="1:18" ht="15.75" customHeight="1" x14ac:dyDescent="0.35">
      <c r="A16" s="26">
        <v>45275</v>
      </c>
      <c r="B16" s="9">
        <v>705.54</v>
      </c>
      <c r="C16" s="9">
        <v>342.18</v>
      </c>
      <c r="D16" s="9">
        <v>2.3199999999999998</v>
      </c>
      <c r="E16" s="9"/>
      <c r="F16" s="9"/>
      <c r="G16" s="9"/>
      <c r="H16" s="9"/>
      <c r="I16" s="9"/>
      <c r="J16" s="9"/>
      <c r="K16" s="73">
        <v>209.04</v>
      </c>
      <c r="L16" s="9">
        <v>150</v>
      </c>
      <c r="M16" s="31">
        <f t="shared" si="0"/>
        <v>703.54</v>
      </c>
      <c r="N16" s="27">
        <f t="shared" si="1"/>
        <v>152</v>
      </c>
      <c r="O16" s="41">
        <f t="shared" si="2"/>
        <v>-2</v>
      </c>
      <c r="P16" s="28"/>
    </row>
    <row r="17" spans="1:16" ht="15.75" customHeight="1" x14ac:dyDescent="0.35">
      <c r="A17" s="26">
        <v>45276</v>
      </c>
      <c r="B17" s="9">
        <v>1018.93</v>
      </c>
      <c r="C17" s="9">
        <v>737.23</v>
      </c>
      <c r="D17" s="9">
        <v>101</v>
      </c>
      <c r="E17" s="9"/>
      <c r="F17" s="9"/>
      <c r="G17" s="9"/>
      <c r="H17" s="9">
        <v>18.899999999999999</v>
      </c>
      <c r="I17" s="9"/>
      <c r="J17" s="9"/>
      <c r="K17" s="9"/>
      <c r="L17" s="9">
        <v>150</v>
      </c>
      <c r="M17" s="31">
        <f t="shared" si="0"/>
        <v>1007.13</v>
      </c>
      <c r="N17" s="27">
        <f t="shared" si="1"/>
        <v>161.79999999999995</v>
      </c>
      <c r="O17" s="41">
        <f t="shared" si="2"/>
        <v>-11.799999999999955</v>
      </c>
      <c r="P17" s="28"/>
    </row>
    <row r="18" spans="1:16" ht="15.75" customHeight="1" x14ac:dyDescent="0.35">
      <c r="A18" s="26">
        <v>45277</v>
      </c>
      <c r="B18" s="9">
        <v>801.34</v>
      </c>
      <c r="C18" s="9">
        <v>608.34</v>
      </c>
      <c r="D18" s="9">
        <v>30.4</v>
      </c>
      <c r="E18" s="9"/>
      <c r="F18" s="9"/>
      <c r="G18" s="9"/>
      <c r="H18" s="9">
        <v>51.8</v>
      </c>
      <c r="I18" s="9"/>
      <c r="J18" s="9"/>
      <c r="K18" s="9"/>
      <c r="L18" s="9">
        <v>110</v>
      </c>
      <c r="M18" s="31">
        <f t="shared" si="0"/>
        <v>800.54</v>
      </c>
      <c r="N18" s="27">
        <f t="shared" si="1"/>
        <v>110.80000000000007</v>
      </c>
      <c r="O18" s="41">
        <f t="shared" si="2"/>
        <v>-0.80000000000006821</v>
      </c>
      <c r="P18" s="28"/>
    </row>
    <row r="19" spans="1:16" ht="15.75" customHeight="1" x14ac:dyDescent="0.35">
      <c r="A19" s="26">
        <v>45278</v>
      </c>
      <c r="B19" s="9">
        <v>243.08</v>
      </c>
      <c r="C19" s="9">
        <v>165.18</v>
      </c>
      <c r="D19" s="9">
        <v>0</v>
      </c>
      <c r="E19" s="9"/>
      <c r="F19" s="9"/>
      <c r="G19" s="9"/>
      <c r="H19" s="9">
        <v>33.9</v>
      </c>
      <c r="I19" s="9"/>
      <c r="J19" s="9"/>
      <c r="K19" s="9"/>
      <c r="L19" s="9">
        <v>45</v>
      </c>
      <c r="M19" s="31">
        <f t="shared" si="0"/>
        <v>244.08</v>
      </c>
      <c r="N19" s="27">
        <f t="shared" si="1"/>
        <v>44</v>
      </c>
      <c r="O19" s="41">
        <f t="shared" si="2"/>
        <v>1</v>
      </c>
      <c r="P19" s="28"/>
    </row>
    <row r="20" spans="1:16" ht="15.75" customHeight="1" x14ac:dyDescent="0.35">
      <c r="A20" s="26">
        <v>45279</v>
      </c>
      <c r="B20" s="9">
        <v>173.8</v>
      </c>
      <c r="C20" s="9">
        <v>145.19999999999999</v>
      </c>
      <c r="D20" s="9">
        <v>4.8</v>
      </c>
      <c r="E20" s="9"/>
      <c r="F20" s="9"/>
      <c r="G20" s="9"/>
      <c r="H20" s="9"/>
      <c r="I20" s="9"/>
      <c r="J20" s="9"/>
      <c r="K20" s="9"/>
      <c r="L20" s="9">
        <v>20</v>
      </c>
      <c r="M20" s="31">
        <f t="shared" si="0"/>
        <v>170</v>
      </c>
      <c r="N20" s="27">
        <f t="shared" si="1"/>
        <v>23.800000000000011</v>
      </c>
      <c r="O20" s="41">
        <f t="shared" si="2"/>
        <v>-3.8000000000000114</v>
      </c>
      <c r="P20" s="28"/>
    </row>
    <row r="21" spans="1:16" ht="15.75" customHeight="1" x14ac:dyDescent="0.35">
      <c r="A21" s="26">
        <v>45280</v>
      </c>
      <c r="B21" s="9">
        <v>178.4</v>
      </c>
      <c r="C21" s="9">
        <v>102.8</v>
      </c>
      <c r="D21" s="9">
        <v>6.3</v>
      </c>
      <c r="E21" s="9"/>
      <c r="F21" s="9"/>
      <c r="G21" s="9"/>
      <c r="H21" s="9"/>
      <c r="I21" s="9"/>
      <c r="J21" s="9"/>
      <c r="K21" s="9"/>
      <c r="L21" s="9">
        <v>70</v>
      </c>
      <c r="M21" s="31">
        <f t="shared" si="0"/>
        <v>179.1</v>
      </c>
      <c r="N21" s="27">
        <f t="shared" si="1"/>
        <v>69.300000000000011</v>
      </c>
      <c r="O21" s="41">
        <f t="shared" si="2"/>
        <v>0.69999999999998863</v>
      </c>
      <c r="P21" s="28"/>
    </row>
    <row r="22" spans="1:16" ht="15.75" customHeight="1" x14ac:dyDescent="0.35">
      <c r="A22" s="26">
        <v>45281</v>
      </c>
      <c r="B22" s="9">
        <v>400.38</v>
      </c>
      <c r="C22" s="9">
        <v>292.48</v>
      </c>
      <c r="D22" s="9">
        <v>18.7</v>
      </c>
      <c r="E22" s="9"/>
      <c r="F22" s="9"/>
      <c r="G22" s="9"/>
      <c r="H22" s="9"/>
      <c r="I22" s="9"/>
      <c r="J22" s="9"/>
      <c r="K22" s="9"/>
      <c r="L22" s="9">
        <v>90</v>
      </c>
      <c r="M22" s="31">
        <f t="shared" si="0"/>
        <v>401.18</v>
      </c>
      <c r="N22" s="27">
        <f t="shared" si="1"/>
        <v>89.199999999999989</v>
      </c>
      <c r="O22" s="41">
        <f t="shared" si="2"/>
        <v>0.80000000000001137</v>
      </c>
      <c r="P22" s="28"/>
    </row>
    <row r="23" spans="1:16" ht="15.75" customHeight="1" x14ac:dyDescent="0.35">
      <c r="A23" s="26">
        <v>45282</v>
      </c>
      <c r="B23" s="9">
        <v>592.47</v>
      </c>
      <c r="C23" s="9">
        <v>374.6</v>
      </c>
      <c r="D23" s="9">
        <v>22</v>
      </c>
      <c r="E23" s="9"/>
      <c r="F23" s="9"/>
      <c r="G23" s="9"/>
      <c r="H23" s="9">
        <v>51.8</v>
      </c>
      <c r="I23" s="9"/>
      <c r="J23" s="9"/>
      <c r="K23" s="73">
        <v>78.47</v>
      </c>
      <c r="L23" s="9">
        <v>70</v>
      </c>
      <c r="M23" s="31">
        <f t="shared" si="0"/>
        <v>596.87000000000012</v>
      </c>
      <c r="N23" s="27">
        <f t="shared" si="1"/>
        <v>65.599999999999909</v>
      </c>
      <c r="O23" s="41">
        <f t="shared" si="2"/>
        <v>4.4000000000000909</v>
      </c>
      <c r="P23" s="28"/>
    </row>
    <row r="24" spans="1:16" ht="15.75" customHeight="1" x14ac:dyDescent="0.35">
      <c r="A24" s="26">
        <v>45283</v>
      </c>
      <c r="B24" s="9">
        <v>719.5</v>
      </c>
      <c r="C24" s="9">
        <v>452.04</v>
      </c>
      <c r="D24" s="9">
        <v>97.02</v>
      </c>
      <c r="E24" s="9"/>
      <c r="F24" s="9"/>
      <c r="G24" s="9"/>
      <c r="H24" s="9">
        <v>51.8</v>
      </c>
      <c r="I24" s="9"/>
      <c r="J24" s="9"/>
      <c r="K24" s="9"/>
      <c r="L24" s="9">
        <v>125</v>
      </c>
      <c r="M24" s="31">
        <f t="shared" si="0"/>
        <v>725.86</v>
      </c>
      <c r="N24" s="27">
        <f t="shared" si="1"/>
        <v>118.63999999999999</v>
      </c>
      <c r="O24" s="41">
        <f t="shared" si="2"/>
        <v>6.3600000000000136</v>
      </c>
      <c r="P24" s="28"/>
    </row>
    <row r="25" spans="1:16" ht="15.75" customHeight="1" x14ac:dyDescent="0.35">
      <c r="A25" s="26">
        <v>45284</v>
      </c>
      <c r="B25" s="9">
        <v>119.68</v>
      </c>
      <c r="C25" s="9">
        <v>106.94</v>
      </c>
      <c r="D25" s="9">
        <v>11.74</v>
      </c>
      <c r="E25" s="9"/>
      <c r="F25" s="9"/>
      <c r="G25" s="9"/>
      <c r="H25" s="9"/>
      <c r="I25" s="9"/>
      <c r="J25" s="9"/>
      <c r="K25" s="9"/>
      <c r="L25" s="9">
        <v>0</v>
      </c>
      <c r="M25" s="31">
        <f t="shared" si="0"/>
        <v>118.67999999999999</v>
      </c>
      <c r="N25" s="27">
        <f t="shared" si="1"/>
        <v>1.0000000000000142</v>
      </c>
      <c r="O25" s="41">
        <f t="shared" si="2"/>
        <v>-1.0000000000000142</v>
      </c>
      <c r="P25" s="28"/>
    </row>
    <row r="26" spans="1:16" ht="15.75" customHeight="1" x14ac:dyDescent="0.35">
      <c r="A26" s="26">
        <v>45285</v>
      </c>
      <c r="B26" s="9"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31">
        <f t="shared" si="0"/>
        <v>0</v>
      </c>
      <c r="N26" s="27">
        <f t="shared" si="1"/>
        <v>0</v>
      </c>
      <c r="O26" s="41">
        <f t="shared" si="2"/>
        <v>0</v>
      </c>
      <c r="P26" s="28"/>
    </row>
    <row r="27" spans="1:16" ht="15.75" customHeight="1" x14ac:dyDescent="0.35">
      <c r="A27" s="26">
        <v>45286</v>
      </c>
      <c r="B27" s="9">
        <v>324.33999999999997</v>
      </c>
      <c r="C27" s="9">
        <v>221.94</v>
      </c>
      <c r="D27" s="9">
        <v>15.4</v>
      </c>
      <c r="E27" s="9"/>
      <c r="F27" s="9"/>
      <c r="G27" s="9"/>
      <c r="H27" s="9">
        <v>18.899999999999999</v>
      </c>
      <c r="I27" s="9"/>
      <c r="J27" s="9"/>
      <c r="K27" s="9"/>
      <c r="L27" s="9">
        <v>90</v>
      </c>
      <c r="M27" s="31">
        <f t="shared" si="0"/>
        <v>346.24</v>
      </c>
      <c r="N27" s="27">
        <f t="shared" si="1"/>
        <v>68.099999999999966</v>
      </c>
      <c r="O27" s="41">
        <f t="shared" si="2"/>
        <v>21.900000000000034</v>
      </c>
      <c r="P27" s="28"/>
    </row>
    <row r="28" spans="1:16" ht="15.75" customHeight="1" x14ac:dyDescent="0.35">
      <c r="A28" s="26">
        <v>45287</v>
      </c>
      <c r="B28" s="9">
        <v>305.3</v>
      </c>
      <c r="C28" s="9">
        <v>170.8</v>
      </c>
      <c r="D28" s="9">
        <v>15.4</v>
      </c>
      <c r="E28" s="9"/>
      <c r="F28" s="9"/>
      <c r="G28" s="9">
        <v>37.799999999999997</v>
      </c>
      <c r="H28" s="9">
        <v>39.9</v>
      </c>
      <c r="I28" s="9"/>
      <c r="J28" s="9"/>
      <c r="K28" s="9"/>
      <c r="L28" s="9">
        <v>40</v>
      </c>
      <c r="M28" s="31">
        <f t="shared" si="0"/>
        <v>303.89999999999998</v>
      </c>
      <c r="N28" s="27">
        <f t="shared" si="1"/>
        <v>41.400000000000034</v>
      </c>
      <c r="O28" s="41">
        <f t="shared" si="2"/>
        <v>-1.4000000000000341</v>
      </c>
      <c r="P28" s="28"/>
    </row>
    <row r="29" spans="1:16" ht="15.75" customHeight="1" x14ac:dyDescent="0.35">
      <c r="A29" s="26">
        <v>45288</v>
      </c>
      <c r="B29" s="9">
        <v>319.37</v>
      </c>
      <c r="C29" s="9">
        <v>113.6</v>
      </c>
      <c r="D29" s="9">
        <v>79.72</v>
      </c>
      <c r="E29" s="9"/>
      <c r="F29" s="9"/>
      <c r="G29" s="9"/>
      <c r="H29" s="9"/>
      <c r="I29" s="9"/>
      <c r="J29" s="9"/>
      <c r="K29" s="73">
        <v>92.55</v>
      </c>
      <c r="L29" s="9">
        <v>35</v>
      </c>
      <c r="M29" s="31">
        <f>C29+D29+E29+F29+G29+H29+I29+J29+L29+K29</f>
        <v>320.87</v>
      </c>
      <c r="N29" s="27">
        <f t="shared" si="1"/>
        <v>33.5</v>
      </c>
      <c r="O29" s="41">
        <f t="shared" si="2"/>
        <v>1.5</v>
      </c>
      <c r="P29" s="28"/>
    </row>
    <row r="30" spans="1:16" ht="15.75" customHeight="1" x14ac:dyDescent="0.35">
      <c r="A30" s="26">
        <v>45289</v>
      </c>
      <c r="B30" s="9">
        <v>328.98</v>
      </c>
      <c r="C30" s="9">
        <v>191.44</v>
      </c>
      <c r="D30" s="9">
        <v>19.899999999999999</v>
      </c>
      <c r="E30" s="9"/>
      <c r="F30" s="9"/>
      <c r="G30" s="9"/>
      <c r="H30" s="9"/>
      <c r="I30" s="9"/>
      <c r="J30" s="9"/>
      <c r="K30" s="9"/>
      <c r="L30" s="9">
        <v>155</v>
      </c>
      <c r="M30" s="31">
        <f t="shared" si="0"/>
        <v>366.34000000000003</v>
      </c>
      <c r="N30" s="27">
        <f t="shared" si="1"/>
        <v>117.63999999999999</v>
      </c>
      <c r="O30" s="41">
        <f t="shared" si="2"/>
        <v>37.360000000000014</v>
      </c>
      <c r="P30" s="28"/>
    </row>
    <row r="31" spans="1:16" ht="15.75" customHeight="1" x14ac:dyDescent="0.35">
      <c r="A31" s="26">
        <v>45290</v>
      </c>
      <c r="B31" s="9">
        <v>639.05999999999995</v>
      </c>
      <c r="C31" s="9">
        <f>379.46+69.7+5.8</f>
        <v>454.96</v>
      </c>
      <c r="D31" s="9">
        <v>43</v>
      </c>
      <c r="E31" s="9"/>
      <c r="F31" s="9"/>
      <c r="G31" s="9"/>
      <c r="H31" s="9">
        <v>52.8</v>
      </c>
      <c r="I31" s="9"/>
      <c r="J31" s="9"/>
      <c r="K31" s="9"/>
      <c r="L31" s="9">
        <v>90</v>
      </c>
      <c r="M31" s="31">
        <f t="shared" si="0"/>
        <v>640.76</v>
      </c>
      <c r="N31" s="27">
        <f t="shared" si="1"/>
        <v>88.299999999999955</v>
      </c>
      <c r="O31" s="41">
        <f t="shared" si="2"/>
        <v>1.7000000000000455</v>
      </c>
      <c r="P31" s="28"/>
    </row>
    <row r="32" spans="1:16" ht="15.75" customHeight="1" x14ac:dyDescent="0.35">
      <c r="A32" s="26">
        <v>45291</v>
      </c>
      <c r="B32" s="44">
        <v>468.95</v>
      </c>
      <c r="C32" s="44">
        <v>430.35</v>
      </c>
      <c r="D32" s="44">
        <v>3.8</v>
      </c>
      <c r="E32" s="9"/>
      <c r="F32" s="9"/>
      <c r="G32" s="9"/>
      <c r="H32" s="44"/>
      <c r="I32" s="9"/>
      <c r="J32" s="9"/>
      <c r="K32" s="55"/>
      <c r="L32" s="44">
        <v>45</v>
      </c>
      <c r="M32" s="31">
        <f t="shared" si="0"/>
        <v>479.15000000000003</v>
      </c>
      <c r="N32" s="27">
        <f t="shared" si="1"/>
        <v>34.799999999999955</v>
      </c>
      <c r="O32" s="41">
        <f t="shared" si="2"/>
        <v>10.200000000000045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12234.370000000003</v>
      </c>
      <c r="N33" s="72">
        <f>M33-O33</f>
        <v>12163.860000000002</v>
      </c>
      <c r="O33" s="49">
        <f>SUM(O2:O32)</f>
        <v>70.510000000000261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0"/>
  <sheetViews>
    <sheetView workbookViewId="0">
      <pane ySplit="1" topLeftCell="A34" activePane="bottomLeft" state="frozen"/>
      <selection pane="bottomLeft" activeCell="M34" sqref="M34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44927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31">
        <f t="shared" ref="M2:M33" si="0">C2+D2+E2+F2+G2+H2+I2+J2+L2+K2</f>
        <v>0</v>
      </c>
      <c r="N2" s="27">
        <f t="shared" ref="N2:N33" si="1">L2-O2</f>
        <v>0</v>
      </c>
      <c r="O2" s="32">
        <f t="shared" ref="O2:O33" si="2">M2-B2-F2</f>
        <v>0</v>
      </c>
      <c r="P2" s="33"/>
    </row>
    <row r="3" spans="1:18" ht="15.75" customHeight="1" x14ac:dyDescent="0.35">
      <c r="A3" s="26">
        <v>44928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31">
        <f t="shared" si="0"/>
        <v>0</v>
      </c>
      <c r="N3" s="27">
        <f t="shared" si="1"/>
        <v>0</v>
      </c>
      <c r="O3" s="70">
        <f t="shared" si="2"/>
        <v>0</v>
      </c>
      <c r="P3" s="28">
        <v>0</v>
      </c>
      <c r="Q3" s="56"/>
    </row>
    <row r="4" spans="1:18" ht="15.75" customHeight="1" x14ac:dyDescent="0.35">
      <c r="A4" s="26">
        <v>44929</v>
      </c>
      <c r="B4" s="9">
        <v>319.60000000000002</v>
      </c>
      <c r="C4" s="9">
        <v>180.8</v>
      </c>
      <c r="D4" s="9">
        <v>9.6</v>
      </c>
      <c r="E4" s="9">
        <v>0</v>
      </c>
      <c r="F4" s="9">
        <v>0</v>
      </c>
      <c r="G4" s="9">
        <v>0</v>
      </c>
      <c r="H4" s="9">
        <v>37.799999999999997</v>
      </c>
      <c r="I4" s="9">
        <v>0</v>
      </c>
      <c r="J4" s="9">
        <v>0</v>
      </c>
      <c r="K4" s="9">
        <v>0</v>
      </c>
      <c r="L4" s="9">
        <v>90</v>
      </c>
      <c r="M4" s="31">
        <f t="shared" si="0"/>
        <v>318.2</v>
      </c>
      <c r="N4" s="27">
        <f t="shared" si="1"/>
        <v>91.400000000000034</v>
      </c>
      <c r="O4" s="41">
        <f t="shared" si="2"/>
        <v>-1.4000000000000341</v>
      </c>
      <c r="P4" s="28">
        <v>66.58</v>
      </c>
    </row>
    <row r="5" spans="1:18" ht="15.75" customHeight="1" x14ac:dyDescent="0.35">
      <c r="A5" s="26">
        <v>44930</v>
      </c>
      <c r="B5" s="9">
        <v>257.22000000000003</v>
      </c>
      <c r="C5" s="9">
        <v>193.86</v>
      </c>
      <c r="D5" s="9">
        <v>2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60</v>
      </c>
      <c r="M5" s="31">
        <f t="shared" si="0"/>
        <v>255.86</v>
      </c>
      <c r="N5" s="27">
        <f t="shared" si="1"/>
        <v>61.360000000000014</v>
      </c>
      <c r="O5" s="41">
        <f t="shared" si="2"/>
        <v>-1.3600000000000136</v>
      </c>
      <c r="P5" s="28">
        <v>67.5</v>
      </c>
    </row>
    <row r="6" spans="1:18" ht="15.75" customHeight="1" x14ac:dyDescent="0.35">
      <c r="A6" s="26">
        <v>44931</v>
      </c>
      <c r="B6" s="9">
        <v>255.1</v>
      </c>
      <c r="C6" s="9">
        <v>176.2</v>
      </c>
      <c r="D6" s="9">
        <v>15.9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65</v>
      </c>
      <c r="M6" s="31">
        <f t="shared" si="0"/>
        <v>257.10000000000002</v>
      </c>
      <c r="N6" s="27">
        <f t="shared" si="1"/>
        <v>62.999999999999972</v>
      </c>
      <c r="O6" s="41">
        <f t="shared" si="2"/>
        <v>2.0000000000000284</v>
      </c>
      <c r="P6" s="28">
        <v>64.5</v>
      </c>
    </row>
    <row r="7" spans="1:18" ht="15.75" customHeight="1" x14ac:dyDescent="0.35">
      <c r="A7" s="26">
        <v>44932</v>
      </c>
      <c r="B7" s="9">
        <v>239.65</v>
      </c>
      <c r="C7" s="9">
        <v>124.63</v>
      </c>
      <c r="D7" s="9">
        <v>40.42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75</v>
      </c>
      <c r="M7" s="31">
        <f t="shared" si="0"/>
        <v>240.05</v>
      </c>
      <c r="N7" s="27">
        <f t="shared" si="1"/>
        <v>74.599999999999994</v>
      </c>
      <c r="O7" s="41">
        <f t="shared" si="2"/>
        <v>0.40000000000000568</v>
      </c>
      <c r="P7" s="28">
        <v>77.959999999999994</v>
      </c>
    </row>
    <row r="8" spans="1:18" ht="15.75" customHeight="1" x14ac:dyDescent="0.35">
      <c r="A8" s="26">
        <v>44933</v>
      </c>
      <c r="B8" s="9">
        <v>171.4</v>
      </c>
      <c r="C8" s="9">
        <v>153</v>
      </c>
      <c r="D8" s="9">
        <v>9.4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10</v>
      </c>
      <c r="M8" s="31">
        <f t="shared" si="0"/>
        <v>172.4</v>
      </c>
      <c r="N8" s="27">
        <f t="shared" si="1"/>
        <v>9</v>
      </c>
      <c r="O8" s="41">
        <f t="shared" si="2"/>
        <v>1</v>
      </c>
      <c r="P8" s="28">
        <v>74.98</v>
      </c>
    </row>
    <row r="9" spans="1:18" ht="15.75" customHeight="1" x14ac:dyDescent="0.35">
      <c r="A9" s="26">
        <v>44934</v>
      </c>
      <c r="B9" s="9">
        <v>193.24</v>
      </c>
      <c r="C9" s="9">
        <v>122.44</v>
      </c>
      <c r="D9" s="9">
        <v>8.6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65</v>
      </c>
      <c r="M9" s="31">
        <f t="shared" si="0"/>
        <v>196.04</v>
      </c>
      <c r="N9" s="27">
        <f t="shared" si="1"/>
        <v>62.200000000000017</v>
      </c>
      <c r="O9" s="41">
        <f t="shared" si="2"/>
        <v>2.7999999999999829</v>
      </c>
      <c r="P9" s="28">
        <v>72.38</v>
      </c>
    </row>
    <row r="10" spans="1:18" ht="15.75" customHeight="1" x14ac:dyDescent="0.35">
      <c r="A10" s="26">
        <v>44935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31">
        <f t="shared" si="0"/>
        <v>0</v>
      </c>
      <c r="N10" s="27">
        <f t="shared" si="1"/>
        <v>0</v>
      </c>
      <c r="O10" s="41">
        <f t="shared" si="2"/>
        <v>0</v>
      </c>
      <c r="P10" s="28">
        <v>0</v>
      </c>
    </row>
    <row r="11" spans="1:18" ht="15.75" customHeight="1" x14ac:dyDescent="0.35">
      <c r="A11" s="26">
        <v>44936</v>
      </c>
      <c r="B11" s="9">
        <v>208.47</v>
      </c>
      <c r="C11" s="9">
        <v>125.94</v>
      </c>
      <c r="D11" s="9">
        <v>21</v>
      </c>
      <c r="E11" s="9">
        <v>0</v>
      </c>
      <c r="F11" s="9">
        <v>0</v>
      </c>
      <c r="G11" s="9">
        <v>0</v>
      </c>
      <c r="H11" s="9">
        <v>18.899999999999999</v>
      </c>
      <c r="I11" s="9">
        <v>0</v>
      </c>
      <c r="J11" s="9">
        <v>0</v>
      </c>
      <c r="K11" s="9">
        <v>0</v>
      </c>
      <c r="L11" s="9">
        <v>45</v>
      </c>
      <c r="M11" s="31">
        <f t="shared" si="0"/>
        <v>210.84</v>
      </c>
      <c r="N11" s="27">
        <f t="shared" si="1"/>
        <v>42.629999999999995</v>
      </c>
      <c r="O11" s="41">
        <f t="shared" si="2"/>
        <v>2.3700000000000045</v>
      </c>
      <c r="P11" s="28">
        <v>70.010000000000005</v>
      </c>
    </row>
    <row r="12" spans="1:18" ht="15.75" customHeight="1" x14ac:dyDescent="0.35">
      <c r="A12" s="26">
        <v>44937</v>
      </c>
      <c r="B12" s="9">
        <v>266.16000000000003</v>
      </c>
      <c r="C12" s="9">
        <v>162.91999999999999</v>
      </c>
      <c r="D12" s="9">
        <v>15.84</v>
      </c>
      <c r="E12" s="9">
        <v>0</v>
      </c>
      <c r="F12" s="9">
        <v>0</v>
      </c>
      <c r="G12" s="9">
        <v>18.899999999999999</v>
      </c>
      <c r="H12" s="9">
        <v>0</v>
      </c>
      <c r="I12" s="9">
        <v>0</v>
      </c>
      <c r="J12" s="9">
        <v>0</v>
      </c>
      <c r="K12" s="9">
        <v>0</v>
      </c>
      <c r="L12" s="9">
        <v>70</v>
      </c>
      <c r="M12" s="31">
        <f t="shared" si="0"/>
        <v>267.65999999999997</v>
      </c>
      <c r="N12" s="27">
        <f t="shared" si="1"/>
        <v>68.500000000000057</v>
      </c>
      <c r="O12" s="41">
        <f t="shared" si="2"/>
        <v>1.4999999999999432</v>
      </c>
      <c r="P12" s="28">
        <v>0</v>
      </c>
      <c r="Q12" s="56"/>
    </row>
    <row r="13" spans="1:18" ht="15.75" customHeight="1" x14ac:dyDescent="0.35">
      <c r="A13" s="26">
        <v>44938</v>
      </c>
      <c r="B13" s="9">
        <v>194.96</v>
      </c>
      <c r="C13" s="9">
        <v>52.4</v>
      </c>
      <c r="D13" s="9">
        <v>11.1</v>
      </c>
      <c r="E13" s="9">
        <v>0</v>
      </c>
      <c r="F13" s="9">
        <v>0</v>
      </c>
      <c r="G13" s="9">
        <v>0</v>
      </c>
      <c r="H13" s="9">
        <v>18.899999999999999</v>
      </c>
      <c r="I13" s="9">
        <v>0</v>
      </c>
      <c r="J13" s="9">
        <v>0</v>
      </c>
      <c r="K13" s="58">
        <v>71.36</v>
      </c>
      <c r="L13" s="9">
        <v>45</v>
      </c>
      <c r="M13" s="31">
        <f t="shared" si="0"/>
        <v>198.76</v>
      </c>
      <c r="N13" s="27">
        <f t="shared" si="1"/>
        <v>41.200000000000017</v>
      </c>
      <c r="O13" s="41">
        <f t="shared" si="2"/>
        <v>3.7999999999999829</v>
      </c>
      <c r="P13" s="28">
        <v>64.8</v>
      </c>
    </row>
    <row r="14" spans="1:18" ht="15.75" customHeight="1" x14ac:dyDescent="0.35">
      <c r="A14" s="26">
        <v>44939</v>
      </c>
      <c r="B14" s="9">
        <v>337.74</v>
      </c>
      <c r="C14" s="9">
        <v>192</v>
      </c>
      <c r="D14" s="9">
        <v>60.84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90</v>
      </c>
      <c r="M14" s="31">
        <f t="shared" si="0"/>
        <v>342.84000000000003</v>
      </c>
      <c r="N14" s="27">
        <f t="shared" si="1"/>
        <v>84.899999999999977</v>
      </c>
      <c r="O14" s="41">
        <f t="shared" si="2"/>
        <v>5.1000000000000227</v>
      </c>
      <c r="P14" s="28">
        <v>0</v>
      </c>
    </row>
    <row r="15" spans="1:18" ht="15.75" customHeight="1" x14ac:dyDescent="0.35">
      <c r="A15" s="26">
        <v>44940</v>
      </c>
      <c r="B15" s="9">
        <v>442.72</v>
      </c>
      <c r="C15" s="9">
        <v>265.27999999999997</v>
      </c>
      <c r="D15" s="9">
        <v>29.24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150</v>
      </c>
      <c r="M15" s="31">
        <f t="shared" si="0"/>
        <v>444.52</v>
      </c>
      <c r="N15" s="27">
        <f t="shared" si="1"/>
        <v>148.20000000000005</v>
      </c>
      <c r="O15" s="41">
        <f t="shared" si="2"/>
        <v>1.7999999999999545</v>
      </c>
      <c r="P15" s="28">
        <v>0</v>
      </c>
    </row>
    <row r="16" spans="1:18" ht="15.75" customHeight="1" x14ac:dyDescent="0.35">
      <c r="A16" s="26">
        <v>44941</v>
      </c>
      <c r="B16" s="9">
        <v>545.32000000000005</v>
      </c>
      <c r="C16" s="9">
        <v>308.17</v>
      </c>
      <c r="D16" s="9">
        <v>63.7</v>
      </c>
      <c r="E16" s="9">
        <v>0</v>
      </c>
      <c r="F16" s="9">
        <v>0</v>
      </c>
      <c r="G16" s="9">
        <v>0</v>
      </c>
      <c r="H16" s="9">
        <v>37.799999999999997</v>
      </c>
      <c r="I16" s="9">
        <v>0</v>
      </c>
      <c r="J16" s="9">
        <v>0</v>
      </c>
      <c r="K16" s="9">
        <v>0</v>
      </c>
      <c r="L16" s="9">
        <v>140</v>
      </c>
      <c r="M16" s="31">
        <f t="shared" si="0"/>
        <v>549.67000000000007</v>
      </c>
      <c r="N16" s="27">
        <f t="shared" si="1"/>
        <v>135.64999999999998</v>
      </c>
      <c r="O16" s="41">
        <f t="shared" si="2"/>
        <v>4.3500000000000227</v>
      </c>
      <c r="P16" s="28">
        <v>71.25</v>
      </c>
    </row>
    <row r="17" spans="1:16" ht="15.75" customHeight="1" x14ac:dyDescent="0.35">
      <c r="A17" s="26">
        <v>44942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31">
        <f t="shared" si="0"/>
        <v>0</v>
      </c>
      <c r="N17" s="27">
        <f t="shared" si="1"/>
        <v>0</v>
      </c>
      <c r="O17" s="41">
        <f t="shared" si="2"/>
        <v>0</v>
      </c>
      <c r="P17" s="28">
        <v>0</v>
      </c>
    </row>
    <row r="18" spans="1:16" ht="15.75" customHeight="1" x14ac:dyDescent="0.35">
      <c r="A18" s="26">
        <v>44943</v>
      </c>
      <c r="B18" s="9">
        <v>55.2</v>
      </c>
      <c r="C18" s="9">
        <v>25</v>
      </c>
      <c r="D18" s="9">
        <v>3.2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30</v>
      </c>
      <c r="M18" s="31">
        <f t="shared" si="0"/>
        <v>58.2</v>
      </c>
      <c r="N18" s="27">
        <f t="shared" si="1"/>
        <v>27</v>
      </c>
      <c r="O18" s="41">
        <f t="shared" si="2"/>
        <v>3</v>
      </c>
      <c r="P18" s="28">
        <v>67.19</v>
      </c>
    </row>
    <row r="19" spans="1:16" ht="15.75" customHeight="1" x14ac:dyDescent="0.35">
      <c r="A19" s="26">
        <v>44944</v>
      </c>
      <c r="B19" s="9">
        <v>112.5</v>
      </c>
      <c r="C19" s="9">
        <v>40.299999999999997</v>
      </c>
      <c r="D19" s="9">
        <v>21.5</v>
      </c>
      <c r="E19" s="9">
        <v>0</v>
      </c>
      <c r="F19" s="9">
        <v>0</v>
      </c>
      <c r="G19" s="9">
        <v>0</v>
      </c>
      <c r="H19" s="9">
        <v>18.899999999999999</v>
      </c>
      <c r="I19" s="9">
        <v>0</v>
      </c>
      <c r="J19" s="9">
        <v>0</v>
      </c>
      <c r="K19" s="9">
        <v>0</v>
      </c>
      <c r="L19" s="9">
        <v>35</v>
      </c>
      <c r="M19" s="31">
        <f t="shared" si="0"/>
        <v>115.69999999999999</v>
      </c>
      <c r="N19" s="27">
        <f t="shared" si="1"/>
        <v>31.800000000000011</v>
      </c>
      <c r="O19" s="41">
        <f t="shared" si="2"/>
        <v>3.1999999999999886</v>
      </c>
      <c r="P19" s="28">
        <v>63.1</v>
      </c>
    </row>
    <row r="20" spans="1:16" ht="15.75" customHeight="1" x14ac:dyDescent="0.35">
      <c r="A20" s="26">
        <v>44945</v>
      </c>
      <c r="B20" s="9">
        <v>63.5</v>
      </c>
      <c r="C20" s="9">
        <v>36.9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30</v>
      </c>
      <c r="M20" s="31">
        <f t="shared" si="0"/>
        <v>66.900000000000006</v>
      </c>
      <c r="N20" s="27">
        <f t="shared" si="1"/>
        <v>26.599999999999994</v>
      </c>
      <c r="O20" s="41">
        <f t="shared" si="2"/>
        <v>3.4000000000000057</v>
      </c>
      <c r="P20" s="28">
        <v>59.89</v>
      </c>
    </row>
    <row r="21" spans="1:16" ht="15.75" customHeight="1" x14ac:dyDescent="0.35">
      <c r="A21" s="26">
        <v>44946</v>
      </c>
      <c r="B21" s="9">
        <v>387.34</v>
      </c>
      <c r="C21" s="9">
        <v>255.64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130</v>
      </c>
      <c r="M21" s="31">
        <f t="shared" si="0"/>
        <v>385.64</v>
      </c>
      <c r="N21" s="27">
        <f t="shared" si="1"/>
        <v>131.69999999999999</v>
      </c>
      <c r="O21" s="41">
        <f t="shared" si="2"/>
        <v>-1.6999999999999886</v>
      </c>
      <c r="P21" s="28">
        <v>0</v>
      </c>
    </row>
    <row r="22" spans="1:16" ht="15.75" customHeight="1" x14ac:dyDescent="0.35">
      <c r="A22" s="26">
        <v>44947</v>
      </c>
      <c r="B22" s="9">
        <v>817.35</v>
      </c>
      <c r="C22" s="9">
        <v>532.15</v>
      </c>
      <c r="D22" s="9">
        <v>53.9</v>
      </c>
      <c r="E22" s="9">
        <v>0</v>
      </c>
      <c r="F22" s="9">
        <v>0</v>
      </c>
      <c r="G22" s="9">
        <v>0</v>
      </c>
      <c r="H22" s="9">
        <v>37.799999999999997</v>
      </c>
      <c r="I22" s="9">
        <v>0</v>
      </c>
      <c r="J22" s="9">
        <v>0</v>
      </c>
      <c r="K22" s="9">
        <v>0</v>
      </c>
      <c r="L22" s="9">
        <v>210</v>
      </c>
      <c r="M22" s="31">
        <f t="shared" si="0"/>
        <v>833.84999999999991</v>
      </c>
      <c r="N22" s="27">
        <f t="shared" si="1"/>
        <v>193.50000000000011</v>
      </c>
      <c r="O22" s="41">
        <f t="shared" si="2"/>
        <v>16.499999999999886</v>
      </c>
      <c r="P22" s="28">
        <v>69.63</v>
      </c>
    </row>
    <row r="23" spans="1:16" ht="15.75" customHeight="1" x14ac:dyDescent="0.35">
      <c r="A23" s="26">
        <v>44948</v>
      </c>
      <c r="B23" s="9">
        <v>904.48</v>
      </c>
      <c r="C23" s="9">
        <v>561</v>
      </c>
      <c r="D23" s="9">
        <v>98.38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245</v>
      </c>
      <c r="M23" s="31">
        <f t="shared" si="0"/>
        <v>904.38</v>
      </c>
      <c r="N23" s="27">
        <f t="shared" si="1"/>
        <v>245.10000000000002</v>
      </c>
      <c r="O23" s="41">
        <f t="shared" si="2"/>
        <v>-0.10000000000002274</v>
      </c>
      <c r="P23" s="28">
        <v>69.62</v>
      </c>
    </row>
    <row r="24" spans="1:16" ht="15.75" customHeight="1" x14ac:dyDescent="0.35">
      <c r="A24" s="26">
        <v>44949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31">
        <f t="shared" si="0"/>
        <v>0</v>
      </c>
      <c r="N24" s="27">
        <f t="shared" si="1"/>
        <v>0</v>
      </c>
      <c r="O24" s="41">
        <f t="shared" si="2"/>
        <v>0</v>
      </c>
      <c r="P24" s="28">
        <v>0</v>
      </c>
    </row>
    <row r="25" spans="1:16" ht="15.75" customHeight="1" x14ac:dyDescent="0.35">
      <c r="A25" s="26">
        <v>44950</v>
      </c>
      <c r="B25" s="9">
        <v>255.54</v>
      </c>
      <c r="C25" s="9">
        <v>158.13999999999999</v>
      </c>
      <c r="D25" s="9">
        <v>24.8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75</v>
      </c>
      <c r="M25" s="31">
        <f t="shared" si="0"/>
        <v>257.94</v>
      </c>
      <c r="N25" s="27">
        <f t="shared" si="1"/>
        <v>72.599999999999994</v>
      </c>
      <c r="O25" s="41">
        <f t="shared" si="2"/>
        <v>2.4000000000000057</v>
      </c>
      <c r="P25" s="28">
        <v>64.52</v>
      </c>
    </row>
    <row r="26" spans="1:16" ht="15.75" customHeight="1" x14ac:dyDescent="0.35">
      <c r="A26" s="26">
        <v>44951</v>
      </c>
      <c r="B26" s="9">
        <v>214.54</v>
      </c>
      <c r="C26" s="9">
        <v>122.06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90</v>
      </c>
      <c r="M26" s="31">
        <f t="shared" si="0"/>
        <v>212.06</v>
      </c>
      <c r="N26" s="27">
        <f t="shared" si="1"/>
        <v>92.47999999999999</v>
      </c>
      <c r="O26" s="41">
        <f t="shared" si="2"/>
        <v>-2.4799999999999898</v>
      </c>
      <c r="P26" s="28">
        <v>64.11</v>
      </c>
    </row>
    <row r="27" spans="1:16" ht="15.75" customHeight="1" x14ac:dyDescent="0.35">
      <c r="A27" s="26">
        <v>44952</v>
      </c>
      <c r="B27" s="9">
        <v>256.76</v>
      </c>
      <c r="C27" s="9">
        <v>68.62</v>
      </c>
      <c r="D27" s="9">
        <v>24.4</v>
      </c>
      <c r="E27" s="9">
        <v>0</v>
      </c>
      <c r="F27" s="9">
        <v>0</v>
      </c>
      <c r="G27" s="9">
        <v>27.9</v>
      </c>
      <c r="H27" s="9">
        <v>0</v>
      </c>
      <c r="I27" s="9">
        <v>0</v>
      </c>
      <c r="J27" s="9">
        <v>0</v>
      </c>
      <c r="K27" s="58">
        <v>107.04</v>
      </c>
      <c r="L27" s="9">
        <v>30</v>
      </c>
      <c r="M27" s="31">
        <f t="shared" si="0"/>
        <v>257.96000000000004</v>
      </c>
      <c r="N27" s="27">
        <f t="shared" si="1"/>
        <v>28.799999999999955</v>
      </c>
      <c r="O27" s="41">
        <f t="shared" si="2"/>
        <v>1.2000000000000455</v>
      </c>
      <c r="P27" s="28">
        <v>67.87</v>
      </c>
    </row>
    <row r="28" spans="1:16" ht="15.75" customHeight="1" x14ac:dyDescent="0.35">
      <c r="A28" s="26">
        <v>44953</v>
      </c>
      <c r="B28" s="9">
        <v>287.39999999999998</v>
      </c>
      <c r="C28" s="9">
        <v>222.7</v>
      </c>
      <c r="D28" s="9">
        <v>24.1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50</v>
      </c>
      <c r="M28" s="31">
        <f t="shared" si="0"/>
        <v>296.79999999999995</v>
      </c>
      <c r="N28" s="27">
        <f t="shared" si="1"/>
        <v>40.600000000000023</v>
      </c>
      <c r="O28" s="41">
        <f t="shared" si="2"/>
        <v>9.3999999999999773</v>
      </c>
      <c r="P28" s="28">
        <v>58.41</v>
      </c>
    </row>
    <row r="29" spans="1:16" ht="15.75" customHeight="1" x14ac:dyDescent="0.35">
      <c r="A29" s="26">
        <v>44954</v>
      </c>
      <c r="B29" s="9">
        <v>729.08</v>
      </c>
      <c r="C29" s="9">
        <v>497.08</v>
      </c>
      <c r="D29" s="9">
        <v>35.9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200</v>
      </c>
      <c r="M29" s="31">
        <f t="shared" si="0"/>
        <v>732.98</v>
      </c>
      <c r="N29" s="27">
        <f t="shared" si="1"/>
        <v>196.10000000000002</v>
      </c>
      <c r="O29" s="41">
        <f t="shared" si="2"/>
        <v>3.8999999999999773</v>
      </c>
      <c r="P29" s="28">
        <v>54.56</v>
      </c>
    </row>
    <row r="30" spans="1:16" ht="15.75" customHeight="1" x14ac:dyDescent="0.35">
      <c r="A30" s="26">
        <v>44955</v>
      </c>
      <c r="B30" s="9">
        <v>844.92</v>
      </c>
      <c r="C30" s="9">
        <v>604.05999999999995</v>
      </c>
      <c r="D30" s="9">
        <v>49.46</v>
      </c>
      <c r="E30" s="9">
        <v>0</v>
      </c>
      <c r="F30" s="9">
        <v>0</v>
      </c>
      <c r="G30" s="9">
        <v>0</v>
      </c>
      <c r="H30" s="9">
        <v>18.899999999999999</v>
      </c>
      <c r="I30" s="9">
        <v>0</v>
      </c>
      <c r="J30" s="9">
        <v>0</v>
      </c>
      <c r="K30" s="9">
        <v>0</v>
      </c>
      <c r="L30" s="9">
        <v>170</v>
      </c>
      <c r="M30" s="31">
        <f t="shared" si="0"/>
        <v>842.42</v>
      </c>
      <c r="N30" s="27">
        <f t="shared" si="1"/>
        <v>172.5</v>
      </c>
      <c r="O30" s="41">
        <f t="shared" si="2"/>
        <v>-2.5</v>
      </c>
      <c r="P30" s="28">
        <v>63.53</v>
      </c>
    </row>
    <row r="31" spans="1:16" ht="15.75" customHeight="1" x14ac:dyDescent="0.35">
      <c r="A31" s="26">
        <v>44956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31">
        <f t="shared" si="0"/>
        <v>0</v>
      </c>
      <c r="N31" s="27">
        <f t="shared" si="1"/>
        <v>0</v>
      </c>
      <c r="O31" s="41">
        <f t="shared" si="2"/>
        <v>0</v>
      </c>
      <c r="P31" s="28">
        <v>0</v>
      </c>
    </row>
    <row r="32" spans="1:16" ht="15.75" customHeight="1" x14ac:dyDescent="0.35">
      <c r="A32" s="26">
        <v>44957</v>
      </c>
      <c r="B32" s="9">
        <v>225.76</v>
      </c>
      <c r="C32" s="9">
        <v>132.69999999999999</v>
      </c>
      <c r="D32" s="9">
        <v>40.96</v>
      </c>
      <c r="E32" s="9">
        <v>0</v>
      </c>
      <c r="F32" s="9">
        <v>0</v>
      </c>
      <c r="G32" s="9">
        <v>0</v>
      </c>
      <c r="H32" s="9">
        <v>18.899999999999999</v>
      </c>
      <c r="I32" s="9">
        <v>0</v>
      </c>
      <c r="J32" s="9">
        <v>0</v>
      </c>
      <c r="K32" s="9">
        <v>0</v>
      </c>
      <c r="L32" s="9">
        <v>30</v>
      </c>
      <c r="M32" s="31">
        <f t="shared" si="0"/>
        <v>222.56</v>
      </c>
      <c r="N32" s="27">
        <f t="shared" si="1"/>
        <v>33.199999999999989</v>
      </c>
      <c r="O32" s="41">
        <f t="shared" si="2"/>
        <v>-3.1999999999999886</v>
      </c>
      <c r="P32" s="28">
        <v>58.42</v>
      </c>
    </row>
    <row r="33" spans="1:18" ht="15.75" customHeight="1" x14ac:dyDescent="0.35">
      <c r="A33" s="26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31">
        <f t="shared" si="0"/>
        <v>0</v>
      </c>
      <c r="N33" s="27">
        <f t="shared" si="1"/>
        <v>0</v>
      </c>
      <c r="O33" s="41">
        <f t="shared" si="2"/>
        <v>0</v>
      </c>
      <c r="P33" s="28">
        <v>0</v>
      </c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8641.33</v>
      </c>
      <c r="N34" s="72">
        <f>M34-O34</f>
        <v>8585.9500000000007</v>
      </c>
      <c r="O34" s="49">
        <f>SUM(O2:O33)</f>
        <v>55.379999999999797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>
      <c r="K37" s="10" t="s">
        <v>2680</v>
      </c>
    </row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00"/>
  <sheetViews>
    <sheetView workbookViewId="0">
      <pane ySplit="1" topLeftCell="A21" activePane="bottomLeft" state="frozen"/>
      <selection pane="bottomLeft" activeCell="B21" sqref="B21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44958</v>
      </c>
      <c r="B2" s="9">
        <v>234.18</v>
      </c>
      <c r="C2" s="9">
        <v>160.68</v>
      </c>
      <c r="D2" s="9">
        <v>15.2</v>
      </c>
      <c r="E2" s="9"/>
      <c r="F2" s="9"/>
      <c r="G2" s="9"/>
      <c r="H2" s="9"/>
      <c r="I2" s="9"/>
      <c r="J2" s="9"/>
      <c r="K2" s="9"/>
      <c r="L2" s="9">
        <v>60</v>
      </c>
      <c r="M2" s="31">
        <f t="shared" ref="M2:M33" si="0">C2+D2+E2+F2+G2+H2+I2+J2+L2+K2</f>
        <v>235.88</v>
      </c>
      <c r="N2" s="27">
        <f t="shared" ref="N2:N33" si="1">L2-O2</f>
        <v>58.300000000000011</v>
      </c>
      <c r="O2" s="32">
        <f t="shared" ref="O2:O33" si="2">M2-B2-F2</f>
        <v>1.6999999999999886</v>
      </c>
      <c r="P2" s="33">
        <v>55.27</v>
      </c>
    </row>
    <row r="3" spans="1:18" ht="15.75" customHeight="1" x14ac:dyDescent="0.35">
      <c r="A3" s="26">
        <v>44959</v>
      </c>
      <c r="B3" s="9">
        <v>252.46</v>
      </c>
      <c r="C3" s="9">
        <v>123.76</v>
      </c>
      <c r="D3" s="9">
        <v>20.2</v>
      </c>
      <c r="E3" s="9"/>
      <c r="F3" s="9"/>
      <c r="G3" s="9"/>
      <c r="H3" s="9">
        <v>37.799999999999997</v>
      </c>
      <c r="I3" s="9"/>
      <c r="J3" s="9"/>
      <c r="K3" s="9"/>
      <c r="L3" s="9">
        <v>75</v>
      </c>
      <c r="M3" s="31">
        <f t="shared" si="0"/>
        <v>256.76</v>
      </c>
      <c r="N3" s="27">
        <f t="shared" si="1"/>
        <v>70.700000000000017</v>
      </c>
      <c r="O3" s="70">
        <f t="shared" si="2"/>
        <v>4.2999999999999829</v>
      </c>
      <c r="P3" s="28">
        <v>68.66</v>
      </c>
      <c r="Q3" s="56"/>
    </row>
    <row r="4" spans="1:18" ht="15.75" customHeight="1" x14ac:dyDescent="0.35">
      <c r="A4" s="26">
        <v>44960</v>
      </c>
      <c r="B4" s="9">
        <v>571.28</v>
      </c>
      <c r="C4" s="9">
        <v>387.92</v>
      </c>
      <c r="D4" s="9">
        <v>27.3</v>
      </c>
      <c r="E4" s="9"/>
      <c r="F4" s="9"/>
      <c r="G4" s="9"/>
      <c r="H4" s="9">
        <v>49.8</v>
      </c>
      <c r="I4" s="9"/>
      <c r="J4" s="9"/>
      <c r="K4" s="9"/>
      <c r="L4" s="9">
        <v>110</v>
      </c>
      <c r="M4" s="31">
        <f t="shared" si="0"/>
        <v>575.02</v>
      </c>
      <c r="N4" s="27">
        <f t="shared" si="1"/>
        <v>106.25999999999999</v>
      </c>
      <c r="O4" s="41">
        <f t="shared" si="2"/>
        <v>3.7400000000000091</v>
      </c>
      <c r="P4" s="28">
        <v>64.91</v>
      </c>
    </row>
    <row r="5" spans="1:18" ht="15.75" customHeight="1" x14ac:dyDescent="0.35">
      <c r="A5" s="26">
        <v>44961</v>
      </c>
      <c r="B5" s="9">
        <v>1348.43</v>
      </c>
      <c r="C5" s="9">
        <v>873.08</v>
      </c>
      <c r="D5" s="9">
        <v>181.24</v>
      </c>
      <c r="E5" s="9"/>
      <c r="F5" s="9"/>
      <c r="G5" s="9"/>
      <c r="H5" s="9">
        <v>24.9</v>
      </c>
      <c r="I5" s="9"/>
      <c r="J5" s="9"/>
      <c r="K5" s="9"/>
      <c r="L5" s="9">
        <v>270</v>
      </c>
      <c r="M5" s="31">
        <f t="shared" si="0"/>
        <v>1349.2200000000003</v>
      </c>
      <c r="N5" s="27">
        <f t="shared" si="1"/>
        <v>269.20999999999981</v>
      </c>
      <c r="O5" s="41">
        <f t="shared" si="2"/>
        <v>0.79000000000019099</v>
      </c>
      <c r="P5" s="28">
        <v>47.91</v>
      </c>
    </row>
    <row r="6" spans="1:18" ht="15.75" customHeight="1" x14ac:dyDescent="0.35">
      <c r="A6" s="26">
        <v>44962</v>
      </c>
      <c r="B6" s="9">
        <v>1031.77</v>
      </c>
      <c r="C6" s="9">
        <v>749.27</v>
      </c>
      <c r="D6" s="9">
        <v>83.4</v>
      </c>
      <c r="E6" s="9"/>
      <c r="F6" s="9"/>
      <c r="G6" s="9"/>
      <c r="H6" s="9"/>
      <c r="I6" s="9"/>
      <c r="J6" s="9"/>
      <c r="K6" s="9"/>
      <c r="L6" s="9">
        <v>200</v>
      </c>
      <c r="M6" s="31">
        <f t="shared" si="0"/>
        <v>1032.67</v>
      </c>
      <c r="N6" s="27">
        <f t="shared" si="1"/>
        <v>199.09999999999991</v>
      </c>
      <c r="O6" s="41">
        <f t="shared" si="2"/>
        <v>0.90000000000009095</v>
      </c>
      <c r="P6" s="28"/>
    </row>
    <row r="7" spans="1:18" ht="15.75" customHeight="1" x14ac:dyDescent="0.35">
      <c r="A7" s="26">
        <v>44963</v>
      </c>
      <c r="B7" s="9">
        <v>0</v>
      </c>
      <c r="C7" s="9">
        <v>0</v>
      </c>
      <c r="D7" s="9">
        <v>0</v>
      </c>
      <c r="E7" s="9"/>
      <c r="F7" s="9"/>
      <c r="G7" s="9"/>
      <c r="H7" s="9"/>
      <c r="I7" s="9"/>
      <c r="J7" s="9"/>
      <c r="K7" s="9"/>
      <c r="L7" s="9">
        <v>0</v>
      </c>
      <c r="M7" s="31">
        <f t="shared" si="0"/>
        <v>0</v>
      </c>
      <c r="N7" s="27">
        <f t="shared" si="1"/>
        <v>0</v>
      </c>
      <c r="O7" s="41">
        <f t="shared" si="2"/>
        <v>0</v>
      </c>
      <c r="P7" s="28"/>
    </row>
    <row r="8" spans="1:18" ht="15.75" customHeight="1" x14ac:dyDescent="0.35">
      <c r="A8" s="26">
        <v>44964</v>
      </c>
      <c r="B8" s="9">
        <v>220.66</v>
      </c>
      <c r="C8" s="9">
        <v>140.16</v>
      </c>
      <c r="D8" s="9">
        <v>38</v>
      </c>
      <c r="E8" s="9"/>
      <c r="F8" s="9"/>
      <c r="G8" s="9"/>
      <c r="H8" s="9"/>
      <c r="I8" s="9"/>
      <c r="J8" s="9"/>
      <c r="K8" s="9"/>
      <c r="L8" s="9">
        <v>40</v>
      </c>
      <c r="M8" s="31">
        <f t="shared" si="0"/>
        <v>218.16</v>
      </c>
      <c r="N8" s="27">
        <f t="shared" si="1"/>
        <v>42.5</v>
      </c>
      <c r="O8" s="41">
        <f t="shared" si="2"/>
        <v>-2.5</v>
      </c>
      <c r="P8" s="28"/>
    </row>
    <row r="9" spans="1:18" ht="15.75" customHeight="1" x14ac:dyDescent="0.35">
      <c r="A9" s="26">
        <v>44965</v>
      </c>
      <c r="B9" s="9">
        <v>206.06</v>
      </c>
      <c r="C9" s="9">
        <v>154.46</v>
      </c>
      <c r="D9" s="9">
        <v>20.8</v>
      </c>
      <c r="E9" s="9"/>
      <c r="F9" s="9"/>
      <c r="G9" s="9"/>
      <c r="H9" s="9"/>
      <c r="I9" s="9"/>
      <c r="J9" s="9"/>
      <c r="K9" s="9"/>
      <c r="L9" s="9">
        <v>30</v>
      </c>
      <c r="M9" s="31">
        <f t="shared" si="0"/>
        <v>205.26000000000002</v>
      </c>
      <c r="N9" s="27">
        <f t="shared" si="1"/>
        <v>30.799999999999983</v>
      </c>
      <c r="O9" s="41">
        <f t="shared" si="2"/>
        <v>-0.79999999999998295</v>
      </c>
      <c r="P9" s="28"/>
    </row>
    <row r="10" spans="1:18" ht="15.75" customHeight="1" x14ac:dyDescent="0.35">
      <c r="A10" s="26">
        <v>44966</v>
      </c>
      <c r="B10" s="9">
        <v>439.2</v>
      </c>
      <c r="C10" s="9">
        <v>185.7</v>
      </c>
      <c r="D10" s="9">
        <v>22.8</v>
      </c>
      <c r="E10" s="9"/>
      <c r="F10" s="9"/>
      <c r="G10" s="9"/>
      <c r="H10" s="9"/>
      <c r="I10" s="9"/>
      <c r="J10" s="9"/>
      <c r="K10" s="16">
        <v>112.42</v>
      </c>
      <c r="L10" s="9">
        <v>120</v>
      </c>
      <c r="M10" s="31">
        <f t="shared" si="0"/>
        <v>440.92</v>
      </c>
      <c r="N10" s="27">
        <f t="shared" si="1"/>
        <v>118.27999999999997</v>
      </c>
      <c r="O10" s="41">
        <f t="shared" si="2"/>
        <v>1.7200000000000273</v>
      </c>
      <c r="P10" s="28">
        <v>77.959999999999994</v>
      </c>
    </row>
    <row r="11" spans="1:18" ht="15.75" customHeight="1" x14ac:dyDescent="0.35">
      <c r="A11" s="26">
        <v>44967</v>
      </c>
      <c r="B11" s="9">
        <v>460.83</v>
      </c>
      <c r="C11" s="9">
        <v>344.5</v>
      </c>
      <c r="D11" s="9">
        <v>53.33</v>
      </c>
      <c r="E11" s="9"/>
      <c r="F11" s="9"/>
      <c r="G11" s="9"/>
      <c r="H11" s="9"/>
      <c r="I11" s="9"/>
      <c r="J11" s="9"/>
      <c r="K11" s="9"/>
      <c r="L11" s="9">
        <v>60</v>
      </c>
      <c r="M11" s="31">
        <f t="shared" si="0"/>
        <v>457.83</v>
      </c>
      <c r="N11" s="27">
        <f t="shared" si="1"/>
        <v>63</v>
      </c>
      <c r="O11" s="41">
        <f t="shared" si="2"/>
        <v>-3</v>
      </c>
      <c r="P11" s="28">
        <v>62.06</v>
      </c>
    </row>
    <row r="12" spans="1:18" ht="15.75" customHeight="1" x14ac:dyDescent="0.35">
      <c r="A12" s="26">
        <v>44968</v>
      </c>
      <c r="B12" s="9">
        <v>1170.6400000000001</v>
      </c>
      <c r="C12" s="9">
        <v>758.24</v>
      </c>
      <c r="D12" s="9">
        <v>95.48</v>
      </c>
      <c r="E12" s="9"/>
      <c r="F12" s="9"/>
      <c r="G12" s="9"/>
      <c r="H12" s="9">
        <v>49.8</v>
      </c>
      <c r="I12" s="9"/>
      <c r="J12" s="9"/>
      <c r="K12" s="9"/>
      <c r="L12" s="9">
        <v>320</v>
      </c>
      <c r="M12" s="31">
        <f t="shared" si="0"/>
        <v>1223.52</v>
      </c>
      <c r="N12" s="27">
        <f t="shared" si="1"/>
        <v>267.12000000000012</v>
      </c>
      <c r="O12" s="41">
        <f t="shared" si="2"/>
        <v>52.879999999999882</v>
      </c>
      <c r="P12" s="28">
        <v>78.56</v>
      </c>
      <c r="Q12" s="56"/>
    </row>
    <row r="13" spans="1:18" ht="15.75" customHeight="1" x14ac:dyDescent="0.35">
      <c r="A13" s="26">
        <v>44969</v>
      </c>
      <c r="B13" s="9">
        <v>866.92</v>
      </c>
      <c r="C13" s="9">
        <v>663.04</v>
      </c>
      <c r="D13" s="9">
        <v>53.2</v>
      </c>
      <c r="E13" s="9"/>
      <c r="F13" s="9"/>
      <c r="G13" s="9"/>
      <c r="H13" s="9"/>
      <c r="I13" s="9"/>
      <c r="J13" s="9"/>
      <c r="K13" s="9"/>
      <c r="L13" s="9">
        <v>150</v>
      </c>
      <c r="M13" s="31">
        <f t="shared" si="0"/>
        <v>866.24</v>
      </c>
      <c r="N13" s="27">
        <f t="shared" si="1"/>
        <v>150.67999999999995</v>
      </c>
      <c r="O13" s="41">
        <f t="shared" si="2"/>
        <v>-0.67999999999994998</v>
      </c>
      <c r="P13" s="28">
        <v>74.44</v>
      </c>
    </row>
    <row r="14" spans="1:18" ht="15.75" customHeight="1" x14ac:dyDescent="0.35">
      <c r="A14" s="26">
        <v>44970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31">
        <f t="shared" si="0"/>
        <v>0</v>
      </c>
      <c r="N14" s="27">
        <f t="shared" si="1"/>
        <v>0</v>
      </c>
      <c r="O14" s="41">
        <f t="shared" si="2"/>
        <v>0</v>
      </c>
      <c r="P14" s="28"/>
    </row>
    <row r="15" spans="1:18" ht="15.75" customHeight="1" x14ac:dyDescent="0.35">
      <c r="A15" s="26">
        <v>44971</v>
      </c>
      <c r="B15" s="9">
        <v>572.41999999999996</v>
      </c>
      <c r="C15" s="9">
        <v>365.14</v>
      </c>
      <c r="D15" s="9">
        <v>31.6</v>
      </c>
      <c r="E15" s="9"/>
      <c r="F15" s="9"/>
      <c r="G15" s="9"/>
      <c r="H15" s="9"/>
      <c r="I15" s="9"/>
      <c r="J15" s="9"/>
      <c r="K15" s="9"/>
      <c r="L15" s="9">
        <v>185</v>
      </c>
      <c r="M15" s="31">
        <f t="shared" si="0"/>
        <v>581.74</v>
      </c>
      <c r="N15" s="27">
        <f t="shared" si="1"/>
        <v>175.67999999999995</v>
      </c>
      <c r="O15" s="41">
        <f t="shared" si="2"/>
        <v>9.32000000000005</v>
      </c>
      <c r="P15" s="28">
        <v>71.36</v>
      </c>
    </row>
    <row r="16" spans="1:18" ht="15.75" customHeight="1" x14ac:dyDescent="0.35">
      <c r="A16" s="26">
        <v>44972</v>
      </c>
      <c r="B16" s="9">
        <v>294.39999999999998</v>
      </c>
      <c r="C16" s="9">
        <v>146.5</v>
      </c>
      <c r="D16" s="9">
        <v>19</v>
      </c>
      <c r="E16" s="9"/>
      <c r="F16" s="9"/>
      <c r="G16" s="9"/>
      <c r="H16" s="9">
        <v>56.7</v>
      </c>
      <c r="I16" s="9"/>
      <c r="J16" s="9"/>
      <c r="K16" s="9"/>
      <c r="L16" s="9">
        <v>80</v>
      </c>
      <c r="M16" s="31">
        <f t="shared" si="0"/>
        <v>302.2</v>
      </c>
      <c r="N16" s="27">
        <f t="shared" si="1"/>
        <v>72.199999999999989</v>
      </c>
      <c r="O16" s="41">
        <f t="shared" si="2"/>
        <v>7.8000000000000114</v>
      </c>
      <c r="P16" s="28">
        <v>62.16</v>
      </c>
    </row>
    <row r="17" spans="1:16" ht="15.75" customHeight="1" x14ac:dyDescent="0.35">
      <c r="A17" s="26">
        <v>44973</v>
      </c>
      <c r="B17" s="9">
        <v>343.3</v>
      </c>
      <c r="C17" s="9">
        <v>196.2</v>
      </c>
      <c r="D17" s="9">
        <v>92.4</v>
      </c>
      <c r="E17" s="9"/>
      <c r="F17" s="9"/>
      <c r="G17" s="9"/>
      <c r="H17" s="9"/>
      <c r="I17" s="9"/>
      <c r="J17" s="9"/>
      <c r="K17" s="9"/>
      <c r="L17" s="9">
        <v>50</v>
      </c>
      <c r="M17" s="31">
        <f t="shared" si="0"/>
        <v>338.6</v>
      </c>
      <c r="N17" s="27">
        <f t="shared" si="1"/>
        <v>54.699999999999989</v>
      </c>
      <c r="O17" s="41">
        <f t="shared" si="2"/>
        <v>-4.6999999999999886</v>
      </c>
      <c r="P17" s="28">
        <v>68.930000000000007</v>
      </c>
    </row>
    <row r="18" spans="1:16" ht="15.75" customHeight="1" x14ac:dyDescent="0.35">
      <c r="A18" s="26">
        <v>44974</v>
      </c>
      <c r="B18" s="9">
        <v>579.20000000000005</v>
      </c>
      <c r="C18" s="9">
        <v>365.1</v>
      </c>
      <c r="D18" s="9">
        <v>16.100000000000001</v>
      </c>
      <c r="E18" s="9"/>
      <c r="F18" s="9"/>
      <c r="G18" s="9"/>
      <c r="H18" s="9">
        <v>18.899999999999999</v>
      </c>
      <c r="I18" s="9"/>
      <c r="J18" s="9"/>
      <c r="K18" s="9"/>
      <c r="L18" s="9">
        <v>190</v>
      </c>
      <c r="M18" s="31">
        <f t="shared" si="0"/>
        <v>590.1</v>
      </c>
      <c r="N18" s="27">
        <f t="shared" si="1"/>
        <v>179.10000000000002</v>
      </c>
      <c r="O18" s="41">
        <f t="shared" si="2"/>
        <v>10.899999999999977</v>
      </c>
      <c r="P18" s="28">
        <v>69.03</v>
      </c>
    </row>
    <row r="19" spans="1:16" ht="15.75" customHeight="1" x14ac:dyDescent="0.35">
      <c r="A19" s="26">
        <v>44975</v>
      </c>
      <c r="B19" s="9">
        <v>1002.04</v>
      </c>
      <c r="C19" s="9">
        <v>699.54</v>
      </c>
      <c r="D19" s="9">
        <f>17.2+7.2</f>
        <v>24.4</v>
      </c>
      <c r="E19" s="9"/>
      <c r="F19" s="9"/>
      <c r="G19" s="9"/>
      <c r="H19" s="9"/>
      <c r="I19" s="9"/>
      <c r="J19" s="9"/>
      <c r="K19" s="9"/>
      <c r="L19" s="9">
        <v>280</v>
      </c>
      <c r="M19" s="31">
        <f t="shared" si="0"/>
        <v>1003.9399999999999</v>
      </c>
      <c r="N19" s="27">
        <f t="shared" si="1"/>
        <v>278.10000000000002</v>
      </c>
      <c r="O19" s="41">
        <f t="shared" si="2"/>
        <v>1.8999999999999773</v>
      </c>
      <c r="P19" s="28"/>
    </row>
    <row r="20" spans="1:16" ht="15.75" customHeight="1" x14ac:dyDescent="0.35">
      <c r="A20" s="26">
        <v>44976</v>
      </c>
      <c r="B20" s="9">
        <v>879.3</v>
      </c>
      <c r="C20" s="9">
        <v>555.41999999999996</v>
      </c>
      <c r="D20" s="9">
        <v>89.08</v>
      </c>
      <c r="E20" s="9"/>
      <c r="F20" s="9"/>
      <c r="G20" s="9"/>
      <c r="H20" s="9">
        <v>18.899999999999999</v>
      </c>
      <c r="I20" s="9"/>
      <c r="J20" s="9"/>
      <c r="K20" s="9"/>
      <c r="L20" s="9">
        <v>215</v>
      </c>
      <c r="M20" s="31">
        <f t="shared" si="0"/>
        <v>878.4</v>
      </c>
      <c r="N20" s="27">
        <f t="shared" si="1"/>
        <v>215.89999999999998</v>
      </c>
      <c r="O20" s="41">
        <f t="shared" si="2"/>
        <v>-0.89999999999997726</v>
      </c>
      <c r="P20" s="28">
        <v>62.25</v>
      </c>
    </row>
    <row r="21" spans="1:16" ht="15.75" customHeight="1" x14ac:dyDescent="0.35">
      <c r="A21" s="26">
        <v>44977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31">
        <f t="shared" si="0"/>
        <v>0</v>
      </c>
      <c r="N21" s="27">
        <f t="shared" si="1"/>
        <v>0</v>
      </c>
      <c r="O21" s="41">
        <f t="shared" si="2"/>
        <v>0</v>
      </c>
      <c r="P21" s="28"/>
    </row>
    <row r="22" spans="1:16" ht="15.75" customHeight="1" x14ac:dyDescent="0.35">
      <c r="A22" s="26">
        <v>44978</v>
      </c>
      <c r="B22" s="9">
        <v>640.67999999999995</v>
      </c>
      <c r="C22" s="9">
        <v>362.08</v>
      </c>
      <c r="D22" s="9">
        <v>26.5</v>
      </c>
      <c r="E22" s="9"/>
      <c r="F22" s="9"/>
      <c r="G22" s="9"/>
      <c r="H22" s="9">
        <v>36.9</v>
      </c>
      <c r="I22" s="9"/>
      <c r="J22" s="9"/>
      <c r="K22" s="9"/>
      <c r="L22" s="9">
        <v>210</v>
      </c>
      <c r="M22" s="31">
        <f t="shared" si="0"/>
        <v>635.48</v>
      </c>
      <c r="N22" s="27">
        <f t="shared" si="1"/>
        <v>215.19999999999993</v>
      </c>
      <c r="O22" s="41">
        <f t="shared" si="2"/>
        <v>-5.1999999999999318</v>
      </c>
      <c r="P22" s="28">
        <v>67.349999999999994</v>
      </c>
    </row>
    <row r="23" spans="1:16" ht="15.75" customHeight="1" x14ac:dyDescent="0.35">
      <c r="A23" s="26">
        <v>44979</v>
      </c>
      <c r="B23" s="9">
        <v>327.10000000000002</v>
      </c>
      <c r="C23" s="9">
        <v>182.9</v>
      </c>
      <c r="D23" s="9">
        <v>34.1</v>
      </c>
      <c r="E23" s="9"/>
      <c r="F23" s="9"/>
      <c r="G23" s="9"/>
      <c r="H23" s="9"/>
      <c r="I23" s="9"/>
      <c r="J23" s="9"/>
      <c r="K23" s="9"/>
      <c r="L23" s="9">
        <v>110</v>
      </c>
      <c r="M23" s="31">
        <f t="shared" si="0"/>
        <v>327</v>
      </c>
      <c r="N23" s="27">
        <f t="shared" si="1"/>
        <v>110.10000000000002</v>
      </c>
      <c r="O23" s="41">
        <f t="shared" si="2"/>
        <v>-0.10000000000002274</v>
      </c>
      <c r="P23" s="28">
        <v>73.739999999999995</v>
      </c>
    </row>
    <row r="24" spans="1:16" ht="15.75" customHeight="1" x14ac:dyDescent="0.35">
      <c r="A24" s="26">
        <v>44980</v>
      </c>
      <c r="B24" s="9">
        <v>744.4</v>
      </c>
      <c r="C24" s="9">
        <v>96</v>
      </c>
      <c r="D24" s="9">
        <v>33.9</v>
      </c>
      <c r="E24" s="9"/>
      <c r="F24" s="9"/>
      <c r="G24" s="9"/>
      <c r="H24" s="9"/>
      <c r="I24" s="9"/>
      <c r="J24" s="9"/>
      <c r="K24" s="60">
        <v>585</v>
      </c>
      <c r="L24" s="9">
        <v>30</v>
      </c>
      <c r="M24" s="31">
        <f t="shared" si="0"/>
        <v>744.9</v>
      </c>
      <c r="N24" s="27">
        <f t="shared" si="1"/>
        <v>29.5</v>
      </c>
      <c r="O24" s="41">
        <f t="shared" si="2"/>
        <v>0.5</v>
      </c>
      <c r="P24" s="28">
        <v>72.75</v>
      </c>
    </row>
    <row r="25" spans="1:16" ht="15.75" customHeight="1" x14ac:dyDescent="0.35">
      <c r="A25" s="26">
        <v>44981</v>
      </c>
      <c r="B25" s="9">
        <v>416.56</v>
      </c>
      <c r="C25" s="9">
        <v>209.76</v>
      </c>
      <c r="D25" s="9">
        <v>50.8</v>
      </c>
      <c r="E25" s="9"/>
      <c r="F25" s="9"/>
      <c r="G25" s="9"/>
      <c r="H25" s="9">
        <v>37.799999999999997</v>
      </c>
      <c r="I25" s="9"/>
      <c r="J25" s="9"/>
      <c r="K25" s="9"/>
      <c r="L25" s="9">
        <v>130</v>
      </c>
      <c r="M25" s="31">
        <f t="shared" si="0"/>
        <v>428.36</v>
      </c>
      <c r="N25" s="27">
        <f t="shared" si="1"/>
        <v>118.19999999999999</v>
      </c>
      <c r="O25" s="41">
        <f t="shared" si="2"/>
        <v>11.800000000000011</v>
      </c>
      <c r="P25" s="28">
        <v>74.95</v>
      </c>
    </row>
    <row r="26" spans="1:16" ht="15.75" customHeight="1" x14ac:dyDescent="0.35">
      <c r="A26" s="26">
        <v>44982</v>
      </c>
      <c r="B26" s="9">
        <v>566.54</v>
      </c>
      <c r="C26" s="9">
        <v>362.36</v>
      </c>
      <c r="D26" s="9">
        <v>14.8</v>
      </c>
      <c r="E26" s="9"/>
      <c r="F26" s="9"/>
      <c r="G26" s="9"/>
      <c r="H26" s="9">
        <v>18.899999999999999</v>
      </c>
      <c r="I26" s="9"/>
      <c r="J26" s="9"/>
      <c r="K26" s="61">
        <v>59</v>
      </c>
      <c r="L26" s="9">
        <v>120</v>
      </c>
      <c r="M26" s="31">
        <f t="shared" si="0"/>
        <v>575.05999999999995</v>
      </c>
      <c r="N26" s="27">
        <f t="shared" si="1"/>
        <v>111.48000000000002</v>
      </c>
      <c r="O26" s="41">
        <f t="shared" si="2"/>
        <v>8.5199999999999818</v>
      </c>
      <c r="P26" s="28"/>
    </row>
    <row r="27" spans="1:16" ht="15.75" customHeight="1" x14ac:dyDescent="0.35">
      <c r="A27" s="26">
        <v>44983</v>
      </c>
      <c r="B27" s="9">
        <v>1136.0999999999999</v>
      </c>
      <c r="C27" s="9">
        <v>805.2</v>
      </c>
      <c r="D27" s="9">
        <v>81.3</v>
      </c>
      <c r="E27" s="9"/>
      <c r="F27" s="9"/>
      <c r="G27" s="9"/>
      <c r="H27" s="9">
        <v>18.899999999999999</v>
      </c>
      <c r="I27" s="9"/>
      <c r="J27" s="9"/>
      <c r="K27" s="9"/>
      <c r="L27" s="9">
        <v>230</v>
      </c>
      <c r="M27" s="31">
        <f t="shared" si="0"/>
        <v>1135.4000000000001</v>
      </c>
      <c r="N27" s="27">
        <f t="shared" si="1"/>
        <v>230.69999999999982</v>
      </c>
      <c r="O27" s="41">
        <f t="shared" si="2"/>
        <v>-0.6999999999998181</v>
      </c>
      <c r="P27" s="28"/>
    </row>
    <row r="28" spans="1:16" ht="15.75" customHeight="1" x14ac:dyDescent="0.35">
      <c r="A28" s="26">
        <v>44984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31">
        <f t="shared" si="0"/>
        <v>0</v>
      </c>
      <c r="N28" s="27">
        <f t="shared" si="1"/>
        <v>0</v>
      </c>
      <c r="O28" s="41">
        <f t="shared" si="2"/>
        <v>0</v>
      </c>
      <c r="P28" s="28"/>
    </row>
    <row r="29" spans="1:16" ht="15.75" customHeight="1" x14ac:dyDescent="0.35">
      <c r="A29" s="26">
        <v>44985</v>
      </c>
      <c r="B29" s="9">
        <v>223.3</v>
      </c>
      <c r="C29" s="9">
        <v>133.19999999999999</v>
      </c>
      <c r="D29" s="9">
        <v>7.6</v>
      </c>
      <c r="E29" s="9"/>
      <c r="F29" s="9"/>
      <c r="G29" s="9"/>
      <c r="H29" s="9"/>
      <c r="I29" s="9"/>
      <c r="J29" s="9"/>
      <c r="K29" s="9"/>
      <c r="L29" s="9">
        <v>80</v>
      </c>
      <c r="M29" s="31">
        <f t="shared" si="0"/>
        <v>220.79999999999998</v>
      </c>
      <c r="N29" s="27">
        <f t="shared" si="1"/>
        <v>82.500000000000028</v>
      </c>
      <c r="O29" s="41">
        <f t="shared" si="2"/>
        <v>-2.5000000000000284</v>
      </c>
      <c r="P29" s="28">
        <v>76.62</v>
      </c>
    </row>
    <row r="30" spans="1:16" ht="15.75" customHeight="1" x14ac:dyDescent="0.35">
      <c r="A30" s="2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31">
        <f t="shared" si="0"/>
        <v>0</v>
      </c>
      <c r="N30" s="27">
        <f t="shared" si="1"/>
        <v>0</v>
      </c>
      <c r="O30" s="41">
        <f t="shared" si="2"/>
        <v>0</v>
      </c>
      <c r="P30" s="28"/>
    </row>
    <row r="31" spans="1:16" ht="15.75" customHeight="1" x14ac:dyDescent="0.35">
      <c r="A31" s="2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31">
        <f t="shared" si="0"/>
        <v>0</v>
      </c>
      <c r="N31" s="27">
        <f t="shared" si="1"/>
        <v>0</v>
      </c>
      <c r="O31" s="41">
        <f t="shared" si="2"/>
        <v>0</v>
      </c>
      <c r="P31" s="28"/>
    </row>
    <row r="32" spans="1:16" ht="15.75" customHeight="1" x14ac:dyDescent="0.35">
      <c r="A32" s="2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31">
        <f t="shared" si="0"/>
        <v>0</v>
      </c>
      <c r="N32" s="27">
        <f t="shared" si="1"/>
        <v>0</v>
      </c>
      <c r="O32" s="41">
        <f t="shared" si="2"/>
        <v>0</v>
      </c>
      <c r="P32" s="28"/>
    </row>
    <row r="33" spans="1:18" ht="15.75" customHeight="1" x14ac:dyDescent="0.35">
      <c r="A33" s="26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31">
        <f t="shared" si="0"/>
        <v>0</v>
      </c>
      <c r="N33" s="27">
        <f t="shared" si="1"/>
        <v>0</v>
      </c>
      <c r="O33" s="41">
        <f t="shared" si="2"/>
        <v>0</v>
      </c>
      <c r="P33" s="28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14623.459999999997</v>
      </c>
      <c r="N34" s="72">
        <f>M34-O34</f>
        <v>14527.769999999997</v>
      </c>
      <c r="O34" s="49">
        <f>SUM(O2:O33)</f>
        <v>95.690000000000481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>
      <c r="K37" s="10" t="s">
        <v>2681</v>
      </c>
    </row>
    <row r="38" spans="1:18" ht="15.75" customHeight="1" x14ac:dyDescent="0.35">
      <c r="K38" s="62" t="s">
        <v>2682</v>
      </c>
    </row>
    <row r="39" spans="1:18" ht="15.75" customHeight="1" x14ac:dyDescent="0.35">
      <c r="K39" s="63" t="s">
        <v>2683</v>
      </c>
    </row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1000"/>
  <sheetViews>
    <sheetView workbookViewId="0">
      <pane ySplit="1" topLeftCell="A27" activePane="bottomLeft" state="frozen"/>
      <selection pane="bottomLeft" activeCell="B27" sqref="B27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44986</v>
      </c>
      <c r="B2" s="9">
        <v>220.4</v>
      </c>
      <c r="C2" s="9">
        <v>148.69999999999999</v>
      </c>
      <c r="D2" s="9">
        <v>17.399999999999999</v>
      </c>
      <c r="E2" s="9"/>
      <c r="F2" s="9"/>
      <c r="G2" s="9"/>
      <c r="H2" s="9"/>
      <c r="I2" s="9"/>
      <c r="J2" s="9"/>
      <c r="K2" s="9"/>
      <c r="L2" s="9">
        <v>60</v>
      </c>
      <c r="M2" s="31">
        <f t="shared" ref="M2:M33" si="0">C2+D2+E2+F2+G2+H2+I2+J2+L2+K2</f>
        <v>226.1</v>
      </c>
      <c r="N2" s="27">
        <f t="shared" ref="N2:N33" si="1">L2-O2</f>
        <v>54.300000000000011</v>
      </c>
      <c r="O2" s="32">
        <f t="shared" ref="O2:O33" si="2">M2-B2-F2</f>
        <v>5.6999999999999886</v>
      </c>
      <c r="P2" s="33">
        <v>68.03</v>
      </c>
    </row>
    <row r="3" spans="1:18" ht="15.75" customHeight="1" x14ac:dyDescent="0.35">
      <c r="A3" s="26">
        <v>44987</v>
      </c>
      <c r="B3" s="9">
        <v>344.56</v>
      </c>
      <c r="C3" s="9">
        <v>230.36</v>
      </c>
      <c r="D3" s="9">
        <v>36.1</v>
      </c>
      <c r="E3" s="9"/>
      <c r="F3" s="9"/>
      <c r="G3" s="9"/>
      <c r="H3" s="9">
        <v>56.7</v>
      </c>
      <c r="I3" s="9"/>
      <c r="J3" s="9"/>
      <c r="K3" s="9"/>
      <c r="L3" s="9">
        <v>20</v>
      </c>
      <c r="M3" s="31">
        <f t="shared" si="0"/>
        <v>343.16</v>
      </c>
      <c r="N3" s="27">
        <f t="shared" si="1"/>
        <v>21.399999999999977</v>
      </c>
      <c r="O3" s="70">
        <f t="shared" si="2"/>
        <v>-1.3999999999999773</v>
      </c>
      <c r="P3" s="28">
        <v>71.430000000000007</v>
      </c>
      <c r="Q3" s="56"/>
    </row>
    <row r="4" spans="1:18" ht="15.75" customHeight="1" x14ac:dyDescent="0.35">
      <c r="A4" s="26">
        <v>44988</v>
      </c>
      <c r="B4" s="9">
        <v>447.32</v>
      </c>
      <c r="C4" s="9">
        <v>254.18</v>
      </c>
      <c r="D4" s="9">
        <v>40.64</v>
      </c>
      <c r="E4" s="9"/>
      <c r="F4" s="9"/>
      <c r="G4" s="9"/>
      <c r="H4" s="9">
        <v>63.8</v>
      </c>
      <c r="I4" s="9"/>
      <c r="J4" s="9"/>
      <c r="K4" s="9"/>
      <c r="L4" s="9">
        <v>90</v>
      </c>
      <c r="M4" s="31">
        <f t="shared" si="0"/>
        <v>448.62</v>
      </c>
      <c r="N4" s="27">
        <f t="shared" si="1"/>
        <v>88.699999999999989</v>
      </c>
      <c r="O4" s="41">
        <f t="shared" si="2"/>
        <v>1.3000000000000114</v>
      </c>
      <c r="P4" s="28">
        <v>77.89</v>
      </c>
    </row>
    <row r="5" spans="1:18" ht="15.75" customHeight="1" x14ac:dyDescent="0.35">
      <c r="A5" s="26">
        <v>44989</v>
      </c>
      <c r="B5" s="9">
        <v>1253.03</v>
      </c>
      <c r="C5" s="9">
        <v>736.11</v>
      </c>
      <c r="D5" s="9">
        <v>88</v>
      </c>
      <c r="E5" s="9"/>
      <c r="F5" s="9"/>
      <c r="G5" s="9"/>
      <c r="H5" s="9">
        <v>18.899999999999999</v>
      </c>
      <c r="I5" s="9"/>
      <c r="J5" s="9"/>
      <c r="K5" s="9"/>
      <c r="L5" s="9">
        <v>410</v>
      </c>
      <c r="M5" s="31">
        <f t="shared" si="0"/>
        <v>1253.01</v>
      </c>
      <c r="N5" s="27">
        <f t="shared" si="1"/>
        <v>410.02</v>
      </c>
      <c r="O5" s="41">
        <f t="shared" si="2"/>
        <v>-1.999999999998181E-2</v>
      </c>
      <c r="P5" s="28"/>
    </row>
    <row r="6" spans="1:18" ht="15.75" customHeight="1" x14ac:dyDescent="0.35">
      <c r="A6" s="26">
        <v>44990</v>
      </c>
      <c r="B6" s="9">
        <v>257.68</v>
      </c>
      <c r="C6" s="9">
        <v>173.34</v>
      </c>
      <c r="D6" s="9">
        <v>18.2</v>
      </c>
      <c r="E6" s="9"/>
      <c r="F6" s="9"/>
      <c r="G6" s="9"/>
      <c r="H6" s="9"/>
      <c r="I6" s="9"/>
      <c r="J6" s="9"/>
      <c r="K6" s="9"/>
      <c r="L6" s="9">
        <v>70</v>
      </c>
      <c r="M6" s="31">
        <f t="shared" si="0"/>
        <v>261.53999999999996</v>
      </c>
      <c r="N6" s="27">
        <f t="shared" si="1"/>
        <v>66.140000000000043</v>
      </c>
      <c r="O6" s="41">
        <f t="shared" si="2"/>
        <v>3.8599999999999568</v>
      </c>
      <c r="P6" s="28">
        <v>70.25</v>
      </c>
    </row>
    <row r="7" spans="1:18" ht="15.75" customHeight="1" x14ac:dyDescent="0.35">
      <c r="A7" s="26">
        <v>44991</v>
      </c>
      <c r="B7" s="9">
        <v>0</v>
      </c>
      <c r="C7" s="9"/>
      <c r="D7" s="9"/>
      <c r="E7" s="9"/>
      <c r="F7" s="9"/>
      <c r="G7" s="9"/>
      <c r="H7" s="9"/>
      <c r="I7" s="9"/>
      <c r="J7" s="9"/>
      <c r="K7" s="9"/>
      <c r="L7" s="9"/>
      <c r="M7" s="31">
        <f t="shared" si="0"/>
        <v>0</v>
      </c>
      <c r="N7" s="27">
        <f t="shared" si="1"/>
        <v>0</v>
      </c>
      <c r="O7" s="41">
        <f t="shared" si="2"/>
        <v>0</v>
      </c>
      <c r="P7" s="28"/>
    </row>
    <row r="8" spans="1:18" ht="15.75" customHeight="1" x14ac:dyDescent="0.35">
      <c r="A8" s="26">
        <v>44992</v>
      </c>
      <c r="B8" s="9">
        <v>208.2</v>
      </c>
      <c r="C8" s="9">
        <v>106</v>
      </c>
      <c r="D8" s="9">
        <v>7.6</v>
      </c>
      <c r="E8" s="9"/>
      <c r="F8" s="9"/>
      <c r="G8" s="9"/>
      <c r="H8" s="9"/>
      <c r="I8" s="9"/>
      <c r="J8" s="9"/>
      <c r="K8" s="9"/>
      <c r="L8" s="9">
        <v>90</v>
      </c>
      <c r="M8" s="31">
        <f t="shared" si="0"/>
        <v>203.6</v>
      </c>
      <c r="N8" s="27">
        <f t="shared" si="1"/>
        <v>94.6</v>
      </c>
      <c r="O8" s="41">
        <f t="shared" si="2"/>
        <v>-4.5999999999999943</v>
      </c>
      <c r="P8" s="28">
        <v>74.239999999999995</v>
      </c>
    </row>
    <row r="9" spans="1:18" ht="15.75" customHeight="1" x14ac:dyDescent="0.35">
      <c r="A9" s="26">
        <v>44993</v>
      </c>
      <c r="B9" s="9">
        <v>438.36</v>
      </c>
      <c r="C9" s="9">
        <v>53.36</v>
      </c>
      <c r="D9" s="9">
        <v>12</v>
      </c>
      <c r="E9" s="9"/>
      <c r="F9" s="9"/>
      <c r="G9" s="9"/>
      <c r="H9" s="9">
        <v>18.899999999999999</v>
      </c>
      <c r="I9" s="9"/>
      <c r="J9" s="9"/>
      <c r="K9" s="15" t="e">
        <f>#REF!+#REF!</f>
        <v>#REF!</v>
      </c>
      <c r="L9" s="9">
        <v>20</v>
      </c>
      <c r="M9" s="31" t="e">
        <f t="shared" si="0"/>
        <v>#REF!</v>
      </c>
      <c r="N9" s="27" t="e">
        <f t="shared" si="1"/>
        <v>#REF!</v>
      </c>
      <c r="O9" s="41" t="e">
        <f t="shared" si="2"/>
        <v>#REF!</v>
      </c>
      <c r="P9" s="28"/>
    </row>
    <row r="10" spans="1:18" ht="15.75" customHeight="1" x14ac:dyDescent="0.35">
      <c r="A10" s="26">
        <v>44994</v>
      </c>
      <c r="B10" s="9">
        <v>167.34</v>
      </c>
      <c r="C10" s="9">
        <v>137.84</v>
      </c>
      <c r="D10" s="9">
        <v>9.6</v>
      </c>
      <c r="E10" s="9"/>
      <c r="F10" s="9"/>
      <c r="G10" s="9"/>
      <c r="H10" s="9"/>
      <c r="I10" s="9"/>
      <c r="J10" s="9"/>
      <c r="K10" s="9"/>
      <c r="L10" s="9">
        <v>25</v>
      </c>
      <c r="M10" s="31">
        <f t="shared" si="0"/>
        <v>172.44</v>
      </c>
      <c r="N10" s="27">
        <f t="shared" si="1"/>
        <v>19.900000000000006</v>
      </c>
      <c r="O10" s="41">
        <f t="shared" si="2"/>
        <v>5.0999999999999943</v>
      </c>
      <c r="P10" s="28"/>
    </row>
    <row r="11" spans="1:18" ht="15.75" customHeight="1" x14ac:dyDescent="0.35">
      <c r="A11" s="26">
        <v>44995</v>
      </c>
      <c r="B11" s="9">
        <v>168.22</v>
      </c>
      <c r="C11" s="9">
        <v>141.41999999999999</v>
      </c>
      <c r="D11" s="9">
        <v>0</v>
      </c>
      <c r="E11" s="9"/>
      <c r="F11" s="9"/>
      <c r="G11" s="9"/>
      <c r="H11" s="9"/>
      <c r="I11" s="9"/>
      <c r="J11" s="9"/>
      <c r="K11" s="9"/>
      <c r="L11" s="9">
        <v>25</v>
      </c>
      <c r="M11" s="31">
        <f t="shared" si="0"/>
        <v>166.42</v>
      </c>
      <c r="N11" s="27">
        <f t="shared" si="1"/>
        <v>26.800000000000011</v>
      </c>
      <c r="O11" s="41">
        <f t="shared" si="2"/>
        <v>-1.8000000000000114</v>
      </c>
      <c r="P11" s="28"/>
    </row>
    <row r="12" spans="1:18" ht="15.75" customHeight="1" x14ac:dyDescent="0.35">
      <c r="A12" s="26">
        <v>44996</v>
      </c>
      <c r="B12" s="9">
        <v>954.81</v>
      </c>
      <c r="C12" s="9">
        <v>615.5</v>
      </c>
      <c r="D12" s="9">
        <v>91.8</v>
      </c>
      <c r="E12" s="9"/>
      <c r="F12" s="9"/>
      <c r="G12" s="9"/>
      <c r="H12" s="9">
        <v>18.899999999999999</v>
      </c>
      <c r="I12" s="9"/>
      <c r="J12" s="9"/>
      <c r="K12" s="9"/>
      <c r="L12" s="9">
        <v>230</v>
      </c>
      <c r="M12" s="31">
        <f t="shared" si="0"/>
        <v>956.19999999999993</v>
      </c>
      <c r="N12" s="27">
        <f t="shared" si="1"/>
        <v>228.61</v>
      </c>
      <c r="O12" s="41">
        <f t="shared" si="2"/>
        <v>1.3899999999999864</v>
      </c>
      <c r="P12" s="28"/>
      <c r="Q12" s="56"/>
    </row>
    <row r="13" spans="1:18" ht="15.75" customHeight="1" x14ac:dyDescent="0.35">
      <c r="A13" s="26">
        <v>44997</v>
      </c>
      <c r="B13" s="9">
        <v>1308.24</v>
      </c>
      <c r="C13" s="9">
        <v>858.34</v>
      </c>
      <c r="D13" s="9">
        <v>44.4</v>
      </c>
      <c r="E13" s="9"/>
      <c r="F13" s="9"/>
      <c r="G13" s="9"/>
      <c r="H13" s="9"/>
      <c r="I13" s="9"/>
      <c r="J13" s="9"/>
      <c r="K13" s="9"/>
      <c r="L13" s="9">
        <v>410</v>
      </c>
      <c r="M13" s="31">
        <f t="shared" si="0"/>
        <v>1312.74</v>
      </c>
      <c r="N13" s="27">
        <f t="shared" si="1"/>
        <v>405.5</v>
      </c>
      <c r="O13" s="41">
        <f t="shared" si="2"/>
        <v>4.5</v>
      </c>
      <c r="P13" s="28">
        <v>74.28</v>
      </c>
    </row>
    <row r="14" spans="1:18" ht="15.75" customHeight="1" x14ac:dyDescent="0.35">
      <c r="A14" s="26">
        <v>44998</v>
      </c>
      <c r="B14" s="9">
        <v>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31">
        <f t="shared" si="0"/>
        <v>0</v>
      </c>
      <c r="N14" s="27">
        <f t="shared" si="1"/>
        <v>0</v>
      </c>
      <c r="O14" s="41">
        <f t="shared" si="2"/>
        <v>0</v>
      </c>
      <c r="P14" s="28"/>
    </row>
    <row r="15" spans="1:18" ht="15.75" customHeight="1" x14ac:dyDescent="0.35">
      <c r="A15" s="26">
        <v>44999</v>
      </c>
      <c r="B15" s="9">
        <v>267.5</v>
      </c>
      <c r="C15" s="9">
        <v>175.2</v>
      </c>
      <c r="D15" s="9">
        <v>19.100000000000001</v>
      </c>
      <c r="E15" s="9"/>
      <c r="F15" s="9"/>
      <c r="G15" s="9"/>
      <c r="H15" s="9"/>
      <c r="I15" s="9"/>
      <c r="J15" s="9"/>
      <c r="K15" s="9"/>
      <c r="L15" s="9">
        <v>75</v>
      </c>
      <c r="M15" s="31">
        <f t="shared" si="0"/>
        <v>269.29999999999995</v>
      </c>
      <c r="N15" s="27">
        <f t="shared" si="1"/>
        <v>73.200000000000045</v>
      </c>
      <c r="O15" s="41">
        <f t="shared" si="2"/>
        <v>1.7999999999999545</v>
      </c>
      <c r="P15" s="28"/>
    </row>
    <row r="16" spans="1:18" ht="15.75" customHeight="1" x14ac:dyDescent="0.35">
      <c r="A16" s="26">
        <v>45000</v>
      </c>
      <c r="B16" s="9">
        <v>370.38</v>
      </c>
      <c r="C16" s="9">
        <v>252.76</v>
      </c>
      <c r="D16" s="9">
        <v>27</v>
      </c>
      <c r="E16" s="9"/>
      <c r="F16" s="9"/>
      <c r="G16" s="9"/>
      <c r="H16" s="9"/>
      <c r="I16" s="9"/>
      <c r="J16" s="9"/>
      <c r="K16" s="9"/>
      <c r="L16" s="9">
        <v>90</v>
      </c>
      <c r="M16" s="31">
        <f t="shared" si="0"/>
        <v>369.76</v>
      </c>
      <c r="N16" s="27">
        <f t="shared" si="1"/>
        <v>90.62</v>
      </c>
      <c r="O16" s="41">
        <f t="shared" si="2"/>
        <v>-0.62000000000000455</v>
      </c>
      <c r="P16" s="28">
        <v>76.400000000000006</v>
      </c>
    </row>
    <row r="17" spans="1:16" ht="15.75" customHeight="1" x14ac:dyDescent="0.35">
      <c r="A17" s="26">
        <v>45001</v>
      </c>
      <c r="B17" s="9">
        <v>168.04</v>
      </c>
      <c r="C17" s="9">
        <v>118.44</v>
      </c>
      <c r="D17" s="9">
        <v>0</v>
      </c>
      <c r="E17" s="9"/>
      <c r="F17" s="9"/>
      <c r="G17" s="9"/>
      <c r="H17" s="9"/>
      <c r="I17" s="9"/>
      <c r="J17" s="9"/>
      <c r="K17" s="9"/>
      <c r="L17" s="9">
        <v>40</v>
      </c>
      <c r="M17" s="31">
        <f t="shared" si="0"/>
        <v>158.44</v>
      </c>
      <c r="N17" s="27">
        <f t="shared" si="1"/>
        <v>49.599999999999994</v>
      </c>
      <c r="O17" s="41">
        <f t="shared" si="2"/>
        <v>-9.5999999999999943</v>
      </c>
      <c r="P17" s="28"/>
    </row>
    <row r="18" spans="1:16" ht="15.75" customHeight="1" x14ac:dyDescent="0.35">
      <c r="A18" s="26">
        <v>45002</v>
      </c>
      <c r="B18" s="9">
        <v>404.99</v>
      </c>
      <c r="C18" s="9">
        <v>179.82</v>
      </c>
      <c r="D18" s="9">
        <v>12.4</v>
      </c>
      <c r="E18" s="9"/>
      <c r="F18" s="9"/>
      <c r="G18" s="9">
        <v>11</v>
      </c>
      <c r="H18" s="9">
        <v>18.899999999999999</v>
      </c>
      <c r="I18" s="9"/>
      <c r="J18" s="9"/>
      <c r="K18" s="15" t="e">
        <f>#REF!</f>
        <v>#REF!</v>
      </c>
      <c r="L18" s="9">
        <v>100</v>
      </c>
      <c r="M18" s="31" t="e">
        <f t="shared" si="0"/>
        <v>#REF!</v>
      </c>
      <c r="N18" s="27" t="e">
        <f t="shared" si="1"/>
        <v>#REF!</v>
      </c>
      <c r="O18" s="41" t="e">
        <f t="shared" si="2"/>
        <v>#REF!</v>
      </c>
      <c r="P18" s="28"/>
    </row>
    <row r="19" spans="1:16" ht="15.75" customHeight="1" x14ac:dyDescent="0.35">
      <c r="A19" s="26">
        <v>45003</v>
      </c>
      <c r="B19" s="9">
        <v>1227.6099999999999</v>
      </c>
      <c r="C19" s="9">
        <v>631.47</v>
      </c>
      <c r="D19" s="9">
        <v>166.32</v>
      </c>
      <c r="E19" s="9"/>
      <c r="F19" s="9"/>
      <c r="G19" s="9"/>
      <c r="H19" s="9"/>
      <c r="I19" s="9"/>
      <c r="J19" s="9"/>
      <c r="K19" s="15" t="e">
        <f>#REF!</f>
        <v>#REF!</v>
      </c>
      <c r="L19" s="9">
        <v>225</v>
      </c>
      <c r="M19" s="31" t="e">
        <f t="shared" si="0"/>
        <v>#REF!</v>
      </c>
      <c r="N19" s="27" t="e">
        <f t="shared" si="1"/>
        <v>#REF!</v>
      </c>
      <c r="O19" s="41" t="e">
        <f t="shared" si="2"/>
        <v>#REF!</v>
      </c>
      <c r="P19" s="28"/>
    </row>
    <row r="20" spans="1:16" ht="15.75" customHeight="1" x14ac:dyDescent="0.35">
      <c r="A20" s="26">
        <v>45004</v>
      </c>
      <c r="B20" s="9">
        <v>1519.93</v>
      </c>
      <c r="C20" s="9">
        <v>995.86</v>
      </c>
      <c r="D20" s="9">
        <v>145.34</v>
      </c>
      <c r="E20" s="9"/>
      <c r="F20" s="9"/>
      <c r="G20" s="9"/>
      <c r="H20" s="9">
        <v>70.7</v>
      </c>
      <c r="I20" s="9"/>
      <c r="J20" s="9"/>
      <c r="K20" s="9"/>
      <c r="L20" s="9">
        <v>310</v>
      </c>
      <c r="M20" s="31">
        <f t="shared" si="0"/>
        <v>1521.9</v>
      </c>
      <c r="N20" s="27">
        <f t="shared" si="1"/>
        <v>308.02999999999997</v>
      </c>
      <c r="O20" s="41">
        <f t="shared" si="2"/>
        <v>1.9700000000000273</v>
      </c>
      <c r="P20" s="28"/>
    </row>
    <row r="21" spans="1:16" ht="15.75" customHeight="1" x14ac:dyDescent="0.35">
      <c r="A21" s="26">
        <v>45005</v>
      </c>
      <c r="B21" s="9">
        <v>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31">
        <f t="shared" si="0"/>
        <v>0</v>
      </c>
      <c r="N21" s="27">
        <f t="shared" si="1"/>
        <v>0</v>
      </c>
      <c r="O21" s="41">
        <f t="shared" si="2"/>
        <v>0</v>
      </c>
      <c r="P21" s="28"/>
    </row>
    <row r="22" spans="1:16" ht="15.75" customHeight="1" x14ac:dyDescent="0.35">
      <c r="A22" s="26">
        <v>45006</v>
      </c>
      <c r="B22" s="9">
        <v>366.32</v>
      </c>
      <c r="C22" s="9">
        <v>211.8</v>
      </c>
      <c r="D22" s="9">
        <v>33.700000000000003</v>
      </c>
      <c r="E22" s="9"/>
      <c r="F22" s="9"/>
      <c r="G22" s="9"/>
      <c r="H22" s="9"/>
      <c r="I22" s="9"/>
      <c r="J22" s="9"/>
      <c r="K22" s="9"/>
      <c r="L22" s="9">
        <v>120</v>
      </c>
      <c r="M22" s="31">
        <f t="shared" si="0"/>
        <v>365.5</v>
      </c>
      <c r="N22" s="27">
        <f t="shared" si="1"/>
        <v>120.82</v>
      </c>
      <c r="O22" s="41">
        <f t="shared" si="2"/>
        <v>-0.81999999999999318</v>
      </c>
      <c r="P22" s="28"/>
    </row>
    <row r="23" spans="1:16" ht="15.75" customHeight="1" x14ac:dyDescent="0.35">
      <c r="A23" s="26">
        <v>45007</v>
      </c>
      <c r="B23" s="9">
        <v>280.83999999999997</v>
      </c>
      <c r="C23" s="9">
        <v>100.82</v>
      </c>
      <c r="D23" s="9">
        <v>30.6</v>
      </c>
      <c r="E23" s="9"/>
      <c r="F23" s="9"/>
      <c r="G23" s="9"/>
      <c r="H23" s="9"/>
      <c r="I23" s="9"/>
      <c r="J23" s="9"/>
      <c r="K23" s="9"/>
      <c r="L23" s="9">
        <v>150</v>
      </c>
      <c r="M23" s="31">
        <f t="shared" si="0"/>
        <v>281.41999999999996</v>
      </c>
      <c r="N23" s="27">
        <f t="shared" si="1"/>
        <v>149.42000000000002</v>
      </c>
      <c r="O23" s="41">
        <f t="shared" si="2"/>
        <v>0.57999999999998408</v>
      </c>
      <c r="P23" s="28">
        <v>76.48</v>
      </c>
    </row>
    <row r="24" spans="1:16" ht="15.75" customHeight="1" x14ac:dyDescent="0.35">
      <c r="A24" s="26">
        <v>45008</v>
      </c>
      <c r="B24" s="9">
        <v>90.6</v>
      </c>
      <c r="C24" s="9">
        <v>45</v>
      </c>
      <c r="D24" s="9">
        <v>0</v>
      </c>
      <c r="E24" s="9"/>
      <c r="F24" s="9"/>
      <c r="G24" s="9"/>
      <c r="H24" s="9">
        <v>18.899999999999999</v>
      </c>
      <c r="I24" s="9"/>
      <c r="J24" s="9"/>
      <c r="K24" s="9"/>
      <c r="L24" s="9">
        <v>30</v>
      </c>
      <c r="M24" s="31">
        <f t="shared" si="0"/>
        <v>93.9</v>
      </c>
      <c r="N24" s="27">
        <f t="shared" si="1"/>
        <v>26.699999999999989</v>
      </c>
      <c r="O24" s="41">
        <f t="shared" si="2"/>
        <v>3.3000000000000114</v>
      </c>
      <c r="P24" s="28">
        <v>72.88</v>
      </c>
    </row>
    <row r="25" spans="1:16" ht="15.75" customHeight="1" x14ac:dyDescent="0.35">
      <c r="A25" s="26">
        <v>45009</v>
      </c>
      <c r="B25" s="9">
        <v>730.16</v>
      </c>
      <c r="C25" s="9">
        <v>460.4</v>
      </c>
      <c r="D25" s="9">
        <v>37.5</v>
      </c>
      <c r="E25" s="9"/>
      <c r="F25" s="9"/>
      <c r="G25" s="9"/>
      <c r="H25" s="9">
        <v>18.899999999999999</v>
      </c>
      <c r="I25" s="9"/>
      <c r="J25" s="9"/>
      <c r="K25" s="9"/>
      <c r="L25" s="9">
        <v>215</v>
      </c>
      <c r="M25" s="31">
        <f t="shared" si="0"/>
        <v>731.8</v>
      </c>
      <c r="N25" s="27">
        <f t="shared" si="1"/>
        <v>213.36</v>
      </c>
      <c r="O25" s="41">
        <f t="shared" si="2"/>
        <v>1.6399999999999864</v>
      </c>
      <c r="P25" s="28"/>
    </row>
    <row r="26" spans="1:16" ht="15.75" customHeight="1" x14ac:dyDescent="0.35">
      <c r="A26" s="26">
        <v>45010</v>
      </c>
      <c r="B26" s="9">
        <v>739.82</v>
      </c>
      <c r="C26" s="9">
        <v>468.94</v>
      </c>
      <c r="D26" s="9">
        <v>81.5</v>
      </c>
      <c r="E26" s="9"/>
      <c r="F26" s="9"/>
      <c r="G26" s="9"/>
      <c r="H26" s="9"/>
      <c r="I26" s="9"/>
      <c r="J26" s="9"/>
      <c r="K26" s="9"/>
      <c r="L26" s="9">
        <v>195</v>
      </c>
      <c r="M26" s="31">
        <f t="shared" si="0"/>
        <v>745.44</v>
      </c>
      <c r="N26" s="27">
        <f t="shared" si="1"/>
        <v>189.38</v>
      </c>
      <c r="O26" s="41">
        <f t="shared" si="2"/>
        <v>5.6200000000000045</v>
      </c>
      <c r="P26" s="28">
        <v>65.790000000000006</v>
      </c>
    </row>
    <row r="27" spans="1:16" ht="15.75" customHeight="1" x14ac:dyDescent="0.35">
      <c r="A27" s="26">
        <v>45011</v>
      </c>
      <c r="B27" s="9">
        <v>1666.88</v>
      </c>
      <c r="C27" s="9">
        <v>1139.98</v>
      </c>
      <c r="D27" s="9">
        <v>133.80000000000001</v>
      </c>
      <c r="E27" s="9"/>
      <c r="F27" s="9"/>
      <c r="G27" s="9"/>
      <c r="H27" s="9">
        <v>20.9</v>
      </c>
      <c r="I27" s="9"/>
      <c r="J27" s="9"/>
      <c r="K27" s="9"/>
      <c r="L27" s="9">
        <v>360</v>
      </c>
      <c r="M27" s="31">
        <f t="shared" si="0"/>
        <v>1654.68</v>
      </c>
      <c r="N27" s="27">
        <f t="shared" si="1"/>
        <v>372.20000000000005</v>
      </c>
      <c r="O27" s="41">
        <f t="shared" si="2"/>
        <v>-12.200000000000045</v>
      </c>
      <c r="P27" s="28">
        <v>78.14</v>
      </c>
    </row>
    <row r="28" spans="1:16" ht="15.75" customHeight="1" x14ac:dyDescent="0.35">
      <c r="A28" s="26">
        <v>45012</v>
      </c>
      <c r="B28" s="9">
        <v>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31">
        <f t="shared" si="0"/>
        <v>0</v>
      </c>
      <c r="N28" s="27">
        <f t="shared" si="1"/>
        <v>0</v>
      </c>
      <c r="O28" s="41">
        <f t="shared" si="2"/>
        <v>0</v>
      </c>
      <c r="P28" s="28"/>
    </row>
    <row r="29" spans="1:16" ht="15.75" customHeight="1" x14ac:dyDescent="0.35">
      <c r="A29" s="26">
        <v>45013</v>
      </c>
      <c r="B29" s="9">
        <v>511.7</v>
      </c>
      <c r="C29" s="9">
        <v>354.6</v>
      </c>
      <c r="D29" s="9">
        <v>39.9</v>
      </c>
      <c r="E29" s="9"/>
      <c r="F29" s="9"/>
      <c r="G29" s="9"/>
      <c r="H29" s="9"/>
      <c r="I29" s="9"/>
      <c r="J29" s="9"/>
      <c r="K29" s="9"/>
      <c r="L29" s="9">
        <v>120</v>
      </c>
      <c r="M29" s="31">
        <f t="shared" si="0"/>
        <v>514.5</v>
      </c>
      <c r="N29" s="27">
        <f t="shared" si="1"/>
        <v>117.19999999999999</v>
      </c>
      <c r="O29" s="41">
        <f t="shared" si="2"/>
        <v>2.8000000000000114</v>
      </c>
      <c r="P29" s="28">
        <v>75.84</v>
      </c>
    </row>
    <row r="30" spans="1:16" ht="15.75" customHeight="1" x14ac:dyDescent="0.35">
      <c r="A30" s="26">
        <v>45014</v>
      </c>
      <c r="B30" s="9">
        <v>385.1</v>
      </c>
      <c r="C30" s="9">
        <v>105.2</v>
      </c>
      <c r="D30" s="9">
        <v>4.8</v>
      </c>
      <c r="E30" s="9"/>
      <c r="F30" s="9"/>
      <c r="G30" s="9">
        <v>18.899999999999999</v>
      </c>
      <c r="H30" s="9"/>
      <c r="I30" s="9"/>
      <c r="J30" s="9"/>
      <c r="K30" s="16">
        <v>142.4</v>
      </c>
      <c r="L30" s="9">
        <v>115</v>
      </c>
      <c r="M30" s="31">
        <f t="shared" si="0"/>
        <v>386.3</v>
      </c>
      <c r="N30" s="27">
        <f t="shared" si="1"/>
        <v>113.80000000000001</v>
      </c>
      <c r="O30" s="41">
        <f t="shared" si="2"/>
        <v>1.1999999999999886</v>
      </c>
      <c r="P30" s="28">
        <v>75.91</v>
      </c>
    </row>
    <row r="31" spans="1:16" ht="15.75" customHeight="1" x14ac:dyDescent="0.35">
      <c r="A31" s="26">
        <v>45015</v>
      </c>
      <c r="B31" s="9">
        <v>249</v>
      </c>
      <c r="C31" s="9">
        <v>155.5</v>
      </c>
      <c r="D31" s="9">
        <v>12.4</v>
      </c>
      <c r="E31" s="9"/>
      <c r="F31" s="9"/>
      <c r="G31" s="9"/>
      <c r="H31" s="9">
        <v>18.899999999999999</v>
      </c>
      <c r="I31" s="9"/>
      <c r="J31" s="9"/>
      <c r="K31" s="9"/>
      <c r="L31" s="9">
        <v>65</v>
      </c>
      <c r="M31" s="31">
        <f t="shared" si="0"/>
        <v>251.8</v>
      </c>
      <c r="N31" s="27">
        <f t="shared" si="1"/>
        <v>62.199999999999989</v>
      </c>
      <c r="O31" s="41">
        <f t="shared" si="2"/>
        <v>2.8000000000000114</v>
      </c>
      <c r="P31" s="28"/>
    </row>
    <row r="32" spans="1:16" ht="15.75" customHeight="1" x14ac:dyDescent="0.35">
      <c r="A32" s="26">
        <v>45016</v>
      </c>
      <c r="B32" s="9">
        <v>688.39</v>
      </c>
      <c r="C32" s="9">
        <v>432.19</v>
      </c>
      <c r="D32" s="9">
        <v>74.3</v>
      </c>
      <c r="E32" s="9"/>
      <c r="F32" s="9"/>
      <c r="G32" s="9"/>
      <c r="H32" s="9">
        <v>36.9</v>
      </c>
      <c r="I32" s="9"/>
      <c r="J32" s="9"/>
      <c r="K32" s="9"/>
      <c r="L32" s="9">
        <v>150</v>
      </c>
      <c r="M32" s="31">
        <f t="shared" si="0"/>
        <v>693.39</v>
      </c>
      <c r="N32" s="27">
        <f t="shared" si="1"/>
        <v>145</v>
      </c>
      <c r="O32" s="41">
        <f t="shared" si="2"/>
        <v>5</v>
      </c>
      <c r="P32" s="28"/>
    </row>
    <row r="33" spans="1:18" ht="15.75" customHeight="1" x14ac:dyDescent="0.35">
      <c r="A33" s="26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31">
        <f t="shared" si="0"/>
        <v>0</v>
      </c>
      <c r="N33" s="27">
        <f t="shared" si="1"/>
        <v>0</v>
      </c>
      <c r="O33" s="41">
        <f t="shared" si="2"/>
        <v>0</v>
      </c>
      <c r="P33" s="28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 t="e">
        <f>SUM(M2:M33)</f>
        <v>#REF!</v>
      </c>
      <c r="N34" s="72" t="e">
        <f>M34-O34</f>
        <v>#REF!</v>
      </c>
      <c r="O34" s="49" t="e">
        <f>SUM(O2:O33)</f>
        <v>#REF!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000"/>
  <sheetViews>
    <sheetView workbookViewId="0">
      <pane ySplit="1" topLeftCell="A17" activePane="bottomLeft" state="frozen"/>
      <selection pane="bottomLeft" activeCell="B17" sqref="B17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45017</v>
      </c>
      <c r="B2" s="9">
        <v>688.39</v>
      </c>
      <c r="C2" s="9">
        <v>432.19</v>
      </c>
      <c r="D2" s="9">
        <v>74.3</v>
      </c>
      <c r="E2" s="9"/>
      <c r="F2" s="9"/>
      <c r="G2" s="9"/>
      <c r="H2" s="9">
        <v>36.9</v>
      </c>
      <c r="I2" s="9"/>
      <c r="J2" s="9"/>
      <c r="K2" s="9"/>
      <c r="L2" s="9">
        <v>150</v>
      </c>
      <c r="M2" s="31">
        <f t="shared" ref="M2:M33" si="0">C2+D2+E2+F2+G2+H2+I2+J2+L2+K2</f>
        <v>693.39</v>
      </c>
      <c r="N2" s="27">
        <f t="shared" ref="N2:N33" si="1">L2-O2</f>
        <v>145</v>
      </c>
      <c r="O2" s="32">
        <f t="shared" ref="O2:O33" si="2">M2-B2-F2</f>
        <v>5</v>
      </c>
      <c r="P2" s="33"/>
    </row>
    <row r="3" spans="1:18" ht="15.75" customHeight="1" x14ac:dyDescent="0.35">
      <c r="A3" s="26">
        <v>45018</v>
      </c>
      <c r="B3" s="9">
        <v>1748.08</v>
      </c>
      <c r="C3" s="9">
        <v>1000.5</v>
      </c>
      <c r="D3" s="9">
        <v>140.68</v>
      </c>
      <c r="E3" s="9"/>
      <c r="F3" s="9"/>
      <c r="G3" s="9"/>
      <c r="H3" s="9">
        <v>18.899999999999999</v>
      </c>
      <c r="I3" s="9"/>
      <c r="J3" s="9"/>
      <c r="K3" s="9"/>
      <c r="L3" s="9">
        <v>600</v>
      </c>
      <c r="M3" s="31">
        <f t="shared" si="0"/>
        <v>1760.0800000000002</v>
      </c>
      <c r="N3" s="27">
        <f t="shared" si="1"/>
        <v>587.99999999999977</v>
      </c>
      <c r="O3" s="70">
        <f t="shared" si="2"/>
        <v>12.000000000000227</v>
      </c>
      <c r="P3" s="28">
        <v>74.510000000000005</v>
      </c>
      <c r="Q3" s="56"/>
    </row>
    <row r="4" spans="1:18" ht="15.75" customHeight="1" x14ac:dyDescent="0.35">
      <c r="A4" s="26">
        <v>45019</v>
      </c>
      <c r="B4" s="9">
        <v>0</v>
      </c>
      <c r="C4" s="9"/>
      <c r="D4" s="9"/>
      <c r="E4" s="9"/>
      <c r="F4" s="9"/>
      <c r="G4" s="9"/>
      <c r="H4" s="9"/>
      <c r="I4" s="9"/>
      <c r="J4" s="9"/>
      <c r="K4" s="9"/>
      <c r="L4" s="9"/>
      <c r="M4" s="31">
        <f t="shared" si="0"/>
        <v>0</v>
      </c>
      <c r="N4" s="27">
        <f t="shared" si="1"/>
        <v>0</v>
      </c>
      <c r="O4" s="41">
        <f t="shared" si="2"/>
        <v>0</v>
      </c>
      <c r="P4" s="28"/>
    </row>
    <row r="5" spans="1:18" ht="15.75" customHeight="1" x14ac:dyDescent="0.35">
      <c r="A5" s="26">
        <v>45020</v>
      </c>
      <c r="B5" s="9">
        <v>943.18</v>
      </c>
      <c r="C5" s="9">
        <v>545.78</v>
      </c>
      <c r="D5" s="9">
        <v>124.5</v>
      </c>
      <c r="E5" s="9"/>
      <c r="F5" s="9"/>
      <c r="G5" s="9"/>
      <c r="H5" s="9">
        <v>32.9</v>
      </c>
      <c r="I5" s="9"/>
      <c r="J5" s="9"/>
      <c r="K5" s="9"/>
      <c r="L5" s="9">
        <v>240</v>
      </c>
      <c r="M5" s="31">
        <f t="shared" si="0"/>
        <v>943.18</v>
      </c>
      <c r="N5" s="27">
        <f t="shared" si="1"/>
        <v>240</v>
      </c>
      <c r="O5" s="41">
        <f t="shared" si="2"/>
        <v>0</v>
      </c>
      <c r="P5" s="28">
        <v>74.31</v>
      </c>
    </row>
    <row r="6" spans="1:18" ht="15.75" customHeight="1" x14ac:dyDescent="0.35">
      <c r="A6" s="26">
        <v>45021</v>
      </c>
      <c r="B6" s="9">
        <v>907</v>
      </c>
      <c r="C6" s="9">
        <v>409.7</v>
      </c>
      <c r="D6" s="9">
        <v>59.3</v>
      </c>
      <c r="E6" s="9"/>
      <c r="F6" s="9"/>
      <c r="G6" s="9"/>
      <c r="H6" s="9">
        <v>20</v>
      </c>
      <c r="I6" s="9"/>
      <c r="J6" s="9"/>
      <c r="K6" s="9"/>
      <c r="L6" s="9">
        <v>430</v>
      </c>
      <c r="M6" s="31">
        <f t="shared" si="0"/>
        <v>919</v>
      </c>
      <c r="N6" s="27">
        <f t="shared" si="1"/>
        <v>418</v>
      </c>
      <c r="O6" s="41">
        <f t="shared" si="2"/>
        <v>12</v>
      </c>
      <c r="P6" s="28">
        <v>74.38</v>
      </c>
    </row>
    <row r="7" spans="1:18" ht="15.75" customHeight="1" x14ac:dyDescent="0.35">
      <c r="A7" s="26">
        <v>45022</v>
      </c>
      <c r="B7" s="9">
        <v>1430.3</v>
      </c>
      <c r="C7" s="9">
        <v>792.84</v>
      </c>
      <c r="D7" s="9">
        <v>120.6</v>
      </c>
      <c r="E7" s="9"/>
      <c r="F7" s="9"/>
      <c r="G7" s="9"/>
      <c r="H7" s="9"/>
      <c r="I7" s="9"/>
      <c r="J7" s="9"/>
      <c r="K7" s="16">
        <v>87.76</v>
      </c>
      <c r="L7" s="9">
        <v>435</v>
      </c>
      <c r="M7" s="31">
        <f t="shared" si="0"/>
        <v>1436.2</v>
      </c>
      <c r="N7" s="27">
        <f t="shared" si="1"/>
        <v>429.09999999999991</v>
      </c>
      <c r="O7" s="41">
        <f t="shared" si="2"/>
        <v>5.9000000000000909</v>
      </c>
      <c r="P7" s="28">
        <v>73.84</v>
      </c>
    </row>
    <row r="8" spans="1:18" ht="15.75" customHeight="1" x14ac:dyDescent="0.35">
      <c r="A8" s="26">
        <v>45023</v>
      </c>
      <c r="B8" s="9">
        <v>1572.58</v>
      </c>
      <c r="C8" s="9">
        <v>1057.28</v>
      </c>
      <c r="D8" s="9">
        <v>66.599999999999994</v>
      </c>
      <c r="E8" s="9"/>
      <c r="F8" s="9"/>
      <c r="G8" s="9"/>
      <c r="H8" s="9">
        <v>18.899999999999999</v>
      </c>
      <c r="I8" s="9"/>
      <c r="J8" s="9"/>
      <c r="K8" s="9"/>
      <c r="L8" s="9">
        <v>440</v>
      </c>
      <c r="M8" s="31">
        <f t="shared" si="0"/>
        <v>1582.78</v>
      </c>
      <c r="N8" s="27">
        <f t="shared" si="1"/>
        <v>429.79999999999995</v>
      </c>
      <c r="O8" s="41">
        <f t="shared" si="2"/>
        <v>10.200000000000045</v>
      </c>
      <c r="P8" s="28">
        <v>72.27</v>
      </c>
    </row>
    <row r="9" spans="1:18" ht="15.75" customHeight="1" x14ac:dyDescent="0.35">
      <c r="A9" s="26">
        <v>45024</v>
      </c>
      <c r="B9" s="9">
        <v>1595.56</v>
      </c>
      <c r="C9" s="9">
        <v>1106.56</v>
      </c>
      <c r="D9" s="9">
        <v>130.30000000000001</v>
      </c>
      <c r="E9" s="9"/>
      <c r="F9" s="9"/>
      <c r="G9" s="9"/>
      <c r="H9" s="9"/>
      <c r="I9" s="9"/>
      <c r="J9" s="9"/>
      <c r="K9" s="9"/>
      <c r="L9" s="9">
        <v>360</v>
      </c>
      <c r="M9" s="31">
        <f t="shared" si="0"/>
        <v>1596.86</v>
      </c>
      <c r="N9" s="27">
        <f t="shared" si="1"/>
        <v>358.70000000000005</v>
      </c>
      <c r="O9" s="41">
        <f t="shared" si="2"/>
        <v>1.2999999999999545</v>
      </c>
      <c r="P9" s="28">
        <v>70.44</v>
      </c>
    </row>
    <row r="10" spans="1:18" ht="15.75" customHeight="1" x14ac:dyDescent="0.35">
      <c r="A10" s="26">
        <v>45025</v>
      </c>
      <c r="B10" s="9">
        <v>723.54</v>
      </c>
      <c r="C10" s="9">
        <v>531.67999999999995</v>
      </c>
      <c r="D10" s="9">
        <v>68.56</v>
      </c>
      <c r="E10" s="9"/>
      <c r="F10" s="9"/>
      <c r="G10" s="9"/>
      <c r="H10" s="9"/>
      <c r="I10" s="9"/>
      <c r="J10" s="9"/>
      <c r="K10" s="9"/>
      <c r="L10" s="9">
        <v>120</v>
      </c>
      <c r="M10" s="31">
        <f t="shared" si="0"/>
        <v>720.24</v>
      </c>
      <c r="N10" s="27">
        <f t="shared" si="1"/>
        <v>123.29999999999995</v>
      </c>
      <c r="O10" s="41">
        <f t="shared" si="2"/>
        <v>-3.2999999999999545</v>
      </c>
      <c r="P10" s="28">
        <v>73.8</v>
      </c>
    </row>
    <row r="11" spans="1:18" ht="15.75" customHeight="1" x14ac:dyDescent="0.35">
      <c r="A11" s="26">
        <v>45026</v>
      </c>
      <c r="B11" s="9"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31">
        <f t="shared" si="0"/>
        <v>0</v>
      </c>
      <c r="N11" s="27">
        <f t="shared" si="1"/>
        <v>0</v>
      </c>
      <c r="O11" s="41">
        <f t="shared" si="2"/>
        <v>0</v>
      </c>
      <c r="P11" s="28"/>
    </row>
    <row r="12" spans="1:18" ht="15.75" customHeight="1" x14ac:dyDescent="0.35">
      <c r="A12" s="26">
        <v>45027</v>
      </c>
      <c r="B12" s="9">
        <v>524.29999999999995</v>
      </c>
      <c r="C12" s="9">
        <v>265.60000000000002</v>
      </c>
      <c r="D12" s="9">
        <v>31.6</v>
      </c>
      <c r="E12" s="9"/>
      <c r="F12" s="9"/>
      <c r="G12" s="9"/>
      <c r="H12" s="9">
        <v>18.899999999999999</v>
      </c>
      <c r="I12" s="9"/>
      <c r="J12" s="9"/>
      <c r="K12" s="9"/>
      <c r="L12" s="9">
        <v>215</v>
      </c>
      <c r="M12" s="31">
        <f t="shared" si="0"/>
        <v>531.1</v>
      </c>
      <c r="N12" s="27">
        <f t="shared" si="1"/>
        <v>208.19999999999993</v>
      </c>
      <c r="O12" s="41">
        <f t="shared" si="2"/>
        <v>6.8000000000000682</v>
      </c>
      <c r="P12" s="28">
        <v>75.319999999999993</v>
      </c>
      <c r="Q12" s="56"/>
    </row>
    <row r="13" spans="1:18" ht="15.75" customHeight="1" x14ac:dyDescent="0.35">
      <c r="A13" s="26">
        <v>45028</v>
      </c>
      <c r="B13" s="9">
        <v>373.46</v>
      </c>
      <c r="C13" s="9">
        <v>158.47999999999999</v>
      </c>
      <c r="D13" s="9">
        <v>43.4</v>
      </c>
      <c r="E13" s="9"/>
      <c r="F13" s="9"/>
      <c r="G13" s="9"/>
      <c r="H13" s="9">
        <v>20</v>
      </c>
      <c r="I13" s="9"/>
      <c r="J13" s="9"/>
      <c r="K13" s="9"/>
      <c r="L13" s="9">
        <v>160</v>
      </c>
      <c r="M13" s="31">
        <f t="shared" si="0"/>
        <v>381.88</v>
      </c>
      <c r="N13" s="27">
        <f t="shared" si="1"/>
        <v>151.57999999999998</v>
      </c>
      <c r="O13" s="41">
        <f t="shared" si="2"/>
        <v>8.4200000000000159</v>
      </c>
      <c r="P13" s="28">
        <v>66.3</v>
      </c>
    </row>
    <row r="14" spans="1:18" ht="15.75" customHeight="1" x14ac:dyDescent="0.35">
      <c r="A14" s="26">
        <v>45029</v>
      </c>
      <c r="B14" s="9">
        <v>439.2</v>
      </c>
      <c r="C14" s="9">
        <v>173.7</v>
      </c>
      <c r="D14" s="9">
        <v>4.8</v>
      </c>
      <c r="E14" s="9"/>
      <c r="F14" s="9"/>
      <c r="G14" s="9"/>
      <c r="H14" s="9">
        <v>32.9</v>
      </c>
      <c r="I14" s="9"/>
      <c r="J14" s="9"/>
      <c r="K14" s="9"/>
      <c r="L14" s="9">
        <v>220</v>
      </c>
      <c r="M14" s="31">
        <f t="shared" si="0"/>
        <v>431.4</v>
      </c>
      <c r="N14" s="27">
        <f t="shared" si="1"/>
        <v>227.8</v>
      </c>
      <c r="O14" s="41">
        <f t="shared" si="2"/>
        <v>-7.8000000000000114</v>
      </c>
      <c r="P14" s="28">
        <v>73.989999999999995</v>
      </c>
    </row>
    <row r="15" spans="1:18" ht="15.75" customHeight="1" x14ac:dyDescent="0.35">
      <c r="A15" s="26">
        <v>45030</v>
      </c>
      <c r="B15" s="9">
        <v>345.99</v>
      </c>
      <c r="C15" s="9">
        <v>136.69999999999999</v>
      </c>
      <c r="D15" s="9">
        <v>0</v>
      </c>
      <c r="E15" s="9"/>
      <c r="F15" s="9"/>
      <c r="G15" s="9"/>
      <c r="H15" s="9"/>
      <c r="I15" s="9"/>
      <c r="J15" s="9"/>
      <c r="K15" s="16">
        <f>115.04+14.75</f>
        <v>129.79000000000002</v>
      </c>
      <c r="L15" s="9">
        <v>80</v>
      </c>
      <c r="M15" s="31">
        <f t="shared" si="0"/>
        <v>346.49</v>
      </c>
      <c r="N15" s="27">
        <f t="shared" si="1"/>
        <v>79.5</v>
      </c>
      <c r="O15" s="41">
        <f t="shared" si="2"/>
        <v>0.5</v>
      </c>
      <c r="P15" s="28">
        <v>73.260000000000005</v>
      </c>
    </row>
    <row r="16" spans="1:18" ht="15.75" customHeight="1" x14ac:dyDescent="0.35">
      <c r="A16" s="26">
        <v>45031</v>
      </c>
      <c r="B16" s="9">
        <v>1607.4</v>
      </c>
      <c r="C16" s="9">
        <v>1118.18</v>
      </c>
      <c r="D16" s="9">
        <v>131.41999999999999</v>
      </c>
      <c r="E16" s="9"/>
      <c r="F16" s="9"/>
      <c r="G16" s="9"/>
      <c r="H16" s="9">
        <v>33.9</v>
      </c>
      <c r="I16" s="9"/>
      <c r="J16" s="9"/>
      <c r="K16" s="9"/>
      <c r="L16" s="9">
        <v>310</v>
      </c>
      <c r="M16" s="31">
        <f t="shared" si="0"/>
        <v>1593.5000000000002</v>
      </c>
      <c r="N16" s="27">
        <f t="shared" si="1"/>
        <v>323.89999999999986</v>
      </c>
      <c r="O16" s="41">
        <f t="shared" si="2"/>
        <v>-13.899999999999864</v>
      </c>
      <c r="P16" s="28"/>
    </row>
    <row r="17" spans="1:16" ht="15.75" customHeight="1" x14ac:dyDescent="0.35">
      <c r="A17" s="26">
        <v>45032</v>
      </c>
      <c r="B17" s="9">
        <v>2238.9699999999998</v>
      </c>
      <c r="C17" s="9">
        <v>1385.37</v>
      </c>
      <c r="D17" s="9">
        <v>281.27999999999997</v>
      </c>
      <c r="E17" s="9"/>
      <c r="F17" s="9"/>
      <c r="G17" s="9"/>
      <c r="H17" s="9">
        <v>18.899999999999999</v>
      </c>
      <c r="I17" s="9"/>
      <c r="J17" s="9"/>
      <c r="K17" s="9"/>
      <c r="L17" s="9">
        <v>560</v>
      </c>
      <c r="M17" s="31">
        <f t="shared" si="0"/>
        <v>2245.5500000000002</v>
      </c>
      <c r="N17" s="27">
        <f t="shared" si="1"/>
        <v>553.41999999999962</v>
      </c>
      <c r="O17" s="41">
        <f t="shared" si="2"/>
        <v>6.580000000000382</v>
      </c>
      <c r="P17" s="28">
        <v>72.05</v>
      </c>
    </row>
    <row r="18" spans="1:16" ht="15.75" customHeight="1" x14ac:dyDescent="0.35">
      <c r="A18" s="26">
        <v>45033</v>
      </c>
      <c r="B18" s="9">
        <v>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31">
        <f t="shared" si="0"/>
        <v>0</v>
      </c>
      <c r="N18" s="27">
        <f t="shared" si="1"/>
        <v>0</v>
      </c>
      <c r="O18" s="41">
        <f t="shared" si="2"/>
        <v>0</v>
      </c>
      <c r="P18" s="28"/>
    </row>
    <row r="19" spans="1:16" ht="15.75" customHeight="1" x14ac:dyDescent="0.35">
      <c r="A19" s="26">
        <v>45034</v>
      </c>
      <c r="B19" s="9">
        <v>610.84</v>
      </c>
      <c r="C19" s="9">
        <v>432.74</v>
      </c>
      <c r="D19" s="9">
        <v>23.8</v>
      </c>
      <c r="E19" s="9"/>
      <c r="F19" s="9"/>
      <c r="G19" s="9"/>
      <c r="H19" s="9"/>
      <c r="I19" s="9"/>
      <c r="J19" s="9"/>
      <c r="K19" s="9"/>
      <c r="L19" s="9">
        <v>140</v>
      </c>
      <c r="M19" s="31">
        <f t="shared" si="0"/>
        <v>596.54</v>
      </c>
      <c r="N19" s="27">
        <f t="shared" si="1"/>
        <v>154.30000000000007</v>
      </c>
      <c r="O19" s="41">
        <f t="shared" si="2"/>
        <v>-14.300000000000068</v>
      </c>
      <c r="P19" s="28">
        <v>73</v>
      </c>
    </row>
    <row r="20" spans="1:16" ht="15.75" customHeight="1" x14ac:dyDescent="0.35">
      <c r="A20" s="26">
        <v>45035</v>
      </c>
      <c r="B20" s="9">
        <v>595.4</v>
      </c>
      <c r="C20" s="9">
        <v>273.3</v>
      </c>
      <c r="D20" s="9">
        <v>26.8</v>
      </c>
      <c r="E20" s="9"/>
      <c r="F20" s="9"/>
      <c r="G20" s="9"/>
      <c r="H20" s="9">
        <v>79.7</v>
      </c>
      <c r="I20" s="9"/>
      <c r="J20" s="9"/>
      <c r="K20" s="9"/>
      <c r="L20" s="9">
        <v>215</v>
      </c>
      <c r="M20" s="31">
        <f t="shared" si="0"/>
        <v>594.79999999999995</v>
      </c>
      <c r="N20" s="27">
        <f t="shared" si="1"/>
        <v>215.60000000000002</v>
      </c>
      <c r="O20" s="41">
        <f t="shared" si="2"/>
        <v>-0.60000000000002274</v>
      </c>
      <c r="P20" s="28"/>
    </row>
    <row r="21" spans="1:16" ht="15.75" customHeight="1" x14ac:dyDescent="0.35">
      <c r="A21" s="26">
        <v>45036</v>
      </c>
      <c r="B21" s="9">
        <v>572.95000000000005</v>
      </c>
      <c r="C21" s="9">
        <v>348.25</v>
      </c>
      <c r="D21" s="9">
        <v>55.3</v>
      </c>
      <c r="E21" s="9"/>
      <c r="F21" s="9"/>
      <c r="G21" s="9"/>
      <c r="H21" s="9"/>
      <c r="I21" s="9"/>
      <c r="J21" s="9"/>
      <c r="K21" s="9"/>
      <c r="L21" s="9">
        <v>170</v>
      </c>
      <c r="M21" s="31">
        <f t="shared" si="0"/>
        <v>573.54999999999995</v>
      </c>
      <c r="N21" s="27">
        <f t="shared" si="1"/>
        <v>169.40000000000009</v>
      </c>
      <c r="O21" s="41">
        <f t="shared" si="2"/>
        <v>0.59999999999990905</v>
      </c>
      <c r="P21" s="28"/>
    </row>
    <row r="22" spans="1:16" ht="15.75" customHeight="1" x14ac:dyDescent="0.35">
      <c r="A22" s="26">
        <v>45037</v>
      </c>
      <c r="B22" s="9">
        <v>440</v>
      </c>
      <c r="C22" s="9">
        <v>210.4</v>
      </c>
      <c r="D22" s="9">
        <v>39.1</v>
      </c>
      <c r="E22" s="9"/>
      <c r="F22" s="9"/>
      <c r="G22" s="9"/>
      <c r="H22" s="9">
        <v>18.899999999999999</v>
      </c>
      <c r="I22" s="9"/>
      <c r="J22" s="9"/>
      <c r="K22" s="16">
        <v>53.38</v>
      </c>
      <c r="L22" s="9">
        <v>120</v>
      </c>
      <c r="M22" s="31">
        <f t="shared" si="0"/>
        <v>441.78</v>
      </c>
      <c r="N22" s="27">
        <f t="shared" si="1"/>
        <v>118.22000000000003</v>
      </c>
      <c r="O22" s="41">
        <f t="shared" si="2"/>
        <v>1.7799999999999727</v>
      </c>
      <c r="P22" s="28"/>
    </row>
    <row r="23" spans="1:16" ht="15.75" customHeight="1" x14ac:dyDescent="0.35">
      <c r="A23" s="26">
        <v>45038</v>
      </c>
      <c r="B23" s="9">
        <v>1219.06</v>
      </c>
      <c r="C23" s="9">
        <v>951.76</v>
      </c>
      <c r="D23" s="9">
        <v>57.6</v>
      </c>
      <c r="E23" s="9"/>
      <c r="F23" s="9"/>
      <c r="G23" s="9"/>
      <c r="H23" s="9"/>
      <c r="I23" s="9"/>
      <c r="J23" s="9"/>
      <c r="K23" s="9"/>
      <c r="L23" s="9">
        <v>210</v>
      </c>
      <c r="M23" s="31">
        <f t="shared" si="0"/>
        <v>1219.3600000000001</v>
      </c>
      <c r="N23" s="27">
        <f t="shared" si="1"/>
        <v>209.69999999999982</v>
      </c>
      <c r="O23" s="41">
        <f t="shared" si="2"/>
        <v>0.3000000000001819</v>
      </c>
      <c r="P23" s="28"/>
    </row>
    <row r="24" spans="1:16" ht="15.75" customHeight="1" x14ac:dyDescent="0.35">
      <c r="A24" s="26">
        <v>45039</v>
      </c>
      <c r="B24" s="9">
        <v>772.18</v>
      </c>
      <c r="C24" s="9">
        <v>597.48</v>
      </c>
      <c r="D24" s="9">
        <v>59.1</v>
      </c>
      <c r="E24" s="9"/>
      <c r="F24" s="9"/>
      <c r="G24" s="9"/>
      <c r="H24" s="9"/>
      <c r="I24" s="9"/>
      <c r="J24" s="9"/>
      <c r="K24" s="9"/>
      <c r="L24" s="9">
        <v>120</v>
      </c>
      <c r="M24" s="31">
        <f t="shared" si="0"/>
        <v>776.58</v>
      </c>
      <c r="N24" s="27">
        <f t="shared" si="1"/>
        <v>115.59999999999991</v>
      </c>
      <c r="O24" s="41">
        <f t="shared" si="2"/>
        <v>4.4000000000000909</v>
      </c>
      <c r="P24" s="28">
        <v>69.19</v>
      </c>
    </row>
    <row r="25" spans="1:16" ht="15.75" customHeight="1" x14ac:dyDescent="0.35">
      <c r="A25" s="26">
        <v>45040</v>
      </c>
      <c r="B25" s="9">
        <v>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31">
        <f t="shared" si="0"/>
        <v>0</v>
      </c>
      <c r="N25" s="27">
        <f t="shared" si="1"/>
        <v>0</v>
      </c>
      <c r="O25" s="41">
        <f t="shared" si="2"/>
        <v>0</v>
      </c>
      <c r="P25" s="28"/>
    </row>
    <row r="26" spans="1:16" ht="15.75" customHeight="1" x14ac:dyDescent="0.35">
      <c r="A26" s="26">
        <v>45041</v>
      </c>
      <c r="B26" s="9">
        <v>1681.46</v>
      </c>
      <c r="C26" s="9">
        <v>1093.26</v>
      </c>
      <c r="D26" s="9">
        <v>136.69999999999999</v>
      </c>
      <c r="E26" s="9"/>
      <c r="F26" s="9"/>
      <c r="G26" s="9">
        <v>20.9</v>
      </c>
      <c r="H26" s="9">
        <v>40.9</v>
      </c>
      <c r="I26" s="9"/>
      <c r="J26" s="9"/>
      <c r="K26" s="9"/>
      <c r="L26" s="9">
        <v>390</v>
      </c>
      <c r="M26" s="31">
        <f t="shared" si="0"/>
        <v>1681.7600000000002</v>
      </c>
      <c r="N26" s="27">
        <f t="shared" si="1"/>
        <v>389.69999999999982</v>
      </c>
      <c r="O26" s="41">
        <f t="shared" si="2"/>
        <v>0.3000000000001819</v>
      </c>
      <c r="P26" s="28"/>
    </row>
    <row r="27" spans="1:16" ht="15.75" customHeight="1" x14ac:dyDescent="0.35">
      <c r="A27" s="26">
        <v>45042</v>
      </c>
      <c r="B27" s="9">
        <v>394.07</v>
      </c>
      <c r="C27" s="9">
        <v>203.82</v>
      </c>
      <c r="D27" s="9">
        <v>28.6</v>
      </c>
      <c r="E27" s="9"/>
      <c r="F27" s="9"/>
      <c r="G27" s="9"/>
      <c r="H27" s="9">
        <v>19.899999999999999</v>
      </c>
      <c r="I27" s="9"/>
      <c r="J27" s="9"/>
      <c r="K27" s="9"/>
      <c r="L27" s="9">
        <v>140</v>
      </c>
      <c r="M27" s="31">
        <f t="shared" si="0"/>
        <v>392.32</v>
      </c>
      <c r="N27" s="27">
        <f t="shared" si="1"/>
        <v>141.75</v>
      </c>
      <c r="O27" s="41">
        <f t="shared" si="2"/>
        <v>-1.75</v>
      </c>
      <c r="P27" s="28"/>
    </row>
    <row r="28" spans="1:16" ht="15.75" customHeight="1" x14ac:dyDescent="0.35">
      <c r="A28" s="26">
        <v>45043</v>
      </c>
      <c r="B28" s="9">
        <v>424.9</v>
      </c>
      <c r="C28" s="9">
        <v>232.3</v>
      </c>
      <c r="D28" s="9">
        <v>5.3</v>
      </c>
      <c r="E28" s="9"/>
      <c r="F28" s="9"/>
      <c r="G28" s="9"/>
      <c r="H28" s="9"/>
      <c r="I28" s="9"/>
      <c r="J28" s="9"/>
      <c r="K28" s="9"/>
      <c r="L28" s="9">
        <v>190</v>
      </c>
      <c r="M28" s="31">
        <f t="shared" si="0"/>
        <v>427.6</v>
      </c>
      <c r="N28" s="27">
        <f t="shared" si="1"/>
        <v>187.29999999999995</v>
      </c>
      <c r="O28" s="41">
        <f t="shared" si="2"/>
        <v>2.7000000000000455</v>
      </c>
      <c r="P28" s="28"/>
    </row>
    <row r="29" spans="1:16" ht="15.75" customHeight="1" x14ac:dyDescent="0.35">
      <c r="A29" s="26">
        <v>45044</v>
      </c>
      <c r="B29" s="9">
        <v>767.04</v>
      </c>
      <c r="C29" s="9">
        <v>360.35</v>
      </c>
      <c r="D29" s="9">
        <v>26.6</v>
      </c>
      <c r="E29" s="9"/>
      <c r="F29" s="9"/>
      <c r="G29" s="9"/>
      <c r="H29" s="9">
        <v>89.8</v>
      </c>
      <c r="I29" s="9"/>
      <c r="J29" s="9"/>
      <c r="K29" s="16">
        <f>115.54+14.75</f>
        <v>130.29000000000002</v>
      </c>
      <c r="L29" s="9">
        <v>160</v>
      </c>
      <c r="M29" s="31">
        <f t="shared" si="0"/>
        <v>767.04</v>
      </c>
      <c r="N29" s="27">
        <f t="shared" si="1"/>
        <v>160</v>
      </c>
      <c r="O29" s="41">
        <f t="shared" si="2"/>
        <v>0</v>
      </c>
      <c r="P29" s="28"/>
    </row>
    <row r="30" spans="1:16" ht="15.75" customHeight="1" x14ac:dyDescent="0.35">
      <c r="A30" s="26">
        <v>45045</v>
      </c>
      <c r="B30" s="9">
        <v>1294.93</v>
      </c>
      <c r="C30" s="9">
        <v>906.93</v>
      </c>
      <c r="D30" s="9">
        <v>115.3</v>
      </c>
      <c r="E30" s="9"/>
      <c r="F30" s="9"/>
      <c r="G30" s="9"/>
      <c r="H30" s="9"/>
      <c r="I30" s="9"/>
      <c r="J30" s="9"/>
      <c r="K30" s="9"/>
      <c r="L30" s="9">
        <v>280</v>
      </c>
      <c r="M30" s="31">
        <f t="shared" si="0"/>
        <v>1302.23</v>
      </c>
      <c r="N30" s="27">
        <f t="shared" si="1"/>
        <v>272.70000000000005</v>
      </c>
      <c r="O30" s="41">
        <f t="shared" si="2"/>
        <v>7.2999999999999545</v>
      </c>
      <c r="P30" s="28"/>
    </row>
    <row r="31" spans="1:16" ht="15.75" customHeight="1" x14ac:dyDescent="0.35">
      <c r="A31" s="26">
        <v>45046</v>
      </c>
      <c r="B31" s="9">
        <v>1458.88</v>
      </c>
      <c r="C31" s="9">
        <v>1010.32</v>
      </c>
      <c r="D31" s="9">
        <v>36.299999999999997</v>
      </c>
      <c r="E31" s="9"/>
      <c r="F31" s="9"/>
      <c r="G31" s="9"/>
      <c r="H31" s="9">
        <v>18.899999999999999</v>
      </c>
      <c r="I31" s="9"/>
      <c r="J31" s="9"/>
      <c r="K31" s="9"/>
      <c r="L31" s="9">
        <v>400</v>
      </c>
      <c r="M31" s="31">
        <f t="shared" si="0"/>
        <v>1465.5200000000002</v>
      </c>
      <c r="N31" s="27">
        <f t="shared" si="1"/>
        <v>393.3599999999999</v>
      </c>
      <c r="O31" s="41">
        <f t="shared" si="2"/>
        <v>6.6400000000001</v>
      </c>
      <c r="P31" s="28"/>
    </row>
    <row r="32" spans="1:16" ht="15.75" customHeight="1" x14ac:dyDescent="0.35">
      <c r="A32" s="2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31">
        <f t="shared" si="0"/>
        <v>0</v>
      </c>
      <c r="N32" s="27">
        <f t="shared" si="1"/>
        <v>0</v>
      </c>
      <c r="O32" s="41">
        <f t="shared" si="2"/>
        <v>0</v>
      </c>
      <c r="P32" s="28"/>
    </row>
    <row r="33" spans="1:18" ht="15.75" customHeight="1" x14ac:dyDescent="0.35">
      <c r="A33" s="26"/>
      <c r="B33" s="44"/>
      <c r="C33" s="44"/>
      <c r="D33" s="44"/>
      <c r="E33" s="9"/>
      <c r="F33" s="9"/>
      <c r="G33" s="9"/>
      <c r="H33" s="44"/>
      <c r="I33" s="9"/>
      <c r="J33" s="9"/>
      <c r="K33" s="55"/>
      <c r="L33" s="44"/>
      <c r="M33" s="31">
        <f t="shared" si="0"/>
        <v>0</v>
      </c>
      <c r="N33" s="27">
        <f t="shared" si="1"/>
        <v>0</v>
      </c>
      <c r="O33" s="41">
        <f t="shared" si="2"/>
        <v>0</v>
      </c>
      <c r="P33" s="28"/>
    </row>
    <row r="34" spans="1:18" ht="15.75" customHeight="1" x14ac:dyDescent="0.35">
      <c r="A34" s="270" t="s">
        <v>2661</v>
      </c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48">
        <f>SUM(M2:M33)</f>
        <v>25420.729999999996</v>
      </c>
      <c r="N34" s="72">
        <f>M34-O34</f>
        <v>25369.659999999996</v>
      </c>
      <c r="O34" s="49">
        <f>SUM(O2:O33)</f>
        <v>51.070000000001301</v>
      </c>
      <c r="P34" s="50"/>
      <c r="R34" s="51"/>
    </row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4:L34"/>
  </mergeCells>
  <pageMargins left="0.75" right="0.75" top="1" bottom="1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F288-CBAC-4C83-A627-B2300A5F1B0F}">
  <dimension ref="A1:R1000"/>
  <sheetViews>
    <sheetView workbookViewId="0">
      <pane ySplit="1" topLeftCell="A11" activePane="bottomLeft" state="frozen"/>
      <selection pane="bottomLeft" activeCell="A11" sqref="A11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45292</v>
      </c>
      <c r="B2" s="9">
        <v>0</v>
      </c>
      <c r="C2" s="9">
        <v>0</v>
      </c>
      <c r="D2" s="9">
        <v>0</v>
      </c>
      <c r="E2" s="9"/>
      <c r="F2" s="9"/>
      <c r="G2" s="9"/>
      <c r="H2" s="9"/>
      <c r="I2" s="9"/>
      <c r="J2" s="9"/>
      <c r="K2" s="9"/>
      <c r="L2" s="9">
        <v>0</v>
      </c>
      <c r="M2" s="31">
        <f t="shared" ref="M2:M32" si="0">C2+D2+E2+F2+G2+H2+I2+J2+L2+K2</f>
        <v>0</v>
      </c>
      <c r="N2" s="27">
        <f t="shared" ref="N2:N32" si="1">L2-O2</f>
        <v>0</v>
      </c>
      <c r="O2" s="32">
        <f t="shared" ref="O2:O32" si="2">M2-B2-F2</f>
        <v>0</v>
      </c>
      <c r="P2" s="33"/>
    </row>
    <row r="3" spans="1:18" ht="15.75" customHeight="1" x14ac:dyDescent="0.35">
      <c r="A3" s="26">
        <v>45293</v>
      </c>
      <c r="B3" s="9">
        <v>188.45</v>
      </c>
      <c r="C3" s="9">
        <v>69.959999999999994</v>
      </c>
      <c r="D3" s="9">
        <v>20.5</v>
      </c>
      <c r="E3" s="9"/>
      <c r="F3" s="9"/>
      <c r="G3" s="9"/>
      <c r="H3" s="9">
        <v>18.899999999999999</v>
      </c>
      <c r="I3" s="9"/>
      <c r="J3" s="9"/>
      <c r="K3" s="9"/>
      <c r="L3" s="9">
        <v>80</v>
      </c>
      <c r="M3" s="31">
        <f t="shared" si="0"/>
        <v>189.35999999999999</v>
      </c>
      <c r="N3" s="27">
        <f t="shared" si="1"/>
        <v>79.09</v>
      </c>
      <c r="O3" s="70">
        <f t="shared" si="2"/>
        <v>0.90999999999999659</v>
      </c>
      <c r="P3" s="28"/>
      <c r="Q3" s="56"/>
    </row>
    <row r="4" spans="1:18" ht="15.75" customHeight="1" x14ac:dyDescent="0.35">
      <c r="A4" s="26">
        <v>45294</v>
      </c>
      <c r="B4" s="9">
        <v>154.4</v>
      </c>
      <c r="C4" s="9">
        <v>134.4</v>
      </c>
      <c r="D4" s="9">
        <v>0</v>
      </c>
      <c r="E4" s="9"/>
      <c r="F4" s="9"/>
      <c r="G4" s="9"/>
      <c r="H4" s="9"/>
      <c r="I4" s="9"/>
      <c r="J4" s="9"/>
      <c r="K4" s="9"/>
      <c r="L4" s="9">
        <v>20</v>
      </c>
      <c r="M4" s="31">
        <f t="shared" si="0"/>
        <v>154.4</v>
      </c>
      <c r="N4" s="27">
        <f t="shared" si="1"/>
        <v>20</v>
      </c>
      <c r="O4" s="41">
        <f t="shared" si="2"/>
        <v>0</v>
      </c>
      <c r="P4" s="28"/>
    </row>
    <row r="5" spans="1:18" ht="15.75" customHeight="1" x14ac:dyDescent="0.35">
      <c r="A5" s="26">
        <v>45295</v>
      </c>
      <c r="B5" s="9">
        <v>128.4</v>
      </c>
      <c r="C5" s="9">
        <v>71.930000000000007</v>
      </c>
      <c r="D5" s="9">
        <v>16.5</v>
      </c>
      <c r="E5" s="9"/>
      <c r="F5" s="9"/>
      <c r="G5" s="9"/>
      <c r="H5" s="9">
        <v>18.899999999999999</v>
      </c>
      <c r="I5" s="9"/>
      <c r="J5" s="9"/>
      <c r="K5" s="9"/>
      <c r="L5" s="9">
        <v>20</v>
      </c>
      <c r="M5" s="31">
        <f t="shared" si="0"/>
        <v>127.33000000000001</v>
      </c>
      <c r="N5" s="27">
        <f t="shared" si="1"/>
        <v>21.069999999999993</v>
      </c>
      <c r="O5" s="41">
        <f t="shared" si="2"/>
        <v>-1.0699999999999932</v>
      </c>
      <c r="P5" s="28"/>
    </row>
    <row r="6" spans="1:18" ht="15.75" customHeight="1" x14ac:dyDescent="0.35">
      <c r="A6" s="26">
        <v>45296</v>
      </c>
      <c r="B6" s="9">
        <v>355.95</v>
      </c>
      <c r="C6" s="9">
        <v>235.85</v>
      </c>
      <c r="D6" s="83">
        <v>5.8</v>
      </c>
      <c r="E6" s="9"/>
      <c r="F6" s="9"/>
      <c r="G6" s="9"/>
      <c r="H6" s="9">
        <v>66.7</v>
      </c>
      <c r="I6" s="9"/>
      <c r="J6" s="9"/>
      <c r="K6" s="9"/>
      <c r="L6" s="9">
        <v>45</v>
      </c>
      <c r="M6" s="31">
        <f t="shared" si="0"/>
        <v>353.35</v>
      </c>
      <c r="N6" s="27">
        <f t="shared" si="1"/>
        <v>47.599999999999966</v>
      </c>
      <c r="O6" s="41">
        <f t="shared" si="2"/>
        <v>-2.5999999999999659</v>
      </c>
      <c r="P6" s="28"/>
    </row>
    <row r="7" spans="1:18" ht="15.75" customHeight="1" x14ac:dyDescent="0.35">
      <c r="A7" s="26">
        <v>45297</v>
      </c>
      <c r="B7" s="9">
        <v>907.84</v>
      </c>
      <c r="C7" s="9">
        <v>602.46</v>
      </c>
      <c r="D7" s="9">
        <v>68.900000000000006</v>
      </c>
      <c r="E7" s="9"/>
      <c r="F7" s="9"/>
      <c r="G7" s="9"/>
      <c r="H7" s="9">
        <v>18.899999999999999</v>
      </c>
      <c r="I7" s="9"/>
      <c r="J7" s="9"/>
      <c r="K7" s="9"/>
      <c r="L7" s="9">
        <v>215</v>
      </c>
      <c r="M7" s="31">
        <f t="shared" si="0"/>
        <v>905.26</v>
      </c>
      <c r="N7" s="27">
        <f t="shared" si="1"/>
        <v>217.58000000000004</v>
      </c>
      <c r="O7" s="41">
        <f t="shared" si="2"/>
        <v>-2.5800000000000409</v>
      </c>
      <c r="P7" s="28"/>
    </row>
    <row r="8" spans="1:18" ht="15.75" customHeight="1" x14ac:dyDescent="0.35">
      <c r="A8" s="26">
        <v>45298</v>
      </c>
      <c r="B8" s="9">
        <v>1111.92</v>
      </c>
      <c r="C8" s="9">
        <v>772.42</v>
      </c>
      <c r="D8" s="9">
        <v>95.5</v>
      </c>
      <c r="E8" s="9"/>
      <c r="F8" s="9"/>
      <c r="G8" s="9"/>
      <c r="H8" s="9">
        <v>32.9</v>
      </c>
      <c r="I8" s="9"/>
      <c r="J8" s="9"/>
      <c r="K8" s="9"/>
      <c r="L8" s="9">
        <v>210</v>
      </c>
      <c r="M8" s="31">
        <f t="shared" si="0"/>
        <v>1110.82</v>
      </c>
      <c r="N8" s="27">
        <f t="shared" si="1"/>
        <v>211.10000000000014</v>
      </c>
      <c r="O8" s="41">
        <f t="shared" si="2"/>
        <v>-1.1000000000001364</v>
      </c>
      <c r="P8" s="28"/>
    </row>
    <row r="9" spans="1:18" ht="15.75" customHeight="1" x14ac:dyDescent="0.35">
      <c r="A9" s="26">
        <v>45299</v>
      </c>
      <c r="B9" s="9">
        <v>61.48</v>
      </c>
      <c r="C9" s="9">
        <v>31.6</v>
      </c>
      <c r="D9" s="9">
        <v>29.88</v>
      </c>
      <c r="E9" s="9"/>
      <c r="F9" s="9"/>
      <c r="G9" s="9"/>
      <c r="H9" s="9"/>
      <c r="I9" s="9"/>
      <c r="J9" s="9"/>
      <c r="K9" s="9"/>
      <c r="L9" s="9">
        <v>0</v>
      </c>
      <c r="M9" s="31">
        <f t="shared" si="0"/>
        <v>61.480000000000004</v>
      </c>
      <c r="N9" s="27">
        <f t="shared" si="1"/>
        <v>-7.1054273576010019E-15</v>
      </c>
      <c r="O9" s="41">
        <f t="shared" si="2"/>
        <v>7.1054273576010019E-15</v>
      </c>
      <c r="P9" s="28"/>
    </row>
    <row r="10" spans="1:18" ht="15.75" customHeight="1" x14ac:dyDescent="0.35">
      <c r="A10" s="26">
        <v>45300</v>
      </c>
      <c r="B10" s="9">
        <v>91.2</v>
      </c>
      <c r="C10" s="9">
        <v>45.7</v>
      </c>
      <c r="D10" s="9">
        <v>14.4</v>
      </c>
      <c r="E10" s="9"/>
      <c r="F10" s="9"/>
      <c r="G10" s="9"/>
      <c r="H10" s="9"/>
      <c r="I10" s="9"/>
      <c r="J10" s="9"/>
      <c r="K10" s="9"/>
      <c r="L10" s="9">
        <v>30</v>
      </c>
      <c r="M10" s="31">
        <f t="shared" si="0"/>
        <v>90.1</v>
      </c>
      <c r="N10" s="27">
        <f t="shared" si="1"/>
        <v>31.100000000000009</v>
      </c>
      <c r="O10" s="41">
        <f t="shared" si="2"/>
        <v>-1.1000000000000085</v>
      </c>
      <c r="P10" s="28"/>
    </row>
    <row r="11" spans="1:18" ht="15.75" customHeight="1" x14ac:dyDescent="0.35">
      <c r="A11" s="26">
        <v>45301</v>
      </c>
      <c r="B11" s="9">
        <v>254.13</v>
      </c>
      <c r="C11" s="9">
        <v>56.26</v>
      </c>
      <c r="D11" s="9">
        <v>12.39</v>
      </c>
      <c r="E11" s="9"/>
      <c r="F11" s="9"/>
      <c r="G11" s="9"/>
      <c r="H11" s="9">
        <v>72.8</v>
      </c>
      <c r="I11" s="9"/>
      <c r="J11" s="9"/>
      <c r="K11" s="73">
        <v>85.18</v>
      </c>
      <c r="L11" s="9">
        <v>60</v>
      </c>
      <c r="M11" s="31">
        <f t="shared" si="0"/>
        <v>286.63</v>
      </c>
      <c r="N11" s="27">
        <f t="shared" si="1"/>
        <v>27.5</v>
      </c>
      <c r="O11" s="41">
        <f t="shared" si="2"/>
        <v>32.5</v>
      </c>
      <c r="P11" s="28"/>
    </row>
    <row r="12" spans="1:18" ht="15.75" customHeight="1" x14ac:dyDescent="0.35">
      <c r="A12" s="26">
        <v>45302</v>
      </c>
      <c r="B12" s="9">
        <v>241.64</v>
      </c>
      <c r="C12" s="9">
        <v>171.84</v>
      </c>
      <c r="D12" s="9">
        <v>0</v>
      </c>
      <c r="E12" s="9"/>
      <c r="F12" s="9"/>
      <c r="G12" s="9"/>
      <c r="H12" s="9"/>
      <c r="I12" s="9"/>
      <c r="J12" s="9"/>
      <c r="K12" s="9"/>
      <c r="L12" s="9">
        <v>80</v>
      </c>
      <c r="M12" s="31">
        <f t="shared" si="0"/>
        <v>251.84</v>
      </c>
      <c r="N12" s="27">
        <f t="shared" si="1"/>
        <v>69.799999999999983</v>
      </c>
      <c r="O12" s="41">
        <f t="shared" si="2"/>
        <v>10.200000000000017</v>
      </c>
      <c r="P12" s="28"/>
      <c r="Q12" s="56"/>
    </row>
    <row r="13" spans="1:18" ht="15.75" customHeight="1" x14ac:dyDescent="0.35">
      <c r="A13" s="26">
        <v>45303</v>
      </c>
      <c r="B13" s="9">
        <v>524.20000000000005</v>
      </c>
      <c r="C13" s="9">
        <v>288.83999999999997</v>
      </c>
      <c r="D13" s="9">
        <v>103.46</v>
      </c>
      <c r="E13" s="9"/>
      <c r="F13" s="9"/>
      <c r="G13" s="9"/>
      <c r="H13" s="9">
        <v>89.6</v>
      </c>
      <c r="I13" s="9"/>
      <c r="J13" s="9"/>
      <c r="K13" s="9"/>
      <c r="L13" s="9">
        <v>50</v>
      </c>
      <c r="M13" s="31">
        <f t="shared" si="0"/>
        <v>531.9</v>
      </c>
      <c r="N13" s="27">
        <f t="shared" si="1"/>
        <v>42.300000000000068</v>
      </c>
      <c r="O13" s="41">
        <f t="shared" si="2"/>
        <v>7.6999999999999318</v>
      </c>
      <c r="P13" s="28"/>
    </row>
    <row r="14" spans="1:18" ht="15.75" customHeight="1" x14ac:dyDescent="0.35">
      <c r="A14" s="26">
        <v>45304</v>
      </c>
      <c r="B14" s="9">
        <v>382.14</v>
      </c>
      <c r="C14" s="9">
        <v>272.58</v>
      </c>
      <c r="D14" s="9">
        <v>10</v>
      </c>
      <c r="E14" s="9"/>
      <c r="F14" s="9"/>
      <c r="G14" s="9"/>
      <c r="H14" s="9">
        <v>38.799999999999997</v>
      </c>
      <c r="I14" s="9"/>
      <c r="J14" s="9"/>
      <c r="K14" s="9"/>
      <c r="L14" s="9">
        <v>60</v>
      </c>
      <c r="M14" s="31">
        <f t="shared" si="0"/>
        <v>381.38</v>
      </c>
      <c r="N14" s="27">
        <f t="shared" si="1"/>
        <v>60.759999999999991</v>
      </c>
      <c r="O14" s="41">
        <f t="shared" si="2"/>
        <v>-0.75999999999999091</v>
      </c>
      <c r="P14" s="28"/>
    </row>
    <row r="15" spans="1:18" ht="15.75" customHeight="1" x14ac:dyDescent="0.35">
      <c r="A15" s="26">
        <v>45305</v>
      </c>
      <c r="B15" s="9">
        <v>484.1</v>
      </c>
      <c r="C15" s="9">
        <v>330.3</v>
      </c>
      <c r="D15" s="9">
        <v>19</v>
      </c>
      <c r="E15" s="9"/>
      <c r="F15" s="9"/>
      <c r="G15" s="9"/>
      <c r="H15" s="9"/>
      <c r="I15" s="9"/>
      <c r="J15" s="9"/>
      <c r="K15" s="9"/>
      <c r="L15" s="9">
        <v>135</v>
      </c>
      <c r="M15" s="31">
        <f t="shared" si="0"/>
        <v>484.3</v>
      </c>
      <c r="N15" s="27">
        <f t="shared" si="1"/>
        <v>134.80000000000001</v>
      </c>
      <c r="O15" s="41">
        <f t="shared" si="2"/>
        <v>0.19999999999998863</v>
      </c>
      <c r="P15" s="28"/>
    </row>
    <row r="16" spans="1:18" ht="15.75" customHeight="1" x14ac:dyDescent="0.35">
      <c r="A16" s="26">
        <v>45306</v>
      </c>
      <c r="B16" s="9">
        <v>29.4</v>
      </c>
      <c r="C16" s="9">
        <v>24.6</v>
      </c>
      <c r="D16" s="9">
        <v>0</v>
      </c>
      <c r="E16" s="9"/>
      <c r="F16" s="9"/>
      <c r="G16" s="9"/>
      <c r="H16" s="9"/>
      <c r="I16" s="9"/>
      <c r="J16" s="9"/>
      <c r="K16" s="9"/>
      <c r="L16" s="9">
        <v>5</v>
      </c>
      <c r="M16" s="31">
        <f t="shared" si="0"/>
        <v>29.6</v>
      </c>
      <c r="N16" s="27">
        <f t="shared" si="1"/>
        <v>4.7999999999999972</v>
      </c>
      <c r="O16" s="41">
        <f t="shared" si="2"/>
        <v>0.20000000000000284</v>
      </c>
      <c r="P16" s="28"/>
    </row>
    <row r="17" spans="1:16" ht="15.75" customHeight="1" x14ac:dyDescent="0.35">
      <c r="A17" s="26">
        <v>45307</v>
      </c>
      <c r="B17" s="9">
        <v>139.19999999999999</v>
      </c>
      <c r="C17" s="9">
        <v>72.5</v>
      </c>
      <c r="D17" s="9">
        <v>0</v>
      </c>
      <c r="E17" s="9"/>
      <c r="F17" s="9"/>
      <c r="G17" s="9"/>
      <c r="H17" s="9">
        <v>18.899999999999999</v>
      </c>
      <c r="I17" s="9"/>
      <c r="J17" s="9"/>
      <c r="K17" s="9"/>
      <c r="L17" s="9">
        <v>50</v>
      </c>
      <c r="M17" s="31">
        <f t="shared" si="0"/>
        <v>141.4</v>
      </c>
      <c r="N17" s="27">
        <f t="shared" si="1"/>
        <v>47.799999999999983</v>
      </c>
      <c r="O17" s="41">
        <f t="shared" si="2"/>
        <v>2.2000000000000171</v>
      </c>
      <c r="P17" s="28"/>
    </row>
    <row r="18" spans="1:16" ht="15.75" customHeight="1" x14ac:dyDescent="0.35">
      <c r="A18" s="26">
        <v>45308</v>
      </c>
      <c r="B18" s="9">
        <v>111.9</v>
      </c>
      <c r="C18" s="9">
        <v>95.2</v>
      </c>
      <c r="D18" s="9">
        <v>4.3</v>
      </c>
      <c r="E18" s="9"/>
      <c r="F18" s="9"/>
      <c r="G18" s="9"/>
      <c r="H18" s="9"/>
      <c r="I18" s="9"/>
      <c r="J18" s="9"/>
      <c r="K18" s="9"/>
      <c r="L18" s="9">
        <v>15</v>
      </c>
      <c r="M18" s="31">
        <f t="shared" si="0"/>
        <v>114.5</v>
      </c>
      <c r="N18" s="27">
        <f t="shared" si="1"/>
        <v>12.400000000000006</v>
      </c>
      <c r="O18" s="41">
        <f t="shared" si="2"/>
        <v>2.5999999999999943</v>
      </c>
      <c r="P18" s="28"/>
    </row>
    <row r="19" spans="1:16" ht="15.75" customHeight="1" x14ac:dyDescent="0.35">
      <c r="A19" s="26">
        <v>45309</v>
      </c>
      <c r="B19" s="9">
        <v>217.82</v>
      </c>
      <c r="C19" s="9">
        <v>123.52</v>
      </c>
      <c r="D19" s="9">
        <v>22.1</v>
      </c>
      <c r="E19" s="9"/>
      <c r="F19" s="9"/>
      <c r="G19" s="9"/>
      <c r="H19" s="9"/>
      <c r="I19" s="9"/>
      <c r="J19" s="9"/>
      <c r="K19" s="9"/>
      <c r="L19" s="9">
        <v>75</v>
      </c>
      <c r="M19" s="31">
        <f t="shared" si="0"/>
        <v>220.62</v>
      </c>
      <c r="N19" s="27">
        <f t="shared" si="1"/>
        <v>72.199999999999989</v>
      </c>
      <c r="O19" s="41">
        <f t="shared" si="2"/>
        <v>2.8000000000000114</v>
      </c>
      <c r="P19" s="28"/>
    </row>
    <row r="20" spans="1:16" ht="15.75" customHeight="1" x14ac:dyDescent="0.35">
      <c r="A20" s="26">
        <v>45310</v>
      </c>
      <c r="B20" s="9">
        <v>664.62</v>
      </c>
      <c r="C20" s="9">
        <v>393.82</v>
      </c>
      <c r="D20" s="9">
        <v>72.8</v>
      </c>
      <c r="E20" s="9"/>
      <c r="F20" s="9"/>
      <c r="G20" s="9"/>
      <c r="H20" s="9">
        <v>90.5</v>
      </c>
      <c r="I20" s="9"/>
      <c r="J20" s="9"/>
      <c r="K20" s="9"/>
      <c r="L20" s="9">
        <v>110</v>
      </c>
      <c r="M20" s="31">
        <f t="shared" si="0"/>
        <v>667.12</v>
      </c>
      <c r="N20" s="27">
        <f>L20-O20</f>
        <v>107.5</v>
      </c>
      <c r="O20" s="41">
        <f t="shared" si="2"/>
        <v>2.5</v>
      </c>
      <c r="P20" s="28"/>
    </row>
    <row r="21" spans="1:16" ht="15.75" customHeight="1" x14ac:dyDescent="0.35">
      <c r="A21" s="26">
        <v>45311</v>
      </c>
      <c r="B21" s="9">
        <v>1384.99</v>
      </c>
      <c r="C21" s="9">
        <v>947.97</v>
      </c>
      <c r="D21" s="9">
        <v>147.19999999999999</v>
      </c>
      <c r="E21" s="9"/>
      <c r="F21" s="9"/>
      <c r="G21" s="9"/>
      <c r="H21" s="9">
        <v>77.7</v>
      </c>
      <c r="I21" s="9"/>
      <c r="J21" s="9"/>
      <c r="K21" s="9"/>
      <c r="L21" s="9">
        <v>215</v>
      </c>
      <c r="M21" s="31">
        <f t="shared" si="0"/>
        <v>1387.8700000000001</v>
      </c>
      <c r="N21" s="27">
        <f t="shared" si="1"/>
        <v>212.11999999999989</v>
      </c>
      <c r="O21" s="41">
        <f t="shared" si="2"/>
        <v>2.8800000000001091</v>
      </c>
      <c r="P21" s="28"/>
    </row>
    <row r="22" spans="1:16" ht="15.75" customHeight="1" x14ac:dyDescent="0.35">
      <c r="A22" s="26">
        <v>45312</v>
      </c>
      <c r="B22" s="9">
        <v>876.2</v>
      </c>
      <c r="C22" s="9">
        <v>571.96</v>
      </c>
      <c r="D22" s="9">
        <v>56</v>
      </c>
      <c r="E22" s="9"/>
      <c r="F22" s="9"/>
      <c r="G22" s="9"/>
      <c r="H22" s="9">
        <v>37.799999999999997</v>
      </c>
      <c r="I22" s="9"/>
      <c r="J22" s="9"/>
      <c r="K22" s="9"/>
      <c r="L22" s="9">
        <v>210</v>
      </c>
      <c r="M22" s="31">
        <f t="shared" si="0"/>
        <v>875.76</v>
      </c>
      <c r="N22" s="27">
        <f t="shared" si="1"/>
        <v>210.44000000000005</v>
      </c>
      <c r="O22" s="41">
        <f t="shared" si="2"/>
        <v>-0.44000000000005457</v>
      </c>
      <c r="P22" s="28"/>
    </row>
    <row r="23" spans="1:16" ht="15.75" customHeight="1" x14ac:dyDescent="0.35">
      <c r="A23" s="26">
        <v>45313</v>
      </c>
      <c r="B23" s="9">
        <v>148.83000000000001</v>
      </c>
      <c r="C23" s="9">
        <v>114.03</v>
      </c>
      <c r="D23" s="9">
        <v>11.4</v>
      </c>
      <c r="E23" s="9"/>
      <c r="F23" s="9"/>
      <c r="G23" s="9"/>
      <c r="H23" s="9"/>
      <c r="I23" s="9"/>
      <c r="J23" s="9"/>
      <c r="K23" s="9"/>
      <c r="L23" s="9">
        <v>20</v>
      </c>
      <c r="M23" s="31">
        <f t="shared" si="0"/>
        <v>145.43</v>
      </c>
      <c r="N23" s="27">
        <f t="shared" si="1"/>
        <v>23.400000000000006</v>
      </c>
      <c r="O23" s="41">
        <f t="shared" si="2"/>
        <v>-3.4000000000000057</v>
      </c>
      <c r="P23" s="28"/>
    </row>
    <row r="24" spans="1:16" ht="15.75" customHeight="1" x14ac:dyDescent="0.35">
      <c r="A24" s="26">
        <v>45314</v>
      </c>
      <c r="B24" s="9">
        <v>411.73</v>
      </c>
      <c r="C24" s="9">
        <v>281.31</v>
      </c>
      <c r="D24" s="9">
        <v>24.6</v>
      </c>
      <c r="E24" s="9"/>
      <c r="F24" s="9"/>
      <c r="G24" s="9"/>
      <c r="H24" s="9"/>
      <c r="I24" s="9"/>
      <c r="J24" s="9"/>
      <c r="K24" s="73">
        <v>52.52</v>
      </c>
      <c r="L24" s="9">
        <v>55</v>
      </c>
      <c r="M24" s="31">
        <f t="shared" si="0"/>
        <v>413.43</v>
      </c>
      <c r="N24" s="27">
        <f t="shared" si="1"/>
        <v>53.300000000000011</v>
      </c>
      <c r="O24" s="41">
        <f t="shared" si="2"/>
        <v>1.6999999999999886</v>
      </c>
      <c r="P24" s="28"/>
    </row>
    <row r="25" spans="1:16" ht="15.75" customHeight="1" x14ac:dyDescent="0.35">
      <c r="A25" s="26">
        <v>45315</v>
      </c>
      <c r="B25" s="9">
        <v>644.92999999999995</v>
      </c>
      <c r="C25" s="9">
        <v>366.2</v>
      </c>
      <c r="D25" s="9">
        <v>109.75</v>
      </c>
      <c r="E25" s="9"/>
      <c r="F25" s="9"/>
      <c r="G25" s="9"/>
      <c r="H25" s="9"/>
      <c r="I25" s="9"/>
      <c r="J25" s="9"/>
      <c r="K25" s="73">
        <v>81.78</v>
      </c>
      <c r="L25" s="9">
        <v>90</v>
      </c>
      <c r="M25" s="31">
        <f t="shared" si="0"/>
        <v>647.73</v>
      </c>
      <c r="N25" s="27">
        <f t="shared" si="1"/>
        <v>87.199999999999932</v>
      </c>
      <c r="O25" s="41">
        <f t="shared" si="2"/>
        <v>2.8000000000000682</v>
      </c>
      <c r="P25" s="28"/>
    </row>
    <row r="26" spans="1:16" ht="15.75" customHeight="1" x14ac:dyDescent="0.35">
      <c r="A26" s="26">
        <v>45316</v>
      </c>
      <c r="B26" s="9">
        <v>407.14</v>
      </c>
      <c r="C26" s="9">
        <v>238.14</v>
      </c>
      <c r="D26" s="9">
        <v>19.8</v>
      </c>
      <c r="E26" s="9"/>
      <c r="F26" s="9"/>
      <c r="G26" s="9"/>
      <c r="H26" s="9">
        <v>51.8</v>
      </c>
      <c r="I26" s="9"/>
      <c r="J26" s="9"/>
      <c r="K26" s="9"/>
      <c r="L26" s="9">
        <v>100</v>
      </c>
      <c r="M26" s="31">
        <f t="shared" si="0"/>
        <v>409.74</v>
      </c>
      <c r="N26" s="27">
        <f t="shared" si="1"/>
        <v>97.399999999999977</v>
      </c>
      <c r="O26" s="41">
        <f t="shared" si="2"/>
        <v>2.6000000000000227</v>
      </c>
      <c r="P26" s="28"/>
    </row>
    <row r="27" spans="1:16" ht="15.75" customHeight="1" x14ac:dyDescent="0.35">
      <c r="A27" s="26">
        <v>45317</v>
      </c>
      <c r="B27" s="9">
        <v>697.71</v>
      </c>
      <c r="C27" s="9">
        <v>483.31</v>
      </c>
      <c r="D27" s="9">
        <v>70.7</v>
      </c>
      <c r="E27" s="9"/>
      <c r="F27" s="9"/>
      <c r="G27" s="9"/>
      <c r="H27" s="9">
        <v>58.8</v>
      </c>
      <c r="I27" s="9"/>
      <c r="J27" s="9"/>
      <c r="K27" s="9"/>
      <c r="L27" s="9">
        <v>85</v>
      </c>
      <c r="M27" s="31">
        <f t="shared" si="0"/>
        <v>697.81</v>
      </c>
      <c r="N27" s="27">
        <f t="shared" si="1"/>
        <v>84.900000000000091</v>
      </c>
      <c r="O27" s="41">
        <f t="shared" si="2"/>
        <v>9.9999999999909051E-2</v>
      </c>
      <c r="P27" s="28"/>
    </row>
    <row r="28" spans="1:16" ht="15.75" customHeight="1" x14ac:dyDescent="0.35">
      <c r="A28" s="26">
        <v>45318</v>
      </c>
      <c r="B28" s="9">
        <v>1818.31</v>
      </c>
      <c r="C28" s="9">
        <v>1332.2</v>
      </c>
      <c r="D28" s="9">
        <v>197.5</v>
      </c>
      <c r="E28" s="9"/>
      <c r="F28" s="9"/>
      <c r="G28" s="9"/>
      <c r="H28" s="9">
        <v>18.899999999999999</v>
      </c>
      <c r="I28" s="9"/>
      <c r="J28" s="9"/>
      <c r="K28" s="9"/>
      <c r="L28" s="9">
        <v>275</v>
      </c>
      <c r="M28" s="31">
        <f t="shared" si="0"/>
        <v>1823.6000000000001</v>
      </c>
      <c r="N28" s="27">
        <f t="shared" si="1"/>
        <v>269.70999999999981</v>
      </c>
      <c r="O28" s="41">
        <f t="shared" si="2"/>
        <v>5.290000000000191</v>
      </c>
      <c r="P28" s="28"/>
    </row>
    <row r="29" spans="1:16" ht="15.75" customHeight="1" x14ac:dyDescent="0.35">
      <c r="A29" s="26">
        <v>45319</v>
      </c>
      <c r="B29" s="9">
        <v>1495.85</v>
      </c>
      <c r="C29" s="9">
        <v>1097.81</v>
      </c>
      <c r="D29" s="9">
        <v>188.34</v>
      </c>
      <c r="E29" s="9"/>
      <c r="F29" s="9"/>
      <c r="G29" s="9"/>
      <c r="H29" s="9"/>
      <c r="I29" s="9"/>
      <c r="J29" s="9"/>
      <c r="K29" s="9"/>
      <c r="L29" s="9">
        <v>220</v>
      </c>
      <c r="M29" s="31">
        <f>C29+D29+E29+F29+G29+H29+I29+J29+L29+K29</f>
        <v>1506.1499999999999</v>
      </c>
      <c r="N29" s="27">
        <f t="shared" si="1"/>
        <v>209.70000000000005</v>
      </c>
      <c r="O29" s="41">
        <f t="shared" si="2"/>
        <v>10.299999999999955</v>
      </c>
      <c r="P29" s="28"/>
    </row>
    <row r="30" spans="1:16" ht="15.75" customHeight="1" x14ac:dyDescent="0.35">
      <c r="A30" s="26">
        <v>45320</v>
      </c>
      <c r="B30" s="9">
        <v>383.34</v>
      </c>
      <c r="C30" s="9">
        <v>251.04</v>
      </c>
      <c r="D30" s="9">
        <v>42.4</v>
      </c>
      <c r="E30" s="9"/>
      <c r="F30" s="9"/>
      <c r="G30" s="9"/>
      <c r="H30" s="9">
        <v>18.899999999999999</v>
      </c>
      <c r="I30" s="9"/>
      <c r="J30" s="9"/>
      <c r="K30" s="9"/>
      <c r="L30" s="9">
        <v>70</v>
      </c>
      <c r="M30" s="31">
        <f t="shared" si="0"/>
        <v>382.34</v>
      </c>
      <c r="N30" s="27">
        <f t="shared" si="1"/>
        <v>71</v>
      </c>
      <c r="O30" s="41">
        <f t="shared" si="2"/>
        <v>-1</v>
      </c>
      <c r="P30" s="28"/>
    </row>
    <row r="31" spans="1:16" ht="15.75" customHeight="1" x14ac:dyDescent="0.35">
      <c r="A31" s="26">
        <v>45321</v>
      </c>
      <c r="B31" s="9">
        <v>461.21</v>
      </c>
      <c r="C31" s="9">
        <v>279.73</v>
      </c>
      <c r="D31" s="9">
        <v>67.069999999999993</v>
      </c>
      <c r="E31" s="9"/>
      <c r="F31" s="9"/>
      <c r="G31" s="9"/>
      <c r="H31" s="9"/>
      <c r="I31" s="9"/>
      <c r="J31" s="9"/>
      <c r="K31" s="9"/>
      <c r="L31" s="9">
        <v>115</v>
      </c>
      <c r="M31" s="31">
        <f t="shared" si="0"/>
        <v>461.8</v>
      </c>
      <c r="N31" s="27">
        <f t="shared" si="1"/>
        <v>114.40999999999997</v>
      </c>
      <c r="O31" s="41">
        <f t="shared" si="2"/>
        <v>0.59000000000003183</v>
      </c>
      <c r="P31" s="28"/>
    </row>
    <row r="32" spans="1:16" ht="15.75" customHeight="1" x14ac:dyDescent="0.35">
      <c r="A32" s="26">
        <v>45322</v>
      </c>
      <c r="B32" s="44">
        <v>493.35</v>
      </c>
      <c r="C32" s="44">
        <v>330.09</v>
      </c>
      <c r="D32" s="44">
        <v>81.760000000000005</v>
      </c>
      <c r="E32" s="9"/>
      <c r="F32" s="9"/>
      <c r="G32" s="9"/>
      <c r="H32" s="44"/>
      <c r="I32" s="9"/>
      <c r="J32" s="9"/>
      <c r="K32" s="55"/>
      <c r="L32" s="44">
        <v>80</v>
      </c>
      <c r="M32" s="31">
        <f t="shared" si="0"/>
        <v>491.84999999999997</v>
      </c>
      <c r="N32" s="27">
        <f t="shared" si="1"/>
        <v>81.500000000000057</v>
      </c>
      <c r="O32" s="41">
        <f t="shared" si="2"/>
        <v>-1.5000000000000568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15344.9</v>
      </c>
      <c r="N33" s="72">
        <f>M33-O33</f>
        <v>15272.38</v>
      </c>
      <c r="O33" s="49">
        <f>SUM(O2:O32)</f>
        <v>72.519999999999982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0139-70CD-4908-9DDA-C208819D15DA}">
  <dimension ref="A1:R1000"/>
  <sheetViews>
    <sheetView workbookViewId="0">
      <pane ySplit="1" topLeftCell="A25" activePane="bottomLeft" state="frozen"/>
      <selection pane="bottomLeft" activeCell="K25" sqref="K25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45323</v>
      </c>
      <c r="B2" s="9">
        <v>518.5</v>
      </c>
      <c r="C2" s="9">
        <v>355</v>
      </c>
      <c r="D2" s="9">
        <v>43</v>
      </c>
      <c r="E2" s="9"/>
      <c r="F2" s="9"/>
      <c r="G2" s="9"/>
      <c r="H2" s="9">
        <v>32.9</v>
      </c>
      <c r="I2" s="9"/>
      <c r="J2" s="9"/>
      <c r="K2" s="9"/>
      <c r="L2" s="9">
        <v>80</v>
      </c>
      <c r="M2" s="31">
        <f t="shared" ref="M2:M32" si="0">C2+D2+E2+F2+G2+H2+I2+J2+L2+K2</f>
        <v>510.9</v>
      </c>
      <c r="N2" s="27">
        <f t="shared" ref="N2:N32" si="1">L2-O2</f>
        <v>87.600000000000023</v>
      </c>
      <c r="O2" s="32">
        <f t="shared" ref="O2:O32" si="2">M2-B2-F2</f>
        <v>-7.6000000000000227</v>
      </c>
      <c r="P2" s="33"/>
    </row>
    <row r="3" spans="1:18" ht="15.75" customHeight="1" x14ac:dyDescent="0.35">
      <c r="A3" s="26">
        <v>45324</v>
      </c>
      <c r="B3" s="9">
        <v>807.46</v>
      </c>
      <c r="C3" s="9">
        <v>552.29999999999995</v>
      </c>
      <c r="D3" s="9">
        <v>83.56</v>
      </c>
      <c r="E3" s="9"/>
      <c r="F3" s="9"/>
      <c r="G3" s="9"/>
      <c r="H3" s="9">
        <v>39.9</v>
      </c>
      <c r="I3" s="9"/>
      <c r="J3" s="9"/>
      <c r="K3" s="9"/>
      <c r="L3" s="9">
        <v>135</v>
      </c>
      <c r="M3" s="31">
        <f t="shared" si="0"/>
        <v>810.75999999999988</v>
      </c>
      <c r="N3" s="27">
        <f t="shared" si="1"/>
        <v>131.70000000000016</v>
      </c>
      <c r="O3" s="70">
        <f t="shared" si="2"/>
        <v>3.2999999999998408</v>
      </c>
      <c r="P3" s="28"/>
      <c r="Q3" s="56"/>
    </row>
    <row r="4" spans="1:18" ht="15.75" customHeight="1" x14ac:dyDescent="0.35">
      <c r="A4" s="26">
        <v>45325</v>
      </c>
      <c r="B4" s="9">
        <v>1953.12</v>
      </c>
      <c r="C4" s="9">
        <v>1385.93</v>
      </c>
      <c r="D4" s="9">
        <v>188.1</v>
      </c>
      <c r="E4" s="9"/>
      <c r="F4" s="9"/>
      <c r="G4" s="9"/>
      <c r="H4" s="9">
        <v>56.7</v>
      </c>
      <c r="I4" s="9"/>
      <c r="J4" s="9"/>
      <c r="K4" s="9"/>
      <c r="L4" s="9">
        <v>320</v>
      </c>
      <c r="M4" s="31">
        <f t="shared" si="0"/>
        <v>1950.73</v>
      </c>
      <c r="N4" s="27">
        <f t="shared" si="1"/>
        <v>322.38999999999987</v>
      </c>
      <c r="O4" s="41">
        <f t="shared" si="2"/>
        <v>-2.3899999999998727</v>
      </c>
      <c r="P4" s="28"/>
    </row>
    <row r="5" spans="1:18" ht="15.75" customHeight="1" x14ac:dyDescent="0.35">
      <c r="A5" s="26">
        <v>45326</v>
      </c>
      <c r="B5" s="9">
        <v>1558.32</v>
      </c>
      <c r="C5" s="9">
        <v>1112.52</v>
      </c>
      <c r="D5" s="9">
        <v>156.19999999999999</v>
      </c>
      <c r="E5" s="9"/>
      <c r="F5" s="9"/>
      <c r="G5" s="9"/>
      <c r="H5" s="9"/>
      <c r="I5" s="9"/>
      <c r="J5" s="9"/>
      <c r="K5" s="9"/>
      <c r="L5" s="9">
        <v>290</v>
      </c>
      <c r="M5" s="31">
        <f t="shared" si="0"/>
        <v>1558.72</v>
      </c>
      <c r="N5" s="27">
        <f t="shared" si="1"/>
        <v>289.59999999999991</v>
      </c>
      <c r="O5" s="41">
        <f t="shared" si="2"/>
        <v>0.40000000000009095</v>
      </c>
      <c r="P5" s="28"/>
    </row>
    <row r="6" spans="1:18" ht="15.75" customHeight="1" x14ac:dyDescent="0.35">
      <c r="A6" s="26">
        <v>45327</v>
      </c>
      <c r="B6" s="9">
        <v>221.28</v>
      </c>
      <c r="C6" s="9">
        <v>129.94</v>
      </c>
      <c r="D6" s="83">
        <v>23.54</v>
      </c>
      <c r="E6" s="9"/>
      <c r="F6" s="9"/>
      <c r="G6" s="9"/>
      <c r="H6" s="9"/>
      <c r="I6" s="9"/>
      <c r="J6" s="9"/>
      <c r="K6" s="9"/>
      <c r="L6" s="9">
        <v>70</v>
      </c>
      <c r="M6" s="31">
        <f t="shared" si="0"/>
        <v>223.48</v>
      </c>
      <c r="N6" s="27">
        <f t="shared" si="1"/>
        <v>67.800000000000011</v>
      </c>
      <c r="O6" s="41">
        <f t="shared" si="2"/>
        <v>2.1999999999999886</v>
      </c>
      <c r="P6" s="28"/>
    </row>
    <row r="7" spans="1:18" ht="15.75" customHeight="1" x14ac:dyDescent="0.35">
      <c r="A7" s="26">
        <v>45328</v>
      </c>
      <c r="B7" s="9">
        <v>339.86</v>
      </c>
      <c r="C7" s="9">
        <v>236.46</v>
      </c>
      <c r="D7" s="9">
        <v>24.6</v>
      </c>
      <c r="E7" s="9"/>
      <c r="F7" s="9"/>
      <c r="G7" s="9"/>
      <c r="H7" s="9">
        <v>37.799999999999997</v>
      </c>
      <c r="I7" s="9"/>
      <c r="J7" s="9"/>
      <c r="K7" s="9"/>
      <c r="L7" s="9">
        <v>40</v>
      </c>
      <c r="M7" s="31">
        <f t="shared" si="0"/>
        <v>338.86</v>
      </c>
      <c r="N7" s="27">
        <f t="shared" si="1"/>
        <v>41</v>
      </c>
      <c r="O7" s="41">
        <f t="shared" si="2"/>
        <v>-1</v>
      </c>
      <c r="P7" s="28"/>
    </row>
    <row r="8" spans="1:18" ht="15.75" customHeight="1" x14ac:dyDescent="0.35">
      <c r="A8" s="26">
        <v>45329</v>
      </c>
      <c r="B8" s="9">
        <v>90.1</v>
      </c>
      <c r="C8" s="9">
        <v>77.8</v>
      </c>
      <c r="D8" s="9">
        <v>0</v>
      </c>
      <c r="E8" s="9"/>
      <c r="F8" s="9"/>
      <c r="G8" s="9"/>
      <c r="H8" s="9"/>
      <c r="I8" s="9"/>
      <c r="J8" s="9"/>
      <c r="K8" s="9"/>
      <c r="L8" s="9">
        <v>25</v>
      </c>
      <c r="M8" s="31">
        <f t="shared" si="0"/>
        <v>102.8</v>
      </c>
      <c r="N8" s="27">
        <f t="shared" si="1"/>
        <v>12.299999999999997</v>
      </c>
      <c r="O8" s="41">
        <f t="shared" si="2"/>
        <v>12.700000000000003</v>
      </c>
      <c r="P8" s="28"/>
    </row>
    <row r="9" spans="1:18" ht="15.75" customHeight="1" x14ac:dyDescent="0.35">
      <c r="A9" s="26">
        <v>45330</v>
      </c>
      <c r="B9" s="9">
        <v>104.68</v>
      </c>
      <c r="C9" s="9">
        <v>12.2</v>
      </c>
      <c r="D9" s="9">
        <v>10.199999999999999</v>
      </c>
      <c r="E9" s="9"/>
      <c r="F9" s="9"/>
      <c r="G9" s="9"/>
      <c r="H9" s="9"/>
      <c r="I9" s="9"/>
      <c r="J9" s="9"/>
      <c r="K9" s="89">
        <v>72.17</v>
      </c>
      <c r="L9" s="9">
        <v>10</v>
      </c>
      <c r="M9" s="31">
        <f t="shared" si="0"/>
        <v>104.57</v>
      </c>
      <c r="N9" s="27">
        <f t="shared" si="1"/>
        <v>10.110000000000014</v>
      </c>
      <c r="O9" s="41">
        <f t="shared" si="2"/>
        <v>-0.11000000000001364</v>
      </c>
      <c r="P9" s="28"/>
    </row>
    <row r="10" spans="1:18" ht="15.75" customHeight="1" x14ac:dyDescent="0.35">
      <c r="A10" s="26">
        <v>45331</v>
      </c>
      <c r="B10" s="9">
        <v>246.3</v>
      </c>
      <c r="C10" s="9">
        <v>189.9</v>
      </c>
      <c r="D10" s="9">
        <v>17.600000000000001</v>
      </c>
      <c r="E10" s="9"/>
      <c r="F10" s="9"/>
      <c r="G10" s="9"/>
      <c r="H10" s="9">
        <v>18.899999999999999</v>
      </c>
      <c r="I10" s="9"/>
      <c r="J10" s="9"/>
      <c r="K10" s="9"/>
      <c r="L10" s="9">
        <v>20</v>
      </c>
      <c r="M10" s="31">
        <f t="shared" si="0"/>
        <v>246.4</v>
      </c>
      <c r="N10" s="27">
        <f t="shared" si="1"/>
        <v>19.900000000000006</v>
      </c>
      <c r="O10" s="41">
        <f t="shared" si="2"/>
        <v>9.9999999999994316E-2</v>
      </c>
      <c r="P10" s="28"/>
    </row>
    <row r="11" spans="1:18" ht="15.75" customHeight="1" x14ac:dyDescent="0.35">
      <c r="A11" s="26">
        <v>45332</v>
      </c>
      <c r="B11" s="9">
        <v>716.4</v>
      </c>
      <c r="C11" s="9">
        <v>507.75</v>
      </c>
      <c r="D11" s="9">
        <v>59.75</v>
      </c>
      <c r="E11" s="9"/>
      <c r="F11" s="9"/>
      <c r="G11" s="9"/>
      <c r="H11" s="9">
        <v>51.8</v>
      </c>
      <c r="I11" s="9"/>
      <c r="J11" s="9"/>
      <c r="K11" s="9"/>
      <c r="L11" s="9">
        <v>90</v>
      </c>
      <c r="M11" s="31">
        <f t="shared" si="0"/>
        <v>709.3</v>
      </c>
      <c r="N11" s="27">
        <f t="shared" si="1"/>
        <v>97.100000000000023</v>
      </c>
      <c r="O11" s="41">
        <f t="shared" si="2"/>
        <v>-7.1000000000000227</v>
      </c>
      <c r="P11" s="28"/>
    </row>
    <row r="12" spans="1:18" ht="15.75" customHeight="1" x14ac:dyDescent="0.35">
      <c r="A12" s="26">
        <v>45333</v>
      </c>
      <c r="B12" s="9">
        <v>536.52</v>
      </c>
      <c r="C12" s="9">
        <v>287.08999999999997</v>
      </c>
      <c r="D12" s="9">
        <v>60.44</v>
      </c>
      <c r="E12" s="9"/>
      <c r="F12" s="9"/>
      <c r="G12" s="9"/>
      <c r="H12" s="9">
        <v>32.9</v>
      </c>
      <c r="I12" s="9"/>
      <c r="J12" s="9"/>
      <c r="K12" s="9"/>
      <c r="L12" s="9">
        <v>160</v>
      </c>
      <c r="M12" s="31">
        <f t="shared" si="0"/>
        <v>540.42999999999995</v>
      </c>
      <c r="N12" s="27">
        <f t="shared" si="1"/>
        <v>156.09000000000003</v>
      </c>
      <c r="O12" s="41">
        <f t="shared" si="2"/>
        <v>3.9099999999999682</v>
      </c>
      <c r="P12" s="28"/>
      <c r="Q12" s="56"/>
    </row>
    <row r="13" spans="1:18" ht="15.75" customHeight="1" x14ac:dyDescent="0.35">
      <c r="A13" s="26">
        <v>45334</v>
      </c>
      <c r="B13" s="9">
        <v>628.45000000000005</v>
      </c>
      <c r="C13" s="9">
        <v>355.25</v>
      </c>
      <c r="D13" s="9">
        <v>60.4</v>
      </c>
      <c r="E13" s="9"/>
      <c r="F13" s="9"/>
      <c r="G13" s="9"/>
      <c r="H13" s="9">
        <v>32.9</v>
      </c>
      <c r="I13" s="9"/>
      <c r="J13" s="9"/>
      <c r="K13" s="9"/>
      <c r="L13" s="9">
        <v>180</v>
      </c>
      <c r="M13" s="31">
        <f t="shared" si="0"/>
        <v>628.54999999999995</v>
      </c>
      <c r="N13" s="27">
        <f t="shared" si="1"/>
        <v>179.90000000000009</v>
      </c>
      <c r="O13" s="41">
        <f t="shared" si="2"/>
        <v>9.9999999999909051E-2</v>
      </c>
      <c r="P13" s="28"/>
    </row>
    <row r="14" spans="1:18" ht="15.75" customHeight="1" x14ac:dyDescent="0.35">
      <c r="A14" s="26">
        <v>45335</v>
      </c>
      <c r="B14" s="9">
        <v>773.27</v>
      </c>
      <c r="C14" s="9">
        <v>595.37</v>
      </c>
      <c r="D14" s="9">
        <v>53.2</v>
      </c>
      <c r="E14" s="9"/>
      <c r="F14" s="9"/>
      <c r="G14" s="9"/>
      <c r="H14" s="9">
        <v>32.9</v>
      </c>
      <c r="I14" s="9"/>
      <c r="J14" s="9"/>
      <c r="K14" s="9"/>
      <c r="L14" s="9">
        <v>100</v>
      </c>
      <c r="M14" s="31">
        <f t="shared" si="0"/>
        <v>781.47</v>
      </c>
      <c r="N14" s="27">
        <f t="shared" si="1"/>
        <v>91.799999999999955</v>
      </c>
      <c r="O14" s="41">
        <f t="shared" si="2"/>
        <v>8.2000000000000455</v>
      </c>
      <c r="P14" s="28"/>
    </row>
    <row r="15" spans="1:18" ht="15.75" customHeight="1" x14ac:dyDescent="0.35">
      <c r="A15" s="26">
        <v>45336</v>
      </c>
      <c r="B15" s="9">
        <v>629.41</v>
      </c>
      <c r="C15" s="9">
        <v>348.53</v>
      </c>
      <c r="D15" s="9">
        <v>81.48</v>
      </c>
      <c r="E15" s="9"/>
      <c r="F15" s="9"/>
      <c r="G15" s="9"/>
      <c r="H15" s="9"/>
      <c r="I15" s="9"/>
      <c r="J15" s="9"/>
      <c r="K15" s="9"/>
      <c r="L15" s="9">
        <v>190</v>
      </c>
      <c r="M15" s="31">
        <f t="shared" si="0"/>
        <v>620.01</v>
      </c>
      <c r="N15" s="27">
        <f t="shared" si="1"/>
        <v>199.39999999999998</v>
      </c>
      <c r="O15" s="41">
        <f t="shared" si="2"/>
        <v>-9.3999999999999773</v>
      </c>
      <c r="P15" s="28"/>
    </row>
    <row r="16" spans="1:18" ht="15.75" customHeight="1" x14ac:dyDescent="0.35">
      <c r="A16" s="26">
        <v>45337</v>
      </c>
      <c r="B16" s="9">
        <v>289.54000000000002</v>
      </c>
      <c r="C16" s="9">
        <v>86.6</v>
      </c>
      <c r="D16" s="9">
        <v>31</v>
      </c>
      <c r="E16" s="9"/>
      <c r="F16" s="9"/>
      <c r="G16" s="9"/>
      <c r="H16" s="9"/>
      <c r="I16" s="9"/>
      <c r="J16" s="9"/>
      <c r="K16" s="73">
        <v>71.099999999999994</v>
      </c>
      <c r="L16" s="9">
        <v>100</v>
      </c>
      <c r="M16" s="31">
        <f t="shared" si="0"/>
        <v>288.7</v>
      </c>
      <c r="N16" s="27">
        <f t="shared" si="1"/>
        <v>100.84000000000003</v>
      </c>
      <c r="O16" s="41">
        <f t="shared" si="2"/>
        <v>-0.84000000000003183</v>
      </c>
      <c r="P16" s="28"/>
    </row>
    <row r="17" spans="1:16" ht="15.75" customHeight="1" x14ac:dyDescent="0.35">
      <c r="A17" s="26">
        <v>45338</v>
      </c>
      <c r="B17" s="9">
        <v>713.01</v>
      </c>
      <c r="C17" s="9">
        <v>442.31</v>
      </c>
      <c r="D17" s="9">
        <v>80.099999999999994</v>
      </c>
      <c r="E17" s="9"/>
      <c r="F17" s="9"/>
      <c r="G17" s="9"/>
      <c r="H17" s="9">
        <v>85.7</v>
      </c>
      <c r="I17" s="9"/>
      <c r="J17" s="9"/>
      <c r="K17" s="9"/>
      <c r="L17" s="9">
        <v>105</v>
      </c>
      <c r="M17" s="31">
        <f t="shared" si="0"/>
        <v>713.11</v>
      </c>
      <c r="N17" s="27">
        <f t="shared" si="1"/>
        <v>104.89999999999998</v>
      </c>
      <c r="O17" s="41">
        <f t="shared" si="2"/>
        <v>0.10000000000002274</v>
      </c>
      <c r="P17" s="28"/>
    </row>
    <row r="18" spans="1:16" ht="15.75" customHeight="1" x14ac:dyDescent="0.35">
      <c r="A18" s="26">
        <v>45339</v>
      </c>
      <c r="B18" s="9">
        <v>1779.86</v>
      </c>
      <c r="C18" s="9">
        <v>1168.2</v>
      </c>
      <c r="D18" s="9">
        <v>256.2</v>
      </c>
      <c r="E18" s="9"/>
      <c r="F18" s="9"/>
      <c r="G18" s="9"/>
      <c r="H18" s="9"/>
      <c r="I18" s="9"/>
      <c r="J18" s="9"/>
      <c r="K18" s="9"/>
      <c r="L18" s="9">
        <v>355</v>
      </c>
      <c r="M18" s="31">
        <f t="shared" si="0"/>
        <v>1779.4</v>
      </c>
      <c r="N18" s="27">
        <f t="shared" si="1"/>
        <v>355.45999999999981</v>
      </c>
      <c r="O18" s="41">
        <f t="shared" si="2"/>
        <v>-0.45999999999980901</v>
      </c>
      <c r="P18" s="28"/>
    </row>
    <row r="19" spans="1:16" ht="15.75" customHeight="1" x14ac:dyDescent="0.35">
      <c r="A19" s="26">
        <v>45340</v>
      </c>
      <c r="B19" s="9">
        <v>1629.58</v>
      </c>
      <c r="C19" s="9">
        <v>1067.3900000000001</v>
      </c>
      <c r="D19" s="9">
        <v>143.5</v>
      </c>
      <c r="E19" s="9"/>
      <c r="F19" s="9"/>
      <c r="G19" s="9"/>
      <c r="H19" s="9"/>
      <c r="I19" s="9"/>
      <c r="J19" s="9"/>
      <c r="K19" s="9"/>
      <c r="L19" s="9">
        <v>420</v>
      </c>
      <c r="M19" s="31">
        <f t="shared" si="0"/>
        <v>1630.89</v>
      </c>
      <c r="N19" s="27">
        <f t="shared" si="1"/>
        <v>418.68999999999983</v>
      </c>
      <c r="O19" s="41">
        <f t="shared" si="2"/>
        <v>1.3100000000001728</v>
      </c>
      <c r="P19" s="28"/>
    </row>
    <row r="20" spans="1:16" ht="15.75" customHeight="1" x14ac:dyDescent="0.35">
      <c r="A20" s="26">
        <v>45341</v>
      </c>
      <c r="B20" s="9">
        <v>627.11</v>
      </c>
      <c r="C20" s="9">
        <v>422.32</v>
      </c>
      <c r="D20" s="9">
        <v>31.5</v>
      </c>
      <c r="E20" s="9"/>
      <c r="F20" s="9"/>
      <c r="G20" s="9"/>
      <c r="H20" s="9"/>
      <c r="I20" s="9"/>
      <c r="J20" s="9"/>
      <c r="K20" s="73">
        <v>57.39</v>
      </c>
      <c r="L20" s="9">
        <v>120</v>
      </c>
      <c r="M20" s="31">
        <f t="shared" si="0"/>
        <v>631.20999999999992</v>
      </c>
      <c r="N20" s="27">
        <f>L20-O20</f>
        <v>115.90000000000009</v>
      </c>
      <c r="O20" s="41">
        <f t="shared" si="2"/>
        <v>4.0999999999999091</v>
      </c>
      <c r="P20" s="28"/>
    </row>
    <row r="21" spans="1:16" ht="15.75" customHeight="1" x14ac:dyDescent="0.35">
      <c r="A21" s="26">
        <v>45342</v>
      </c>
      <c r="B21" s="9">
        <v>403.1</v>
      </c>
      <c r="C21" s="9">
        <v>220.5</v>
      </c>
      <c r="D21" s="9">
        <v>61.4</v>
      </c>
      <c r="E21" s="9"/>
      <c r="F21" s="9"/>
      <c r="G21" s="9"/>
      <c r="H21" s="9"/>
      <c r="I21" s="9"/>
      <c r="J21" s="9"/>
      <c r="K21" s="9"/>
      <c r="L21" s="9">
        <v>120</v>
      </c>
      <c r="M21" s="31">
        <f t="shared" si="0"/>
        <v>401.9</v>
      </c>
      <c r="N21" s="27">
        <f t="shared" si="1"/>
        <v>121.20000000000005</v>
      </c>
      <c r="O21" s="41">
        <f t="shared" si="2"/>
        <v>-1.2000000000000455</v>
      </c>
      <c r="P21" s="28"/>
    </row>
    <row r="22" spans="1:16" ht="15.75" customHeight="1" x14ac:dyDescent="0.35">
      <c r="A22" s="26">
        <v>45343</v>
      </c>
      <c r="B22" s="9">
        <v>283.02999999999997</v>
      </c>
      <c r="C22" s="9">
        <v>162.15</v>
      </c>
      <c r="D22" s="9">
        <v>39.28</v>
      </c>
      <c r="E22" s="9"/>
      <c r="F22" s="9"/>
      <c r="G22" s="9"/>
      <c r="H22" s="9">
        <v>18.899999999999999</v>
      </c>
      <c r="I22" s="9"/>
      <c r="J22" s="9"/>
      <c r="K22" s="9"/>
      <c r="L22" s="9">
        <v>65</v>
      </c>
      <c r="M22" s="31">
        <f t="shared" si="0"/>
        <v>285.33000000000004</v>
      </c>
      <c r="N22" s="27">
        <f t="shared" si="1"/>
        <v>62.699999999999932</v>
      </c>
      <c r="O22" s="41">
        <f t="shared" si="2"/>
        <v>2.3000000000000682</v>
      </c>
      <c r="P22" s="28"/>
    </row>
    <row r="23" spans="1:16" ht="15.75" customHeight="1" x14ac:dyDescent="0.35">
      <c r="A23" s="26">
        <v>45344</v>
      </c>
      <c r="B23" s="9">
        <v>136.61000000000001</v>
      </c>
      <c r="C23" s="9">
        <v>89.81</v>
      </c>
      <c r="D23" s="9">
        <v>0</v>
      </c>
      <c r="E23" s="9"/>
      <c r="F23" s="9"/>
      <c r="G23" s="9"/>
      <c r="H23" s="9"/>
      <c r="I23" s="9"/>
      <c r="J23" s="9"/>
      <c r="K23" s="9"/>
      <c r="L23" s="9">
        <v>40</v>
      </c>
      <c r="M23" s="31">
        <f t="shared" si="0"/>
        <v>129.81</v>
      </c>
      <c r="N23" s="27">
        <f t="shared" si="1"/>
        <v>46.800000000000011</v>
      </c>
      <c r="O23" s="41">
        <f t="shared" si="2"/>
        <v>-6.8000000000000114</v>
      </c>
      <c r="P23" s="28"/>
    </row>
    <row r="24" spans="1:16" ht="15.75" customHeight="1" x14ac:dyDescent="0.35">
      <c r="A24" s="26">
        <v>45345</v>
      </c>
      <c r="B24" s="9">
        <v>525.52</v>
      </c>
      <c r="C24" s="9">
        <v>254.78</v>
      </c>
      <c r="D24" s="9">
        <v>49.77</v>
      </c>
      <c r="E24" s="9"/>
      <c r="F24" s="9"/>
      <c r="G24" s="9"/>
      <c r="H24" s="9">
        <v>73.7</v>
      </c>
      <c r="I24" s="9"/>
      <c r="J24" s="9"/>
      <c r="K24" s="73">
        <v>70.569999999999993</v>
      </c>
      <c r="L24" s="9">
        <v>70</v>
      </c>
      <c r="M24" s="31">
        <f t="shared" si="0"/>
        <v>518.81999999999994</v>
      </c>
      <c r="N24" s="27">
        <f t="shared" si="1"/>
        <v>76.700000000000045</v>
      </c>
      <c r="O24" s="41">
        <f t="shared" si="2"/>
        <v>-6.7000000000000455</v>
      </c>
      <c r="P24" s="28"/>
    </row>
    <row r="25" spans="1:16" ht="15.75" customHeight="1" x14ac:dyDescent="0.35">
      <c r="A25" s="26">
        <v>45346</v>
      </c>
      <c r="B25" s="9">
        <v>881.38</v>
      </c>
      <c r="C25" s="9">
        <v>549.92999999999995</v>
      </c>
      <c r="D25" s="9">
        <v>67.62</v>
      </c>
      <c r="E25" s="9"/>
      <c r="F25" s="9"/>
      <c r="G25" s="9"/>
      <c r="H25" s="9"/>
      <c r="I25" s="9"/>
      <c r="J25" s="9"/>
      <c r="K25" s="73">
        <v>134.97</v>
      </c>
      <c r="L25" s="9">
        <v>130</v>
      </c>
      <c r="M25" s="31">
        <f t="shared" si="0"/>
        <v>882.52</v>
      </c>
      <c r="N25" s="27">
        <f t="shared" si="1"/>
        <v>128.86000000000001</v>
      </c>
      <c r="O25" s="41">
        <f t="shared" si="2"/>
        <v>1.1399999999999864</v>
      </c>
      <c r="P25" s="28"/>
    </row>
    <row r="26" spans="1:16" ht="15.75" customHeight="1" x14ac:dyDescent="0.35">
      <c r="A26" s="26">
        <v>45347</v>
      </c>
      <c r="B26" s="9">
        <v>426.8</v>
      </c>
      <c r="C26" s="9">
        <v>286.85000000000002</v>
      </c>
      <c r="D26" s="9">
        <v>23</v>
      </c>
      <c r="E26" s="9"/>
      <c r="F26" s="9"/>
      <c r="G26" s="9"/>
      <c r="H26" s="9">
        <v>18.899999999999999</v>
      </c>
      <c r="I26" s="9"/>
      <c r="J26" s="9"/>
      <c r="K26" s="9"/>
      <c r="L26" s="9">
        <v>100</v>
      </c>
      <c r="M26" s="31">
        <f t="shared" si="0"/>
        <v>428.75</v>
      </c>
      <c r="N26" s="27">
        <f t="shared" si="1"/>
        <v>98.050000000000011</v>
      </c>
      <c r="O26" s="41">
        <f t="shared" si="2"/>
        <v>1.9499999999999886</v>
      </c>
      <c r="P26" s="28"/>
    </row>
    <row r="27" spans="1:16" ht="15.75" customHeight="1" x14ac:dyDescent="0.35">
      <c r="A27" s="26">
        <v>45348</v>
      </c>
      <c r="B27" s="9">
        <v>433.91</v>
      </c>
      <c r="C27" s="9">
        <v>249.51</v>
      </c>
      <c r="D27" s="9">
        <v>175.6</v>
      </c>
      <c r="E27" s="9"/>
      <c r="F27" s="9"/>
      <c r="G27" s="9"/>
      <c r="H27" s="9"/>
      <c r="I27" s="9"/>
      <c r="J27" s="9"/>
      <c r="K27" s="9"/>
      <c r="L27" s="9">
        <v>10</v>
      </c>
      <c r="M27" s="31">
        <f t="shared" si="0"/>
        <v>435.11</v>
      </c>
      <c r="N27" s="27">
        <f t="shared" si="1"/>
        <v>8.8000000000000114</v>
      </c>
      <c r="O27" s="41">
        <f t="shared" si="2"/>
        <v>1.1999999999999886</v>
      </c>
      <c r="P27" s="28"/>
    </row>
    <row r="28" spans="1:16" ht="15.75" customHeight="1" x14ac:dyDescent="0.35">
      <c r="A28" s="26">
        <v>45349</v>
      </c>
      <c r="B28" s="9">
        <v>281.26</v>
      </c>
      <c r="C28" s="9">
        <v>169.66</v>
      </c>
      <c r="D28" s="9">
        <v>27.9</v>
      </c>
      <c r="E28" s="9"/>
      <c r="F28" s="9"/>
      <c r="G28" s="9"/>
      <c r="H28" s="9"/>
      <c r="I28" s="9"/>
      <c r="J28" s="9"/>
      <c r="K28" s="9"/>
      <c r="L28" s="9">
        <v>80</v>
      </c>
      <c r="M28" s="31">
        <f t="shared" si="0"/>
        <v>277.56</v>
      </c>
      <c r="N28" s="27">
        <f t="shared" si="1"/>
        <v>83.699999999999989</v>
      </c>
      <c r="O28" s="41">
        <f t="shared" si="2"/>
        <v>-3.6999999999999886</v>
      </c>
      <c r="P28" s="28"/>
    </row>
    <row r="29" spans="1:16" ht="15.75" customHeight="1" x14ac:dyDescent="0.35">
      <c r="A29" s="26">
        <v>45350</v>
      </c>
      <c r="B29" s="9">
        <v>296.7</v>
      </c>
      <c r="C29" s="9">
        <v>243.5</v>
      </c>
      <c r="D29" s="9">
        <v>0</v>
      </c>
      <c r="E29" s="9"/>
      <c r="F29" s="9"/>
      <c r="G29" s="9"/>
      <c r="H29" s="9"/>
      <c r="I29" s="9"/>
      <c r="J29" s="9"/>
      <c r="K29" s="9"/>
      <c r="L29" s="9">
        <v>50</v>
      </c>
      <c r="M29" s="31">
        <f>C29+D29+E29+F29+G29+H29+I29+J29+L29+K29</f>
        <v>293.5</v>
      </c>
      <c r="N29" s="27">
        <f t="shared" si="1"/>
        <v>53.199999999999989</v>
      </c>
      <c r="O29" s="41">
        <f t="shared" si="2"/>
        <v>-3.1999999999999886</v>
      </c>
      <c r="P29" s="28"/>
    </row>
    <row r="30" spans="1:16" ht="15.75" customHeight="1" x14ac:dyDescent="0.35">
      <c r="A30" s="26">
        <v>45351</v>
      </c>
      <c r="B30" s="9">
        <v>173.35</v>
      </c>
      <c r="C30" s="9">
        <v>128.4</v>
      </c>
      <c r="D30" s="9">
        <v>29.45</v>
      </c>
      <c r="E30" s="9"/>
      <c r="F30" s="9"/>
      <c r="G30" s="9"/>
      <c r="H30" s="9"/>
      <c r="I30" s="9"/>
      <c r="J30" s="9"/>
      <c r="K30" s="9"/>
      <c r="L30" s="9">
        <v>25</v>
      </c>
      <c r="M30" s="31">
        <f t="shared" si="0"/>
        <v>182.85</v>
      </c>
      <c r="N30" s="27">
        <f t="shared" si="1"/>
        <v>15.5</v>
      </c>
      <c r="O30" s="41">
        <f t="shared" si="2"/>
        <v>9.5</v>
      </c>
      <c r="P30" s="28"/>
    </row>
    <row r="31" spans="1:16" ht="15.75" customHeight="1" x14ac:dyDescent="0.35">
      <c r="A31" s="2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31">
        <f t="shared" si="0"/>
        <v>0</v>
      </c>
      <c r="N31" s="27">
        <f t="shared" si="1"/>
        <v>0</v>
      </c>
      <c r="O31" s="41">
        <f t="shared" si="2"/>
        <v>0</v>
      </c>
      <c r="P31" s="28"/>
    </row>
    <row r="32" spans="1:16" ht="15.75" customHeight="1" x14ac:dyDescent="0.35">
      <c r="A32" s="26"/>
      <c r="B32" s="44"/>
      <c r="C32" s="44"/>
      <c r="D32" s="44"/>
      <c r="E32" s="9"/>
      <c r="F32" s="9"/>
      <c r="G32" s="9"/>
      <c r="H32" s="44"/>
      <c r="I32" s="9"/>
      <c r="J32" s="9"/>
      <c r="K32" s="55"/>
      <c r="L32" s="44"/>
      <c r="M32" s="31">
        <f t="shared" si="0"/>
        <v>0</v>
      </c>
      <c r="N32" s="27">
        <f t="shared" si="1"/>
        <v>0</v>
      </c>
      <c r="O32" s="41">
        <f t="shared" si="2"/>
        <v>0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18006.439999999999</v>
      </c>
      <c r="N33" s="72">
        <f>M33-O33</f>
        <v>18004.43</v>
      </c>
      <c r="O33" s="49">
        <f>SUM(O2:O32)</f>
        <v>2.0100000000001472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C15E-3B4C-4632-B698-1FE255BEB285}">
  <dimension ref="A1:R1000"/>
  <sheetViews>
    <sheetView workbookViewId="0">
      <pane ySplit="1" topLeftCell="A26" activePane="bottomLeft" state="frozen"/>
      <selection pane="bottomLeft" activeCell="F26" sqref="F26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45352</v>
      </c>
      <c r="B2" s="9">
        <v>348.31</v>
      </c>
      <c r="C2" s="9">
        <v>179.84</v>
      </c>
      <c r="D2" s="9">
        <v>76.34</v>
      </c>
      <c r="E2" s="9"/>
      <c r="F2" s="9"/>
      <c r="G2" s="9"/>
      <c r="H2" s="9">
        <v>18.899999999999999</v>
      </c>
      <c r="I2" s="9"/>
      <c r="J2" s="9"/>
      <c r="K2" s="73">
        <v>59.73</v>
      </c>
      <c r="L2" s="9">
        <v>15</v>
      </c>
      <c r="M2" s="31">
        <f t="shared" ref="M2:M32" si="0">C2+D2+E2+F2+G2+H2+I2+J2+L2+K2</f>
        <v>349.81</v>
      </c>
      <c r="N2" s="27">
        <f t="shared" ref="N2:N32" si="1">L2-O2</f>
        <v>13.5</v>
      </c>
      <c r="O2" s="70">
        <f t="shared" ref="O2:O32" si="2">M2-B2-F2</f>
        <v>1.5</v>
      </c>
      <c r="P2" s="28"/>
    </row>
    <row r="3" spans="1:18" ht="15.75" customHeight="1" x14ac:dyDescent="0.35">
      <c r="A3" s="26">
        <v>45353</v>
      </c>
      <c r="B3" s="9">
        <v>465.93</v>
      </c>
      <c r="C3" s="9">
        <v>322.52999999999997</v>
      </c>
      <c r="D3" s="9">
        <v>20.8</v>
      </c>
      <c r="E3" s="9"/>
      <c r="F3" s="9"/>
      <c r="G3" s="9"/>
      <c r="H3" s="9">
        <v>18.899999999999999</v>
      </c>
      <c r="I3" s="9"/>
      <c r="J3" s="9"/>
      <c r="K3" s="9"/>
      <c r="L3" s="9">
        <v>105</v>
      </c>
      <c r="M3" s="31">
        <f t="shared" si="0"/>
        <v>467.22999999999996</v>
      </c>
      <c r="N3" s="27">
        <f t="shared" si="1"/>
        <v>103.70000000000005</v>
      </c>
      <c r="O3" s="70">
        <f t="shared" si="2"/>
        <v>1.2999999999999545</v>
      </c>
      <c r="P3" s="28"/>
      <c r="Q3" s="56"/>
    </row>
    <row r="4" spans="1:18" ht="15.75" customHeight="1" x14ac:dyDescent="0.35">
      <c r="A4" s="26">
        <v>45354</v>
      </c>
      <c r="B4" s="9">
        <v>804.95</v>
      </c>
      <c r="C4" s="9">
        <v>549.65</v>
      </c>
      <c r="D4" s="9">
        <v>113.5</v>
      </c>
      <c r="E4" s="9"/>
      <c r="F4" s="9"/>
      <c r="G4" s="9"/>
      <c r="H4" s="9">
        <v>37.799999999999997</v>
      </c>
      <c r="I4" s="9"/>
      <c r="J4" s="9"/>
      <c r="K4" s="9"/>
      <c r="L4" s="9">
        <v>105</v>
      </c>
      <c r="M4" s="31">
        <f t="shared" si="0"/>
        <v>805.94999999999993</v>
      </c>
      <c r="N4" s="27">
        <f t="shared" si="1"/>
        <v>104.00000000000011</v>
      </c>
      <c r="O4" s="41">
        <f t="shared" si="2"/>
        <v>0.99999999999988631</v>
      </c>
      <c r="P4" s="28"/>
    </row>
    <row r="5" spans="1:18" ht="15.75" customHeight="1" x14ac:dyDescent="0.35">
      <c r="A5" s="26">
        <v>45355</v>
      </c>
      <c r="B5" s="9">
        <v>242.6</v>
      </c>
      <c r="C5" s="9">
        <v>138.6</v>
      </c>
      <c r="D5" s="9">
        <v>10.5</v>
      </c>
      <c r="E5" s="9"/>
      <c r="F5" s="9"/>
      <c r="G5" s="9"/>
      <c r="H5" s="9">
        <v>18.899999999999999</v>
      </c>
      <c r="I5" s="9"/>
      <c r="J5" s="9"/>
      <c r="K5" s="9"/>
      <c r="L5" s="9">
        <v>70</v>
      </c>
      <c r="M5" s="31">
        <f t="shared" si="0"/>
        <v>238</v>
      </c>
      <c r="N5" s="27">
        <f t="shared" si="1"/>
        <v>74.599999999999994</v>
      </c>
      <c r="O5" s="41">
        <f t="shared" si="2"/>
        <v>-4.5999999999999943</v>
      </c>
      <c r="P5" s="28"/>
    </row>
    <row r="6" spans="1:18" ht="15.75" customHeight="1" x14ac:dyDescent="0.35">
      <c r="A6" s="26">
        <v>45356</v>
      </c>
      <c r="B6" s="9">
        <v>306</v>
      </c>
      <c r="C6" s="9">
        <v>227</v>
      </c>
      <c r="D6" s="83">
        <v>13.3</v>
      </c>
      <c r="E6" s="9"/>
      <c r="F6" s="9"/>
      <c r="G6" s="9"/>
      <c r="H6" s="9"/>
      <c r="I6" s="9"/>
      <c r="J6" s="9"/>
      <c r="K6" s="9"/>
      <c r="L6" s="9">
        <v>75</v>
      </c>
      <c r="M6" s="31">
        <f t="shared" si="0"/>
        <v>315.3</v>
      </c>
      <c r="N6" s="27">
        <f t="shared" si="1"/>
        <v>65.699999999999989</v>
      </c>
      <c r="O6" s="41">
        <f t="shared" si="2"/>
        <v>9.3000000000000114</v>
      </c>
      <c r="P6" s="28"/>
    </row>
    <row r="7" spans="1:18" ht="15.75" customHeight="1" x14ac:dyDescent="0.35">
      <c r="A7" s="26">
        <v>45357</v>
      </c>
      <c r="B7" s="9">
        <v>314.86</v>
      </c>
      <c r="C7" s="9">
        <v>140.19999999999999</v>
      </c>
      <c r="D7" s="9">
        <v>39.5</v>
      </c>
      <c r="E7" s="9"/>
      <c r="F7" s="9"/>
      <c r="G7" s="9"/>
      <c r="H7" s="9">
        <v>32.9</v>
      </c>
      <c r="I7" s="9"/>
      <c r="J7" s="9"/>
      <c r="K7" s="73">
        <v>97.16</v>
      </c>
      <c r="L7" s="9">
        <v>10</v>
      </c>
      <c r="M7" s="31">
        <f t="shared" si="0"/>
        <v>319.76</v>
      </c>
      <c r="N7" s="27">
        <f t="shared" si="1"/>
        <v>5.1000000000000227</v>
      </c>
      <c r="O7" s="41">
        <f t="shared" si="2"/>
        <v>4.8999999999999773</v>
      </c>
      <c r="P7" s="28"/>
    </row>
    <row r="8" spans="1:18" ht="15.75" customHeight="1" x14ac:dyDescent="0.35">
      <c r="A8" s="26">
        <v>45358</v>
      </c>
      <c r="B8" s="9">
        <v>128.9</v>
      </c>
      <c r="C8" s="9">
        <v>87.9</v>
      </c>
      <c r="D8" s="9">
        <v>4.7</v>
      </c>
      <c r="E8" s="9"/>
      <c r="F8" s="9"/>
      <c r="G8" s="9"/>
      <c r="H8" s="9"/>
      <c r="I8" s="9"/>
      <c r="J8" s="9"/>
      <c r="K8" s="9"/>
      <c r="L8" s="9">
        <v>35</v>
      </c>
      <c r="M8" s="31">
        <f t="shared" si="0"/>
        <v>127.60000000000001</v>
      </c>
      <c r="N8" s="27">
        <f t="shared" si="1"/>
        <v>36.299999999999997</v>
      </c>
      <c r="O8" s="41">
        <f t="shared" si="2"/>
        <v>-1.2999999999999972</v>
      </c>
      <c r="P8" s="28"/>
    </row>
    <row r="9" spans="1:18" ht="15.75" customHeight="1" x14ac:dyDescent="0.35">
      <c r="A9" s="26">
        <v>45359</v>
      </c>
      <c r="B9" s="9">
        <v>264.89999999999998</v>
      </c>
      <c r="C9" s="9">
        <v>147.1</v>
      </c>
      <c r="D9" s="9">
        <v>26.5</v>
      </c>
      <c r="E9" s="9"/>
      <c r="F9" s="9"/>
      <c r="G9" s="9"/>
      <c r="H9" s="9">
        <v>58.8</v>
      </c>
      <c r="I9" s="9"/>
      <c r="J9" s="9"/>
      <c r="K9" s="9"/>
      <c r="L9" s="9">
        <v>30</v>
      </c>
      <c r="M9" s="31">
        <f t="shared" si="0"/>
        <v>262.39999999999998</v>
      </c>
      <c r="N9" s="27">
        <f t="shared" si="1"/>
        <v>32.5</v>
      </c>
      <c r="O9" s="41">
        <f t="shared" si="2"/>
        <v>-2.5</v>
      </c>
      <c r="P9" s="28"/>
    </row>
    <row r="10" spans="1:18" ht="15.75" customHeight="1" x14ac:dyDescent="0.35">
      <c r="A10" s="26">
        <v>45360</v>
      </c>
      <c r="B10" s="9">
        <v>692.87</v>
      </c>
      <c r="C10" s="9">
        <v>446.32</v>
      </c>
      <c r="D10" s="9">
        <v>113.84</v>
      </c>
      <c r="E10" s="9"/>
      <c r="F10" s="9"/>
      <c r="G10" s="9"/>
      <c r="H10" s="9">
        <v>65.8</v>
      </c>
      <c r="I10" s="9"/>
      <c r="J10" s="9"/>
      <c r="K10" s="9"/>
      <c r="L10" s="9">
        <v>70</v>
      </c>
      <c r="M10" s="31">
        <f t="shared" si="0"/>
        <v>695.95999999999992</v>
      </c>
      <c r="N10" s="27">
        <f t="shared" si="1"/>
        <v>66.910000000000082</v>
      </c>
      <c r="O10" s="41">
        <f t="shared" si="2"/>
        <v>3.0899999999999181</v>
      </c>
      <c r="P10" s="28"/>
    </row>
    <row r="11" spans="1:18" ht="15.75" customHeight="1" x14ac:dyDescent="0.35">
      <c r="A11" s="26">
        <v>45361</v>
      </c>
      <c r="B11" s="9">
        <v>638.20000000000005</v>
      </c>
      <c r="C11" s="9">
        <v>423.5</v>
      </c>
      <c r="D11" s="9">
        <v>48</v>
      </c>
      <c r="E11" s="9"/>
      <c r="F11" s="9"/>
      <c r="G11" s="9"/>
      <c r="H11" s="9">
        <v>51.8</v>
      </c>
      <c r="I11" s="9"/>
      <c r="J11" s="9"/>
      <c r="K11" s="9"/>
      <c r="L11" s="9">
        <v>115</v>
      </c>
      <c r="M11" s="31">
        <f t="shared" si="0"/>
        <v>638.29999999999995</v>
      </c>
      <c r="N11" s="27">
        <f t="shared" si="1"/>
        <v>114.90000000000009</v>
      </c>
      <c r="O11" s="41">
        <f t="shared" si="2"/>
        <v>9.9999999999909051E-2</v>
      </c>
      <c r="P11" s="28"/>
    </row>
    <row r="12" spans="1:18" ht="15.75" customHeight="1" x14ac:dyDescent="0.35">
      <c r="A12" s="26">
        <v>45362</v>
      </c>
      <c r="B12" s="9">
        <v>346.89</v>
      </c>
      <c r="C12" s="9">
        <v>253.49</v>
      </c>
      <c r="D12" s="9">
        <v>23.8</v>
      </c>
      <c r="E12" s="9"/>
      <c r="F12" s="9"/>
      <c r="G12" s="9"/>
      <c r="H12" s="9"/>
      <c r="I12" s="9"/>
      <c r="J12" s="9"/>
      <c r="K12" s="9"/>
      <c r="L12" s="9">
        <v>70</v>
      </c>
      <c r="M12" s="31">
        <f t="shared" si="0"/>
        <v>347.29</v>
      </c>
      <c r="N12" s="27">
        <f t="shared" si="1"/>
        <v>69.599999999999966</v>
      </c>
      <c r="O12" s="41">
        <f t="shared" si="2"/>
        <v>0.40000000000003411</v>
      </c>
      <c r="P12" s="28"/>
      <c r="Q12" s="56"/>
    </row>
    <row r="13" spans="1:18" ht="15.75" customHeight="1" x14ac:dyDescent="0.35">
      <c r="A13" s="26">
        <v>45363</v>
      </c>
      <c r="B13" s="9">
        <v>395.96</v>
      </c>
      <c r="C13" s="9">
        <v>225.36</v>
      </c>
      <c r="D13" s="9">
        <v>20.5</v>
      </c>
      <c r="E13" s="9"/>
      <c r="F13" s="9"/>
      <c r="G13" s="9"/>
      <c r="H13" s="9"/>
      <c r="I13" s="9"/>
      <c r="J13" s="9"/>
      <c r="K13" s="9"/>
      <c r="L13" s="9">
        <v>150</v>
      </c>
      <c r="M13" s="31">
        <f t="shared" si="0"/>
        <v>395.86</v>
      </c>
      <c r="N13" s="27">
        <f t="shared" si="1"/>
        <v>150.09999999999997</v>
      </c>
      <c r="O13" s="41">
        <f t="shared" si="2"/>
        <v>-9.9999999999965894E-2</v>
      </c>
      <c r="P13" s="28"/>
    </row>
    <row r="14" spans="1:18" ht="15.75" customHeight="1" x14ac:dyDescent="0.35">
      <c r="A14" s="26">
        <v>45364</v>
      </c>
      <c r="B14" s="9">
        <v>493.46</v>
      </c>
      <c r="C14" s="9">
        <v>346.66</v>
      </c>
      <c r="D14" s="9">
        <v>64.3</v>
      </c>
      <c r="E14" s="9"/>
      <c r="F14" s="9"/>
      <c r="G14" s="9"/>
      <c r="H14" s="9"/>
      <c r="I14" s="9"/>
      <c r="J14" s="9"/>
      <c r="K14" s="9"/>
      <c r="L14" s="9">
        <v>80</v>
      </c>
      <c r="M14" s="31">
        <f t="shared" si="0"/>
        <v>490.96000000000004</v>
      </c>
      <c r="N14" s="27">
        <f t="shared" si="1"/>
        <v>82.499999999999943</v>
      </c>
      <c r="O14" s="41">
        <f t="shared" si="2"/>
        <v>-2.4999999999999432</v>
      </c>
      <c r="P14" s="28"/>
    </row>
    <row r="15" spans="1:18" ht="15.75" customHeight="1" x14ac:dyDescent="0.35">
      <c r="A15" s="26">
        <v>45365</v>
      </c>
      <c r="B15" s="9">
        <v>125.5</v>
      </c>
      <c r="C15" s="9">
        <v>100</v>
      </c>
      <c r="D15" s="9">
        <v>0</v>
      </c>
      <c r="E15" s="9"/>
      <c r="F15" s="9"/>
      <c r="G15" s="9"/>
      <c r="H15" s="9"/>
      <c r="I15" s="9"/>
      <c r="J15" s="9"/>
      <c r="K15" s="9"/>
      <c r="L15" s="9">
        <v>20</v>
      </c>
      <c r="M15" s="31">
        <f t="shared" si="0"/>
        <v>120</v>
      </c>
      <c r="N15" s="27">
        <f t="shared" si="1"/>
        <v>25.5</v>
      </c>
      <c r="O15" s="41">
        <f t="shared" si="2"/>
        <v>-5.5</v>
      </c>
      <c r="P15" s="28"/>
    </row>
    <row r="16" spans="1:18" ht="15.75" customHeight="1" x14ac:dyDescent="0.35">
      <c r="A16" s="26">
        <v>45366</v>
      </c>
      <c r="B16" s="9">
        <v>767.23</v>
      </c>
      <c r="C16" s="9">
        <v>543.42999999999995</v>
      </c>
      <c r="D16" s="9">
        <v>70.2</v>
      </c>
      <c r="E16" s="9"/>
      <c r="F16" s="9"/>
      <c r="G16" s="9"/>
      <c r="H16" s="9"/>
      <c r="I16" s="9"/>
      <c r="J16" s="9"/>
      <c r="K16" s="9"/>
      <c r="L16" s="9">
        <v>150</v>
      </c>
      <c r="M16" s="31">
        <f t="shared" si="0"/>
        <v>763.63</v>
      </c>
      <c r="N16" s="27">
        <f t="shared" si="1"/>
        <v>153.60000000000002</v>
      </c>
      <c r="O16" s="41">
        <f t="shared" si="2"/>
        <v>-3.6000000000000227</v>
      </c>
      <c r="P16" s="28"/>
    </row>
    <row r="17" spans="1:16" ht="15.75" customHeight="1" x14ac:dyDescent="0.35">
      <c r="A17" s="26">
        <v>45367</v>
      </c>
      <c r="B17" s="9">
        <v>1088.0999999999999</v>
      </c>
      <c r="C17" s="9">
        <v>742.5</v>
      </c>
      <c r="D17" s="9">
        <v>86</v>
      </c>
      <c r="E17" s="9"/>
      <c r="F17" s="9"/>
      <c r="G17" s="9"/>
      <c r="H17" s="9">
        <v>37.799999999999997</v>
      </c>
      <c r="I17" s="9"/>
      <c r="J17" s="9"/>
      <c r="K17" s="9"/>
      <c r="L17" s="9">
        <v>220</v>
      </c>
      <c r="M17" s="31">
        <f t="shared" si="0"/>
        <v>1086.3</v>
      </c>
      <c r="N17" s="27">
        <f t="shared" si="1"/>
        <v>221.79999999999995</v>
      </c>
      <c r="O17" s="41">
        <f t="shared" si="2"/>
        <v>-1.7999999999999545</v>
      </c>
      <c r="P17" s="28"/>
    </row>
    <row r="18" spans="1:16" ht="15.75" customHeight="1" x14ac:dyDescent="0.35">
      <c r="A18" s="26">
        <v>45368</v>
      </c>
      <c r="B18" s="9">
        <v>1556.21</v>
      </c>
      <c r="C18" s="9">
        <v>1018.19</v>
      </c>
      <c r="D18" s="9">
        <v>142.25</v>
      </c>
      <c r="E18" s="9"/>
      <c r="F18" s="9"/>
      <c r="G18" s="9"/>
      <c r="H18" s="9">
        <v>32.9</v>
      </c>
      <c r="I18" s="9"/>
      <c r="J18" s="9"/>
      <c r="K18" s="9"/>
      <c r="L18" s="9">
        <v>340</v>
      </c>
      <c r="M18" s="31">
        <f t="shared" si="0"/>
        <v>1533.3400000000001</v>
      </c>
      <c r="N18" s="27">
        <f t="shared" si="1"/>
        <v>362.86999999999989</v>
      </c>
      <c r="O18" s="41">
        <f t="shared" si="2"/>
        <v>-22.869999999999891</v>
      </c>
      <c r="P18" s="28"/>
    </row>
    <row r="19" spans="1:16" ht="15.75" customHeight="1" x14ac:dyDescent="0.35">
      <c r="A19" s="26">
        <v>45369</v>
      </c>
      <c r="B19" s="9">
        <v>658.85</v>
      </c>
      <c r="C19" s="9">
        <v>439.25</v>
      </c>
      <c r="D19" s="9">
        <v>67</v>
      </c>
      <c r="E19" s="9"/>
      <c r="F19" s="9"/>
      <c r="G19" s="9"/>
      <c r="H19" s="9">
        <v>32.9</v>
      </c>
      <c r="I19" s="9"/>
      <c r="J19" s="9"/>
      <c r="K19" s="9"/>
      <c r="L19" s="9">
        <v>120</v>
      </c>
      <c r="M19" s="31">
        <f t="shared" si="0"/>
        <v>659.15</v>
      </c>
      <c r="N19" s="27">
        <f t="shared" si="1"/>
        <v>119.70000000000005</v>
      </c>
      <c r="O19" s="41">
        <f t="shared" si="2"/>
        <v>0.29999999999995453</v>
      </c>
      <c r="P19" s="28"/>
    </row>
    <row r="20" spans="1:16" ht="15.75" customHeight="1" x14ac:dyDescent="0.35">
      <c r="A20" s="26">
        <v>45370</v>
      </c>
      <c r="B20" s="9">
        <v>677.94</v>
      </c>
      <c r="C20" s="9">
        <v>331.07</v>
      </c>
      <c r="D20" s="9">
        <v>161.24</v>
      </c>
      <c r="E20" s="9"/>
      <c r="F20" s="9"/>
      <c r="G20" s="9"/>
      <c r="H20" s="9"/>
      <c r="I20" s="9"/>
      <c r="J20" s="9"/>
      <c r="K20" s="73">
        <v>109.43</v>
      </c>
      <c r="L20" s="9">
        <v>70</v>
      </c>
      <c r="M20" s="31">
        <f t="shared" si="0"/>
        <v>671.74</v>
      </c>
      <c r="N20" s="27">
        <f>L20-O20</f>
        <v>76.200000000000045</v>
      </c>
      <c r="O20" s="41">
        <f t="shared" si="2"/>
        <v>-6.2000000000000455</v>
      </c>
      <c r="P20" s="28"/>
    </row>
    <row r="21" spans="1:16" ht="15.75" customHeight="1" x14ac:dyDescent="0.35">
      <c r="A21" s="26">
        <v>45371</v>
      </c>
      <c r="B21" s="9">
        <v>321.5</v>
      </c>
      <c r="C21" s="9">
        <v>171.4</v>
      </c>
      <c r="D21" s="9">
        <v>0</v>
      </c>
      <c r="E21" s="9"/>
      <c r="F21" s="9"/>
      <c r="G21" s="9"/>
      <c r="H21" s="9">
        <v>39.9</v>
      </c>
      <c r="I21" s="9"/>
      <c r="J21" s="9"/>
      <c r="K21" s="9"/>
      <c r="L21" s="9">
        <v>110</v>
      </c>
      <c r="M21" s="31">
        <f t="shared" si="0"/>
        <v>321.3</v>
      </c>
      <c r="N21" s="27">
        <f t="shared" si="1"/>
        <v>110.19999999999999</v>
      </c>
      <c r="O21" s="41">
        <f t="shared" si="2"/>
        <v>-0.19999999999998863</v>
      </c>
      <c r="P21" s="28"/>
    </row>
    <row r="22" spans="1:16" ht="15.75" customHeight="1" x14ac:dyDescent="0.35">
      <c r="A22" s="26">
        <v>45372</v>
      </c>
      <c r="B22" s="9">
        <v>828.17</v>
      </c>
      <c r="C22" s="9">
        <v>563.33000000000004</v>
      </c>
      <c r="D22" s="9">
        <v>48.9</v>
      </c>
      <c r="E22" s="9"/>
      <c r="F22" s="9"/>
      <c r="G22" s="9"/>
      <c r="H22" s="9"/>
      <c r="I22" s="9"/>
      <c r="J22" s="9"/>
      <c r="K22" s="73">
        <v>29.5</v>
      </c>
      <c r="L22" s="9">
        <v>185</v>
      </c>
      <c r="M22" s="31">
        <f t="shared" si="0"/>
        <v>826.73</v>
      </c>
      <c r="N22" s="27">
        <f t="shared" si="1"/>
        <v>186.43999999999994</v>
      </c>
      <c r="O22" s="41">
        <f t="shared" si="2"/>
        <v>-1.4399999999999409</v>
      </c>
      <c r="P22" s="28"/>
    </row>
    <row r="23" spans="1:16" ht="15.75" customHeight="1" x14ac:dyDescent="0.35">
      <c r="A23" s="26">
        <v>45373</v>
      </c>
      <c r="B23" s="9">
        <v>1559.87</v>
      </c>
      <c r="C23" s="9">
        <v>944.74</v>
      </c>
      <c r="D23" s="9">
        <v>265</v>
      </c>
      <c r="E23" s="9"/>
      <c r="F23" s="9"/>
      <c r="G23" s="9"/>
      <c r="H23" s="9"/>
      <c r="I23" s="9"/>
      <c r="J23" s="9"/>
      <c r="K23" s="9"/>
      <c r="L23" s="9">
        <v>350</v>
      </c>
      <c r="M23" s="31">
        <f t="shared" si="0"/>
        <v>1559.74</v>
      </c>
      <c r="N23" s="27">
        <f t="shared" si="1"/>
        <v>350.12999999999988</v>
      </c>
      <c r="O23" s="41">
        <f t="shared" si="2"/>
        <v>-0.12999999999988177</v>
      </c>
      <c r="P23" s="28"/>
    </row>
    <row r="24" spans="1:16" ht="15.75" customHeight="1" x14ac:dyDescent="0.35">
      <c r="A24" s="26">
        <v>45374</v>
      </c>
      <c r="B24" s="9">
        <v>2732.73</v>
      </c>
      <c r="C24" s="9">
        <v>1940.96</v>
      </c>
      <c r="D24" s="9">
        <v>308.60000000000002</v>
      </c>
      <c r="E24" s="9"/>
      <c r="F24" s="9"/>
      <c r="G24" s="9"/>
      <c r="H24" s="9">
        <v>32.9</v>
      </c>
      <c r="I24" s="9"/>
      <c r="J24" s="9"/>
      <c r="K24" s="9"/>
      <c r="L24" s="9">
        <v>445</v>
      </c>
      <c r="M24" s="31">
        <f t="shared" si="0"/>
        <v>2727.46</v>
      </c>
      <c r="N24" s="27">
        <f t="shared" si="1"/>
        <v>450.27</v>
      </c>
      <c r="O24" s="41">
        <f t="shared" si="2"/>
        <v>-5.2699999999999818</v>
      </c>
      <c r="P24" s="28"/>
    </row>
    <row r="25" spans="1:16" ht="15.75" customHeight="1" x14ac:dyDescent="0.35">
      <c r="A25" s="26">
        <v>45375</v>
      </c>
      <c r="B25" s="9">
        <v>2438.67</v>
      </c>
      <c r="C25" s="9">
        <v>1745.31</v>
      </c>
      <c r="D25" s="9">
        <v>173.46</v>
      </c>
      <c r="E25" s="9"/>
      <c r="F25" s="9"/>
      <c r="G25" s="9"/>
      <c r="H25" s="9"/>
      <c r="I25" s="9"/>
      <c r="J25" s="9"/>
      <c r="K25" s="9"/>
      <c r="L25" s="9">
        <v>510</v>
      </c>
      <c r="M25" s="31">
        <f t="shared" si="0"/>
        <v>2428.77</v>
      </c>
      <c r="N25" s="27">
        <f t="shared" si="1"/>
        <v>519.90000000000009</v>
      </c>
      <c r="O25" s="41">
        <f t="shared" si="2"/>
        <v>-9.9000000000000909</v>
      </c>
      <c r="P25" s="28"/>
    </row>
    <row r="26" spans="1:16" ht="15.75" customHeight="1" x14ac:dyDescent="0.35">
      <c r="A26" s="26">
        <v>45376</v>
      </c>
      <c r="B26" s="9">
        <v>228.1</v>
      </c>
      <c r="C26" s="9">
        <v>143.6</v>
      </c>
      <c r="D26" s="9">
        <v>36.5</v>
      </c>
      <c r="E26" s="9"/>
      <c r="F26" s="9"/>
      <c r="G26" s="9"/>
      <c r="H26" s="9"/>
      <c r="I26" s="9"/>
      <c r="J26" s="9"/>
      <c r="K26" s="9"/>
      <c r="L26" s="9">
        <v>50</v>
      </c>
      <c r="M26" s="31">
        <f t="shared" si="0"/>
        <v>230.1</v>
      </c>
      <c r="N26" s="27">
        <f t="shared" si="1"/>
        <v>48</v>
      </c>
      <c r="O26" s="41">
        <f t="shared" si="2"/>
        <v>2</v>
      </c>
      <c r="P26" s="28"/>
    </row>
    <row r="27" spans="1:16" ht="15.75" customHeight="1" x14ac:dyDescent="0.35">
      <c r="A27" s="26">
        <v>45377</v>
      </c>
      <c r="B27" s="9">
        <v>181.75</v>
      </c>
      <c r="C27" s="9">
        <v>76.349999999999994</v>
      </c>
      <c r="D27" s="9">
        <v>39.83</v>
      </c>
      <c r="E27" s="9"/>
      <c r="F27" s="9"/>
      <c r="G27" s="9"/>
      <c r="H27" s="9"/>
      <c r="I27" s="9"/>
      <c r="J27" s="9"/>
      <c r="K27" s="9"/>
      <c r="L27" s="9">
        <v>70</v>
      </c>
      <c r="M27" s="31">
        <f t="shared" si="0"/>
        <v>186.18</v>
      </c>
      <c r="N27" s="27">
        <f t="shared" si="1"/>
        <v>65.569999999999993</v>
      </c>
      <c r="O27" s="41">
        <f t="shared" si="2"/>
        <v>4.4300000000000068</v>
      </c>
      <c r="P27" s="28"/>
    </row>
    <row r="28" spans="1:16" ht="15.75" customHeight="1" x14ac:dyDescent="0.35">
      <c r="A28" s="26">
        <v>45378</v>
      </c>
      <c r="B28" s="9">
        <v>359.73</v>
      </c>
      <c r="C28" s="9">
        <v>157.66999999999999</v>
      </c>
      <c r="D28" s="9">
        <v>42.3</v>
      </c>
      <c r="E28" s="9"/>
      <c r="F28" s="9"/>
      <c r="G28" s="9"/>
      <c r="H28" s="9"/>
      <c r="I28" s="9"/>
      <c r="J28" s="9"/>
      <c r="K28" s="73">
        <v>135.16</v>
      </c>
      <c r="L28" s="9">
        <v>25</v>
      </c>
      <c r="M28" s="31">
        <f t="shared" si="0"/>
        <v>360.13</v>
      </c>
      <c r="N28" s="27">
        <f t="shared" si="1"/>
        <v>24.600000000000023</v>
      </c>
      <c r="O28" s="41">
        <f t="shared" si="2"/>
        <v>0.39999999999997726</v>
      </c>
      <c r="P28" s="28"/>
    </row>
    <row r="29" spans="1:16" ht="15.75" customHeight="1" x14ac:dyDescent="0.35">
      <c r="A29" s="26">
        <v>45379</v>
      </c>
      <c r="B29" s="9">
        <v>336.17</v>
      </c>
      <c r="C29" s="9">
        <v>125.3</v>
      </c>
      <c r="D29" s="9">
        <v>62.35</v>
      </c>
      <c r="E29" s="9"/>
      <c r="F29" s="9"/>
      <c r="G29" s="9"/>
      <c r="H29" s="9">
        <v>18.899999999999999</v>
      </c>
      <c r="I29" s="9"/>
      <c r="J29" s="9"/>
      <c r="K29" s="73">
        <v>116.32</v>
      </c>
      <c r="L29" s="9">
        <v>15</v>
      </c>
      <c r="M29" s="31">
        <f>C29+D29+E29+F29+G29+H29+I29+J29+L29+K29</f>
        <v>337.87</v>
      </c>
      <c r="N29" s="27">
        <f t="shared" si="1"/>
        <v>13.300000000000011</v>
      </c>
      <c r="O29" s="41">
        <f t="shared" si="2"/>
        <v>1.6999999999999886</v>
      </c>
      <c r="P29" s="28"/>
    </row>
    <row r="30" spans="1:16" ht="15.75" customHeight="1" x14ac:dyDescent="0.35">
      <c r="A30" s="26">
        <v>45380</v>
      </c>
      <c r="B30" s="9">
        <v>674.42</v>
      </c>
      <c r="C30" s="9">
        <v>471.84</v>
      </c>
      <c r="D30" s="9">
        <v>98.2</v>
      </c>
      <c r="E30" s="9"/>
      <c r="F30" s="9"/>
      <c r="G30" s="9">
        <v>18.899999999999999</v>
      </c>
      <c r="H30" s="9"/>
      <c r="I30" s="9"/>
      <c r="J30" s="9"/>
      <c r="K30" s="9"/>
      <c r="L30" s="9">
        <v>85</v>
      </c>
      <c r="M30" s="31">
        <f t="shared" si="0"/>
        <v>673.93999999999994</v>
      </c>
      <c r="N30" s="27">
        <f t="shared" si="1"/>
        <v>85.480000000000018</v>
      </c>
      <c r="O30" s="41">
        <f t="shared" si="2"/>
        <v>-0.48000000000001819</v>
      </c>
      <c r="P30" s="28"/>
    </row>
    <row r="31" spans="1:16" ht="15.75" customHeight="1" x14ac:dyDescent="0.35">
      <c r="A31" s="26">
        <v>45381</v>
      </c>
      <c r="B31" s="9">
        <v>516.16999999999996</v>
      </c>
      <c r="C31" s="9">
        <v>443.47</v>
      </c>
      <c r="D31" s="9">
        <v>13.3</v>
      </c>
      <c r="E31" s="9"/>
      <c r="F31" s="9"/>
      <c r="G31" s="9"/>
      <c r="H31" s="9"/>
      <c r="I31" s="9"/>
      <c r="J31" s="9"/>
      <c r="K31" s="9"/>
      <c r="L31" s="9">
        <v>60</v>
      </c>
      <c r="M31" s="31">
        <f t="shared" si="0"/>
        <v>516.77</v>
      </c>
      <c r="N31" s="27">
        <f t="shared" si="1"/>
        <v>59.399999999999977</v>
      </c>
      <c r="O31" s="41">
        <f t="shared" si="2"/>
        <v>0.60000000000002274</v>
      </c>
      <c r="P31" s="28"/>
    </row>
    <row r="32" spans="1:16" ht="15.75" customHeight="1" x14ac:dyDescent="0.35">
      <c r="A32" s="26">
        <v>45382</v>
      </c>
      <c r="B32" s="44">
        <v>340.92</v>
      </c>
      <c r="C32" s="44">
        <v>224.32</v>
      </c>
      <c r="D32" s="44">
        <v>0</v>
      </c>
      <c r="E32" s="9"/>
      <c r="F32" s="9"/>
      <c r="G32" s="9"/>
      <c r="H32" s="44"/>
      <c r="I32" s="9"/>
      <c r="J32" s="9"/>
      <c r="K32" s="55"/>
      <c r="L32" s="44">
        <v>120</v>
      </c>
      <c r="M32" s="31">
        <f t="shared" si="0"/>
        <v>344.32</v>
      </c>
      <c r="N32" s="27">
        <f t="shared" si="1"/>
        <v>116.60000000000002</v>
      </c>
      <c r="O32" s="41">
        <f t="shared" si="2"/>
        <v>3.3999999999999773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20801.889999999996</v>
      </c>
      <c r="N33" s="72">
        <f>M33-O33</f>
        <v>20835.859999999997</v>
      </c>
      <c r="O33" s="49">
        <f>SUM(O2:O32)</f>
        <v>-33.970000000000098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8942-455F-4B36-9630-05FE129BE6BA}">
  <dimension ref="A1:R999"/>
  <sheetViews>
    <sheetView workbookViewId="0">
      <pane ySplit="1" topLeftCell="A13" activePane="bottomLeft" state="frozen"/>
      <selection pane="bottomLeft" activeCell="D13" sqref="D13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45383</v>
      </c>
      <c r="B2" s="9">
        <v>400.4</v>
      </c>
      <c r="C2" s="9">
        <v>270</v>
      </c>
      <c r="D2" s="9">
        <v>56.7</v>
      </c>
      <c r="E2" s="9"/>
      <c r="F2" s="9"/>
      <c r="G2" s="9"/>
      <c r="H2" s="9"/>
      <c r="I2" s="9"/>
      <c r="J2" s="9"/>
      <c r="K2" s="9"/>
      <c r="L2" s="9">
        <v>80</v>
      </c>
      <c r="M2" s="31">
        <f t="shared" ref="M2:M31" si="0">C2+D2+E2+F2+G2+H2+I2+J2+L2+K2</f>
        <v>406.7</v>
      </c>
      <c r="N2" s="27">
        <f t="shared" ref="N2:N31" si="1">L2-O2</f>
        <v>73.699999999999989</v>
      </c>
      <c r="O2" s="70">
        <f t="shared" ref="O2:O31" si="2">M2-B2-F2</f>
        <v>6.3000000000000114</v>
      </c>
      <c r="P2" s="28"/>
    </row>
    <row r="3" spans="1:18" ht="15.75" customHeight="1" x14ac:dyDescent="0.35">
      <c r="A3" s="26">
        <v>45384</v>
      </c>
      <c r="B3" s="9">
        <v>37.9</v>
      </c>
      <c r="C3" s="9">
        <v>35.5</v>
      </c>
      <c r="D3" s="9">
        <v>0</v>
      </c>
      <c r="E3" s="9"/>
      <c r="F3" s="9"/>
      <c r="G3" s="9"/>
      <c r="H3" s="9"/>
      <c r="I3" s="9"/>
      <c r="J3" s="9"/>
      <c r="K3" s="9"/>
      <c r="L3" s="9">
        <v>5</v>
      </c>
      <c r="M3" s="31">
        <f t="shared" si="0"/>
        <v>40.5</v>
      </c>
      <c r="N3" s="27">
        <f t="shared" si="1"/>
        <v>2.3999999999999986</v>
      </c>
      <c r="O3" s="70">
        <f t="shared" si="2"/>
        <v>2.6000000000000014</v>
      </c>
      <c r="P3" s="28"/>
      <c r="Q3" s="56"/>
    </row>
    <row r="4" spans="1:18" ht="15.75" customHeight="1" x14ac:dyDescent="0.35">
      <c r="A4" s="26">
        <v>45385</v>
      </c>
      <c r="B4" s="9">
        <v>395.17</v>
      </c>
      <c r="C4" s="9">
        <v>272.47000000000003</v>
      </c>
      <c r="D4" s="9">
        <v>22.9</v>
      </c>
      <c r="E4" s="9"/>
      <c r="F4" s="9"/>
      <c r="G4" s="9"/>
      <c r="H4" s="9"/>
      <c r="I4" s="9"/>
      <c r="J4" s="9"/>
      <c r="K4" s="9"/>
      <c r="L4" s="9">
        <v>100</v>
      </c>
      <c r="M4" s="31">
        <f t="shared" si="0"/>
        <v>395.37</v>
      </c>
      <c r="N4" s="27">
        <f t="shared" si="1"/>
        <v>99.800000000000011</v>
      </c>
      <c r="O4" s="41">
        <f t="shared" si="2"/>
        <v>0.19999999999998863</v>
      </c>
      <c r="P4" s="28"/>
    </row>
    <row r="5" spans="1:18" ht="15.75" customHeight="1" x14ac:dyDescent="0.35">
      <c r="A5" s="26">
        <v>45386</v>
      </c>
      <c r="B5" s="9">
        <v>458.49</v>
      </c>
      <c r="C5" s="9">
        <v>290.2</v>
      </c>
      <c r="D5" s="9">
        <v>16.8</v>
      </c>
      <c r="E5" s="9"/>
      <c r="F5" s="9"/>
      <c r="G5" s="9"/>
      <c r="H5" s="9"/>
      <c r="I5" s="9"/>
      <c r="J5" s="9"/>
      <c r="K5" s="73">
        <v>76.680000000000007</v>
      </c>
      <c r="L5" s="9">
        <v>80</v>
      </c>
      <c r="M5" s="31">
        <f t="shared" si="0"/>
        <v>463.68</v>
      </c>
      <c r="N5" s="27">
        <f t="shared" si="1"/>
        <v>74.81</v>
      </c>
      <c r="O5" s="41">
        <f t="shared" si="2"/>
        <v>5.1899999999999977</v>
      </c>
      <c r="P5" s="28"/>
    </row>
    <row r="6" spans="1:18" ht="15.75" customHeight="1" x14ac:dyDescent="0.35">
      <c r="A6" s="26">
        <v>45387</v>
      </c>
      <c r="B6" s="9">
        <v>1404.2</v>
      </c>
      <c r="C6" s="9">
        <v>882.6</v>
      </c>
      <c r="D6" s="83">
        <v>188.9</v>
      </c>
      <c r="E6" s="9"/>
      <c r="F6" s="9"/>
      <c r="G6" s="9"/>
      <c r="H6" s="9">
        <v>1</v>
      </c>
      <c r="I6" s="9"/>
      <c r="J6" s="9"/>
      <c r="K6" s="9"/>
      <c r="L6" s="9">
        <v>340</v>
      </c>
      <c r="M6" s="31">
        <f t="shared" si="0"/>
        <v>1412.5</v>
      </c>
      <c r="N6" s="27">
        <f t="shared" si="1"/>
        <v>331.70000000000005</v>
      </c>
      <c r="O6" s="41">
        <f t="shared" si="2"/>
        <v>8.2999999999999545</v>
      </c>
      <c r="P6" s="28"/>
    </row>
    <row r="7" spans="1:18" ht="15.75" customHeight="1" x14ac:dyDescent="0.35">
      <c r="A7" s="26">
        <v>45388</v>
      </c>
      <c r="B7" s="9">
        <v>1441.19</v>
      </c>
      <c r="C7" s="9">
        <v>978.63</v>
      </c>
      <c r="D7" s="9">
        <v>159.46</v>
      </c>
      <c r="E7" s="9"/>
      <c r="F7" s="9"/>
      <c r="G7" s="9"/>
      <c r="H7" s="9"/>
      <c r="I7" s="9"/>
      <c r="J7" s="9"/>
      <c r="K7" s="9"/>
      <c r="L7" s="9">
        <v>300</v>
      </c>
      <c r="M7" s="31">
        <f t="shared" si="0"/>
        <v>1438.09</v>
      </c>
      <c r="N7" s="27">
        <f t="shared" si="1"/>
        <v>303.10000000000014</v>
      </c>
      <c r="O7" s="41">
        <f t="shared" si="2"/>
        <v>-3.1000000000001364</v>
      </c>
      <c r="P7" s="28"/>
    </row>
    <row r="8" spans="1:18" ht="15.75" customHeight="1" x14ac:dyDescent="0.35">
      <c r="A8" s="26">
        <v>45389</v>
      </c>
      <c r="B8" s="9">
        <v>1568</v>
      </c>
      <c r="C8" s="9">
        <v>881.09</v>
      </c>
      <c r="D8" s="9">
        <v>134.16999999999999</v>
      </c>
      <c r="E8" s="9"/>
      <c r="F8" s="9"/>
      <c r="G8" s="9"/>
      <c r="H8" s="9">
        <v>37.799999999999997</v>
      </c>
      <c r="I8" s="9"/>
      <c r="J8" s="9"/>
      <c r="K8" s="9"/>
      <c r="L8" s="9">
        <v>520</v>
      </c>
      <c r="M8" s="31">
        <f t="shared" si="0"/>
        <v>1573.06</v>
      </c>
      <c r="N8" s="27">
        <f t="shared" si="1"/>
        <v>514.94000000000005</v>
      </c>
      <c r="O8" s="41">
        <f t="shared" si="2"/>
        <v>5.0599999999999454</v>
      </c>
      <c r="P8" s="28"/>
    </row>
    <row r="9" spans="1:18" ht="15.75" customHeight="1" x14ac:dyDescent="0.35">
      <c r="A9" s="26">
        <v>45390</v>
      </c>
      <c r="B9" s="9">
        <v>270.60000000000002</v>
      </c>
      <c r="C9" s="9">
        <v>143.4</v>
      </c>
      <c r="D9" s="9">
        <v>14.3</v>
      </c>
      <c r="E9" s="9"/>
      <c r="F9" s="9"/>
      <c r="G9" s="9"/>
      <c r="H9" s="9">
        <v>58.8</v>
      </c>
      <c r="I9" s="9"/>
      <c r="J9" s="9"/>
      <c r="K9" s="9"/>
      <c r="L9" s="9">
        <v>55</v>
      </c>
      <c r="M9" s="31">
        <f t="shared" si="0"/>
        <v>271.5</v>
      </c>
      <c r="N9" s="27">
        <f t="shared" si="1"/>
        <v>54.100000000000023</v>
      </c>
      <c r="O9" s="41">
        <f t="shared" si="2"/>
        <v>0.89999999999997726</v>
      </c>
      <c r="P9" s="28"/>
    </row>
    <row r="10" spans="1:18" ht="15.75" customHeight="1" x14ac:dyDescent="0.35">
      <c r="A10" s="26">
        <v>45391</v>
      </c>
      <c r="B10" s="9">
        <v>480.61</v>
      </c>
      <c r="C10" s="9">
        <v>285.60000000000002</v>
      </c>
      <c r="D10" s="9">
        <v>49.7</v>
      </c>
      <c r="E10" s="9"/>
      <c r="F10" s="9"/>
      <c r="G10" s="9"/>
      <c r="H10" s="9"/>
      <c r="I10" s="9"/>
      <c r="J10" s="9"/>
      <c r="K10" s="9"/>
      <c r="L10" s="9">
        <v>145</v>
      </c>
      <c r="M10" s="31">
        <f t="shared" si="0"/>
        <v>480.3</v>
      </c>
      <c r="N10" s="27">
        <f t="shared" si="1"/>
        <v>145.31</v>
      </c>
      <c r="O10" s="41">
        <f t="shared" si="2"/>
        <v>-0.31000000000000227</v>
      </c>
      <c r="P10" s="28"/>
    </row>
    <row r="11" spans="1:18" ht="15.75" customHeight="1" x14ac:dyDescent="0.35">
      <c r="A11" s="26">
        <v>45392</v>
      </c>
      <c r="B11" s="9">
        <v>555.64</v>
      </c>
      <c r="C11" s="9">
        <v>256.08999999999997</v>
      </c>
      <c r="D11" s="9">
        <v>75.150000000000006</v>
      </c>
      <c r="E11" s="9"/>
      <c r="F11" s="9"/>
      <c r="G11" s="9"/>
      <c r="H11" s="9"/>
      <c r="I11" s="9"/>
      <c r="J11" s="9"/>
      <c r="K11" s="73">
        <f>150.5</f>
        <v>150.5</v>
      </c>
      <c r="L11" s="9">
        <v>80</v>
      </c>
      <c r="M11" s="31">
        <f t="shared" si="0"/>
        <v>561.74</v>
      </c>
      <c r="N11" s="27">
        <f t="shared" si="1"/>
        <v>73.899999999999977</v>
      </c>
      <c r="O11" s="41">
        <f t="shared" si="2"/>
        <v>6.1000000000000227</v>
      </c>
      <c r="P11" s="28"/>
    </row>
    <row r="12" spans="1:18" ht="15.75" customHeight="1" x14ac:dyDescent="0.35">
      <c r="A12" s="26">
        <v>45393</v>
      </c>
      <c r="B12" s="9">
        <v>865.25</v>
      </c>
      <c r="C12" s="9">
        <v>572.33000000000004</v>
      </c>
      <c r="D12" s="9">
        <v>78.52</v>
      </c>
      <c r="E12" s="9"/>
      <c r="F12" s="9"/>
      <c r="G12" s="9"/>
      <c r="H12" s="9"/>
      <c r="I12" s="9"/>
      <c r="J12" s="9"/>
      <c r="K12" s="9"/>
      <c r="L12" s="9">
        <v>200</v>
      </c>
      <c r="M12" s="31">
        <f t="shared" si="0"/>
        <v>850.85</v>
      </c>
      <c r="N12" s="27">
        <f t="shared" si="1"/>
        <v>214.39999999999998</v>
      </c>
      <c r="O12" s="41">
        <f t="shared" si="2"/>
        <v>-14.399999999999977</v>
      </c>
      <c r="P12" s="28"/>
      <c r="Q12" s="56"/>
    </row>
    <row r="13" spans="1:18" ht="15.75" customHeight="1" x14ac:dyDescent="0.35">
      <c r="A13" s="26">
        <v>45394</v>
      </c>
      <c r="B13" s="9">
        <v>1974.06</v>
      </c>
      <c r="C13" s="9">
        <v>1260.1099999999999</v>
      </c>
      <c r="D13" s="9">
        <v>236.24</v>
      </c>
      <c r="E13" s="9"/>
      <c r="F13" s="9"/>
      <c r="G13" s="9"/>
      <c r="H13" s="9">
        <v>18.899999999999999</v>
      </c>
      <c r="I13" s="9"/>
      <c r="J13" s="9"/>
      <c r="K13" s="9"/>
      <c r="L13" s="9">
        <v>450</v>
      </c>
      <c r="M13" s="31">
        <f t="shared" si="0"/>
        <v>1965.25</v>
      </c>
      <c r="N13" s="27">
        <f t="shared" si="1"/>
        <v>458.80999999999995</v>
      </c>
      <c r="O13" s="41">
        <f t="shared" si="2"/>
        <v>-8.8099999999999454</v>
      </c>
      <c r="P13" s="28"/>
    </row>
    <row r="14" spans="1:18" ht="15.75" customHeight="1" x14ac:dyDescent="0.35">
      <c r="A14" s="26">
        <v>45395</v>
      </c>
      <c r="B14" s="9">
        <v>2878.99</v>
      </c>
      <c r="C14" s="9">
        <v>1924.79</v>
      </c>
      <c r="D14" s="9">
        <v>287.10000000000002</v>
      </c>
      <c r="E14" s="9"/>
      <c r="F14" s="9"/>
      <c r="G14" s="9"/>
      <c r="H14" s="9">
        <v>18.899999999999999</v>
      </c>
      <c r="I14" s="9"/>
      <c r="J14" s="9"/>
      <c r="K14" s="73">
        <v>61.95</v>
      </c>
      <c r="L14" s="9">
        <v>610</v>
      </c>
      <c r="M14" s="31">
        <f t="shared" si="0"/>
        <v>2902.74</v>
      </c>
      <c r="N14" s="27">
        <f t="shared" si="1"/>
        <v>586.25</v>
      </c>
      <c r="O14" s="41">
        <f t="shared" si="2"/>
        <v>23.75</v>
      </c>
      <c r="P14" s="28"/>
    </row>
    <row r="15" spans="1:18" ht="15.75" customHeight="1" x14ac:dyDescent="0.35">
      <c r="A15" s="26">
        <v>45396</v>
      </c>
      <c r="B15" s="9">
        <v>2431.14</v>
      </c>
      <c r="C15" s="9">
        <v>1541.74</v>
      </c>
      <c r="D15" s="9">
        <v>256.10000000000002</v>
      </c>
      <c r="E15" s="9"/>
      <c r="F15" s="9"/>
      <c r="G15" s="9"/>
      <c r="H15" s="9"/>
      <c r="I15" s="9"/>
      <c r="J15" s="9"/>
      <c r="K15" s="9"/>
      <c r="L15" s="9">
        <v>600</v>
      </c>
      <c r="M15" s="31">
        <f t="shared" si="0"/>
        <v>2397.84</v>
      </c>
      <c r="N15" s="27">
        <f t="shared" si="1"/>
        <v>633.29999999999973</v>
      </c>
      <c r="O15" s="41">
        <f t="shared" si="2"/>
        <v>-33.299999999999727</v>
      </c>
      <c r="P15" s="28"/>
    </row>
    <row r="16" spans="1:18" ht="15.75" customHeight="1" x14ac:dyDescent="0.35">
      <c r="A16" s="26">
        <v>45397</v>
      </c>
      <c r="B16" s="9">
        <v>706.2</v>
      </c>
      <c r="C16" s="9">
        <v>484.4</v>
      </c>
      <c r="D16" s="9">
        <v>55.8</v>
      </c>
      <c r="E16" s="9"/>
      <c r="F16" s="9"/>
      <c r="G16" s="9"/>
      <c r="H16" s="9">
        <v>37.799999999999997</v>
      </c>
      <c r="I16" s="9"/>
      <c r="J16" s="9"/>
      <c r="K16" s="9"/>
      <c r="L16" s="9">
        <v>130</v>
      </c>
      <c r="M16" s="31">
        <f t="shared" si="0"/>
        <v>707.99999999999989</v>
      </c>
      <c r="N16" s="27">
        <f t="shared" si="1"/>
        <v>128.20000000000016</v>
      </c>
      <c r="O16" s="41">
        <f t="shared" si="2"/>
        <v>1.7999999999998408</v>
      </c>
      <c r="P16" s="28"/>
    </row>
    <row r="17" spans="1:18" ht="15.75" customHeight="1" x14ac:dyDescent="0.35">
      <c r="A17" s="26">
        <v>45398</v>
      </c>
      <c r="B17" s="9">
        <v>938.7</v>
      </c>
      <c r="C17" s="9">
        <v>604.79999999999995</v>
      </c>
      <c r="D17" s="9">
        <v>64.099999999999994</v>
      </c>
      <c r="E17" s="9"/>
      <c r="F17" s="9"/>
      <c r="G17" s="9"/>
      <c r="H17" s="9">
        <v>18.899999999999999</v>
      </c>
      <c r="I17" s="9"/>
      <c r="J17" s="9"/>
      <c r="K17" s="9"/>
      <c r="L17" s="9">
        <v>250</v>
      </c>
      <c r="M17" s="31">
        <f t="shared" si="0"/>
        <v>937.8</v>
      </c>
      <c r="N17" s="27">
        <f t="shared" si="1"/>
        <v>250.90000000000009</v>
      </c>
      <c r="O17" s="41">
        <f t="shared" si="2"/>
        <v>-0.90000000000009095</v>
      </c>
      <c r="P17" s="28"/>
    </row>
    <row r="18" spans="1:18" ht="15.75" customHeight="1" x14ac:dyDescent="0.35">
      <c r="A18" s="26">
        <v>45399</v>
      </c>
      <c r="B18" s="9">
        <v>1097.81</v>
      </c>
      <c r="C18" s="9">
        <v>672.99</v>
      </c>
      <c r="D18" s="9">
        <v>128.80000000000001</v>
      </c>
      <c r="E18" s="9"/>
      <c r="F18" s="9"/>
      <c r="G18" s="9"/>
      <c r="H18" s="9"/>
      <c r="I18" s="9"/>
      <c r="J18" s="9"/>
      <c r="K18" s="73">
        <v>101.2</v>
      </c>
      <c r="L18" s="9">
        <v>200</v>
      </c>
      <c r="M18" s="31">
        <f t="shared" si="0"/>
        <v>1102.99</v>
      </c>
      <c r="N18" s="27">
        <f t="shared" si="1"/>
        <v>194.81999999999994</v>
      </c>
      <c r="O18" s="41">
        <f t="shared" si="2"/>
        <v>5.1800000000000637</v>
      </c>
      <c r="P18" s="28"/>
    </row>
    <row r="19" spans="1:18" ht="15.75" customHeight="1" x14ac:dyDescent="0.35">
      <c r="A19" s="26">
        <v>45400</v>
      </c>
      <c r="B19" s="9">
        <v>1002.08</v>
      </c>
      <c r="C19" s="9">
        <v>569.58000000000004</v>
      </c>
      <c r="D19" s="9">
        <v>60</v>
      </c>
      <c r="E19" s="9"/>
      <c r="F19" s="9"/>
      <c r="G19" s="9"/>
      <c r="H19" s="9">
        <v>32.9</v>
      </c>
      <c r="I19" s="9"/>
      <c r="J19" s="9"/>
      <c r="K19" s="9"/>
      <c r="L19" s="9">
        <v>335</v>
      </c>
      <c r="M19" s="31">
        <f t="shared" si="0"/>
        <v>997.48</v>
      </c>
      <c r="N19" s="27">
        <f t="shared" si="1"/>
        <v>339.6</v>
      </c>
      <c r="O19" s="41">
        <f t="shared" si="2"/>
        <v>-4.6000000000000227</v>
      </c>
      <c r="P19" s="28"/>
    </row>
    <row r="20" spans="1:18" ht="15.75" customHeight="1" x14ac:dyDescent="0.35">
      <c r="A20" s="26">
        <v>45401</v>
      </c>
      <c r="B20" s="9">
        <v>1176.57</v>
      </c>
      <c r="C20" s="9">
        <v>618.1</v>
      </c>
      <c r="D20" s="9">
        <v>159</v>
      </c>
      <c r="E20" s="9"/>
      <c r="F20" s="9"/>
      <c r="G20" s="9"/>
      <c r="H20" s="9">
        <v>58.8</v>
      </c>
      <c r="I20" s="9"/>
      <c r="J20" s="9"/>
      <c r="K20" s="73">
        <v>79.56</v>
      </c>
      <c r="L20" s="9">
        <v>290</v>
      </c>
      <c r="M20" s="31">
        <f t="shared" si="0"/>
        <v>1205.46</v>
      </c>
      <c r="N20" s="27">
        <f>L20-O20</f>
        <v>261.1099999999999</v>
      </c>
      <c r="O20" s="41">
        <f t="shared" si="2"/>
        <v>28.8900000000001</v>
      </c>
      <c r="P20" s="28"/>
    </row>
    <row r="21" spans="1:18" ht="15.75" customHeight="1" x14ac:dyDescent="0.35">
      <c r="A21" s="26">
        <v>45402</v>
      </c>
      <c r="B21" s="9">
        <v>2483.9499999999998</v>
      </c>
      <c r="C21" s="9">
        <v>1533.87</v>
      </c>
      <c r="D21" s="9">
        <v>349.96</v>
      </c>
      <c r="E21" s="9"/>
      <c r="F21" s="9"/>
      <c r="G21" s="9">
        <v>18.899999999999999</v>
      </c>
      <c r="H21" s="9">
        <v>56.7</v>
      </c>
      <c r="I21" s="9"/>
      <c r="J21" s="9"/>
      <c r="K21" s="9"/>
      <c r="L21" s="9">
        <v>525</v>
      </c>
      <c r="M21" s="31">
        <f t="shared" si="0"/>
        <v>2484.4300000000003</v>
      </c>
      <c r="N21" s="27">
        <f t="shared" si="1"/>
        <v>524.51999999999953</v>
      </c>
      <c r="O21" s="41">
        <f t="shared" si="2"/>
        <v>0.48000000000047294</v>
      </c>
      <c r="P21" s="28"/>
    </row>
    <row r="22" spans="1:18" ht="15.75" customHeight="1" x14ac:dyDescent="0.35">
      <c r="A22" s="26">
        <v>45403</v>
      </c>
      <c r="B22" s="9">
        <v>2566.96</v>
      </c>
      <c r="C22" s="9">
        <v>1805.03</v>
      </c>
      <c r="D22" s="9">
        <v>148.57</v>
      </c>
      <c r="E22" s="9"/>
      <c r="F22" s="9"/>
      <c r="G22" s="9"/>
      <c r="H22" s="9">
        <v>74.7</v>
      </c>
      <c r="I22" s="9"/>
      <c r="J22" s="9"/>
      <c r="K22" s="73">
        <v>59.26</v>
      </c>
      <c r="L22" s="9">
        <v>480</v>
      </c>
      <c r="M22" s="31">
        <f t="shared" si="0"/>
        <v>2567.5600000000004</v>
      </c>
      <c r="N22" s="27">
        <f t="shared" si="1"/>
        <v>479.39999999999964</v>
      </c>
      <c r="O22" s="41">
        <f t="shared" si="2"/>
        <v>0.6000000000003638</v>
      </c>
      <c r="P22" s="28"/>
    </row>
    <row r="23" spans="1:18" ht="15.75" customHeight="1" x14ac:dyDescent="0.35">
      <c r="A23" s="26">
        <v>45404</v>
      </c>
      <c r="B23" s="9">
        <v>2084.1999999999998</v>
      </c>
      <c r="C23" s="9">
        <v>546.5</v>
      </c>
      <c r="D23" s="9">
        <v>38</v>
      </c>
      <c r="E23" s="9"/>
      <c r="F23" s="9"/>
      <c r="G23" s="9"/>
      <c r="H23" s="9"/>
      <c r="I23" s="9"/>
      <c r="J23" s="9"/>
      <c r="K23" s="73">
        <f>59.15+642.41+444.82+58.63</f>
        <v>1205.01</v>
      </c>
      <c r="L23" s="9">
        <v>300</v>
      </c>
      <c r="M23" s="31">
        <f t="shared" si="0"/>
        <v>2089.5100000000002</v>
      </c>
      <c r="N23" s="27">
        <f t="shared" si="1"/>
        <v>294.6899999999996</v>
      </c>
      <c r="O23" s="41">
        <f t="shared" si="2"/>
        <v>5.3100000000004002</v>
      </c>
      <c r="P23" s="28"/>
    </row>
    <row r="24" spans="1:18" ht="15.75" customHeight="1" x14ac:dyDescent="0.35">
      <c r="A24" s="26">
        <v>45405</v>
      </c>
      <c r="B24" s="9">
        <v>551.9</v>
      </c>
      <c r="C24" s="9">
        <v>347.6</v>
      </c>
      <c r="D24" s="9">
        <v>47.1</v>
      </c>
      <c r="E24" s="9"/>
      <c r="F24" s="9"/>
      <c r="G24" s="9"/>
      <c r="H24" s="9"/>
      <c r="I24" s="9"/>
      <c r="J24" s="9"/>
      <c r="K24" s="9"/>
      <c r="L24" s="9">
        <v>160</v>
      </c>
      <c r="M24" s="31">
        <f t="shared" si="0"/>
        <v>554.70000000000005</v>
      </c>
      <c r="N24" s="27">
        <f t="shared" si="1"/>
        <v>157.19999999999993</v>
      </c>
      <c r="O24" s="41">
        <f t="shared" si="2"/>
        <v>2.8000000000000682</v>
      </c>
      <c r="P24" s="28"/>
    </row>
    <row r="25" spans="1:18" ht="15.75" customHeight="1" x14ac:dyDescent="0.35">
      <c r="A25" s="26">
        <v>45406</v>
      </c>
      <c r="B25" s="9">
        <v>878.13</v>
      </c>
      <c r="C25" s="9">
        <v>495.8</v>
      </c>
      <c r="D25" s="9">
        <v>92.2</v>
      </c>
      <c r="E25" s="9"/>
      <c r="F25" s="9"/>
      <c r="G25" s="9">
        <v>18.899999999999999</v>
      </c>
      <c r="H25" s="9"/>
      <c r="I25" s="9"/>
      <c r="J25" s="9"/>
      <c r="K25" s="73">
        <f>57.15+25.33+74.15</f>
        <v>156.63</v>
      </c>
      <c r="L25" s="9">
        <v>115</v>
      </c>
      <c r="M25" s="31">
        <f t="shared" si="0"/>
        <v>878.53</v>
      </c>
      <c r="N25" s="27">
        <f t="shared" si="1"/>
        <v>114.60000000000002</v>
      </c>
      <c r="O25" s="41">
        <f t="shared" si="2"/>
        <v>0.39999999999997726</v>
      </c>
      <c r="P25" s="28"/>
    </row>
    <row r="26" spans="1:18" ht="15.75" customHeight="1" x14ac:dyDescent="0.35">
      <c r="A26" s="26">
        <v>45407</v>
      </c>
      <c r="B26" s="9">
        <v>1601.47</v>
      </c>
      <c r="C26" s="9">
        <v>1019.1</v>
      </c>
      <c r="D26" s="9">
        <v>167.42</v>
      </c>
      <c r="E26" s="9"/>
      <c r="F26" s="9"/>
      <c r="G26" s="9">
        <v>36.9</v>
      </c>
      <c r="H26" s="9">
        <v>37.799999999999997</v>
      </c>
      <c r="I26" s="9"/>
      <c r="J26" s="9"/>
      <c r="K26" s="9"/>
      <c r="L26" s="9">
        <v>320</v>
      </c>
      <c r="M26" s="31">
        <f t="shared" si="0"/>
        <v>1581.22</v>
      </c>
      <c r="N26" s="27">
        <f t="shared" si="1"/>
        <v>340.25</v>
      </c>
      <c r="O26" s="41">
        <f t="shared" si="2"/>
        <v>-20.25</v>
      </c>
      <c r="P26" s="28"/>
    </row>
    <row r="27" spans="1:18" ht="15.75" customHeight="1" x14ac:dyDescent="0.35">
      <c r="A27" s="26">
        <v>45408</v>
      </c>
      <c r="B27" s="9">
        <v>505.4</v>
      </c>
      <c r="C27" s="9">
        <v>287.63</v>
      </c>
      <c r="D27" s="9">
        <v>63.81</v>
      </c>
      <c r="E27" s="9"/>
      <c r="F27" s="9"/>
      <c r="G27" s="9"/>
      <c r="H27" s="9">
        <v>90.6</v>
      </c>
      <c r="I27" s="9"/>
      <c r="J27" s="9"/>
      <c r="K27" s="9"/>
      <c r="L27" s="9">
        <v>60</v>
      </c>
      <c r="M27" s="31">
        <f t="shared" si="0"/>
        <v>502.03999999999996</v>
      </c>
      <c r="N27" s="27">
        <f t="shared" si="1"/>
        <v>63.360000000000014</v>
      </c>
      <c r="O27" s="41">
        <f t="shared" si="2"/>
        <v>-3.3600000000000136</v>
      </c>
      <c r="P27" s="28"/>
    </row>
    <row r="28" spans="1:18" ht="15.75" customHeight="1" x14ac:dyDescent="0.35">
      <c r="A28" s="26">
        <v>45409</v>
      </c>
      <c r="B28" s="9">
        <v>1438.54</v>
      </c>
      <c r="C28" s="9">
        <v>948.44</v>
      </c>
      <c r="D28" s="9">
        <v>113.44</v>
      </c>
      <c r="E28" s="9"/>
      <c r="F28" s="9"/>
      <c r="G28" s="9"/>
      <c r="H28" s="9">
        <v>89.6</v>
      </c>
      <c r="I28" s="9"/>
      <c r="J28" s="9"/>
      <c r="K28" s="9"/>
      <c r="L28" s="9">
        <v>290</v>
      </c>
      <c r="M28" s="31">
        <f t="shared" si="0"/>
        <v>1441.48</v>
      </c>
      <c r="N28" s="27">
        <f t="shared" si="1"/>
        <v>287.05999999999995</v>
      </c>
      <c r="O28" s="41">
        <f t="shared" si="2"/>
        <v>2.9400000000000546</v>
      </c>
      <c r="P28" s="28"/>
    </row>
    <row r="29" spans="1:18" ht="15.75" customHeight="1" x14ac:dyDescent="0.35">
      <c r="A29" s="26">
        <v>45410</v>
      </c>
      <c r="B29" s="9">
        <v>1282.5999999999999</v>
      </c>
      <c r="C29" s="9">
        <v>947.53</v>
      </c>
      <c r="D29" s="9">
        <v>65.599999999999994</v>
      </c>
      <c r="E29" s="9"/>
      <c r="F29" s="9"/>
      <c r="G29" s="9"/>
      <c r="H29" s="9">
        <v>18.899999999999999</v>
      </c>
      <c r="I29" s="9"/>
      <c r="J29" s="9"/>
      <c r="K29" s="9"/>
      <c r="L29" s="9">
        <v>250</v>
      </c>
      <c r="M29" s="31">
        <f>C29+D29+E29+F29+G29+H29+I29+J29+L29+K29</f>
        <v>1282.03</v>
      </c>
      <c r="N29" s="27">
        <f t="shared" si="1"/>
        <v>250.56999999999994</v>
      </c>
      <c r="O29" s="41">
        <f t="shared" si="2"/>
        <v>-0.56999999999993634</v>
      </c>
      <c r="P29" s="28"/>
    </row>
    <row r="30" spans="1:18" ht="15.75" customHeight="1" x14ac:dyDescent="0.35">
      <c r="A30" s="26">
        <v>45411</v>
      </c>
      <c r="B30" s="9">
        <v>753.1</v>
      </c>
      <c r="C30" s="9">
        <v>418.18</v>
      </c>
      <c r="D30" s="9">
        <v>7.6</v>
      </c>
      <c r="E30" s="9"/>
      <c r="F30" s="9"/>
      <c r="G30" s="9"/>
      <c r="H30" s="9"/>
      <c r="I30" s="9"/>
      <c r="J30" s="9"/>
      <c r="K30" s="73">
        <v>219.52</v>
      </c>
      <c r="L30" s="9">
        <v>110</v>
      </c>
      <c r="M30" s="31">
        <f t="shared" si="0"/>
        <v>755.3</v>
      </c>
      <c r="N30" s="27">
        <f t="shared" si="1"/>
        <v>107.80000000000007</v>
      </c>
      <c r="O30" s="41">
        <f t="shared" si="2"/>
        <v>2.1999999999999318</v>
      </c>
      <c r="P30" s="28"/>
    </row>
    <row r="31" spans="1:18" ht="15.75" customHeight="1" x14ac:dyDescent="0.35">
      <c r="A31" s="26">
        <v>45412</v>
      </c>
      <c r="B31" s="9">
        <v>299.47000000000003</v>
      </c>
      <c r="C31" s="9">
        <v>157.79</v>
      </c>
      <c r="D31" s="9">
        <v>9.1</v>
      </c>
      <c r="E31" s="9"/>
      <c r="F31" s="9"/>
      <c r="G31" s="9"/>
      <c r="H31" s="9">
        <v>33.9</v>
      </c>
      <c r="I31" s="9"/>
      <c r="J31" s="9"/>
      <c r="K31" s="9"/>
      <c r="L31" s="9">
        <v>100</v>
      </c>
      <c r="M31" s="31">
        <f t="shared" si="0"/>
        <v>300.78999999999996</v>
      </c>
      <c r="N31" s="27">
        <f t="shared" si="1"/>
        <v>98.680000000000064</v>
      </c>
      <c r="O31" s="41">
        <f t="shared" si="2"/>
        <v>1.3199999999999363</v>
      </c>
      <c r="P31" s="28"/>
    </row>
    <row r="32" spans="1:18" ht="15.75" customHeight="1" x14ac:dyDescent="0.35">
      <c r="A32" s="270" t="s">
        <v>2661</v>
      </c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2"/>
      <c r="M32" s="48">
        <f>SUM(M2:M31)</f>
        <v>34549.44000000001</v>
      </c>
      <c r="N32" s="72">
        <f>M32-O32</f>
        <v>34528.720000000008</v>
      </c>
      <c r="O32" s="49">
        <f>SUM(O2:O31)</f>
        <v>20.720000000001257</v>
      </c>
      <c r="P32" s="50"/>
      <c r="R32" s="51"/>
    </row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1">
    <mergeCell ref="A32:L32"/>
  </mergeCells>
  <pageMargins left="0.75" right="0.75" top="1" bottom="1" header="0" footer="0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E7-34F7-41E1-8BE4-45769239072F}">
  <dimension ref="A1:R1000"/>
  <sheetViews>
    <sheetView workbookViewId="0">
      <pane ySplit="1" topLeftCell="A32" activePane="bottomLeft" state="frozen"/>
      <selection pane="bottomLeft" activeCell="M32" sqref="M32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45413</v>
      </c>
      <c r="B2" s="9">
        <v>1031.1199999999999</v>
      </c>
      <c r="C2" s="9">
        <v>700.19</v>
      </c>
      <c r="D2" s="9">
        <v>104.25</v>
      </c>
      <c r="E2" s="9"/>
      <c r="F2" s="9"/>
      <c r="G2" s="9"/>
      <c r="H2" s="9">
        <v>56.7</v>
      </c>
      <c r="I2" s="9"/>
      <c r="J2" s="9"/>
      <c r="K2" s="9"/>
      <c r="L2" s="9">
        <v>170</v>
      </c>
      <c r="M2" s="31">
        <f t="shared" ref="M2:M32" si="0">C2+D2+E2+F2+G2+H2+I2+J2+L2+K2</f>
        <v>1031.1400000000001</v>
      </c>
      <c r="N2" s="27">
        <f t="shared" ref="N2:N32" si="1">L2-O2</f>
        <v>169.97999999999979</v>
      </c>
      <c r="O2" s="70">
        <f t="shared" ref="O2:O32" si="2">M2-B2-F2</f>
        <v>2.0000000000209184E-2</v>
      </c>
      <c r="P2" s="28"/>
    </row>
    <row r="3" spans="1:18" ht="15.75" customHeight="1" x14ac:dyDescent="0.35">
      <c r="A3" s="26">
        <v>45414</v>
      </c>
      <c r="B3" s="9">
        <v>335.86</v>
      </c>
      <c r="C3" s="9">
        <v>227.18</v>
      </c>
      <c r="D3" s="9">
        <v>16.899999999999999</v>
      </c>
      <c r="E3" s="9"/>
      <c r="F3" s="9"/>
      <c r="G3" s="9"/>
      <c r="H3" s="9"/>
      <c r="I3" s="9"/>
      <c r="J3" s="9"/>
      <c r="K3" s="73">
        <v>28.88</v>
      </c>
      <c r="L3" s="9">
        <v>60</v>
      </c>
      <c r="M3" s="31">
        <f t="shared" si="0"/>
        <v>332.96000000000004</v>
      </c>
      <c r="N3" s="27">
        <f t="shared" si="1"/>
        <v>62.899999999999977</v>
      </c>
      <c r="O3" s="70">
        <f t="shared" si="2"/>
        <v>-2.8999999999999773</v>
      </c>
      <c r="P3" s="28"/>
      <c r="Q3" s="56"/>
    </row>
    <row r="4" spans="1:18" ht="15.75" customHeight="1" x14ac:dyDescent="0.35">
      <c r="A4" s="26">
        <v>45415</v>
      </c>
      <c r="B4" s="9">
        <v>444.01</v>
      </c>
      <c r="C4" s="9">
        <v>354.31</v>
      </c>
      <c r="D4" s="9">
        <v>28.7</v>
      </c>
      <c r="E4" s="9"/>
      <c r="F4" s="9"/>
      <c r="G4" s="9"/>
      <c r="H4" s="9"/>
      <c r="I4" s="9"/>
      <c r="J4" s="9"/>
      <c r="K4" s="9"/>
      <c r="L4" s="9">
        <v>60</v>
      </c>
      <c r="M4" s="31">
        <f t="shared" si="0"/>
        <v>443.01</v>
      </c>
      <c r="N4" s="27">
        <f t="shared" si="1"/>
        <v>61</v>
      </c>
      <c r="O4" s="41">
        <f t="shared" si="2"/>
        <v>-1</v>
      </c>
      <c r="P4" s="28"/>
    </row>
    <row r="5" spans="1:18" ht="15.75" customHeight="1" x14ac:dyDescent="0.35">
      <c r="A5" s="26">
        <v>45416</v>
      </c>
      <c r="B5" s="9">
        <v>1257.54</v>
      </c>
      <c r="C5" s="9">
        <v>911.82</v>
      </c>
      <c r="D5" s="9">
        <v>142.06</v>
      </c>
      <c r="E5" s="9"/>
      <c r="F5" s="9"/>
      <c r="G5" s="9"/>
      <c r="H5" s="9">
        <v>65.8</v>
      </c>
      <c r="I5" s="9"/>
      <c r="J5" s="9"/>
      <c r="K5" s="9"/>
      <c r="L5" s="9">
        <v>145</v>
      </c>
      <c r="M5" s="31">
        <f t="shared" si="0"/>
        <v>1264.68</v>
      </c>
      <c r="N5" s="27">
        <f t="shared" si="1"/>
        <v>137.8599999999999</v>
      </c>
      <c r="O5" s="41">
        <f t="shared" si="2"/>
        <v>7.1400000000001</v>
      </c>
      <c r="P5" s="28"/>
    </row>
    <row r="6" spans="1:18" ht="15.75" customHeight="1" x14ac:dyDescent="0.35">
      <c r="A6" s="26">
        <v>45417</v>
      </c>
      <c r="B6" s="9">
        <v>825.69</v>
      </c>
      <c r="C6" s="9">
        <v>495.41</v>
      </c>
      <c r="D6" s="83">
        <v>28.1</v>
      </c>
      <c r="E6" s="9"/>
      <c r="F6" s="9"/>
      <c r="G6" s="9"/>
      <c r="H6" s="9"/>
      <c r="I6" s="9"/>
      <c r="J6" s="9"/>
      <c r="K6" s="73">
        <v>146.18</v>
      </c>
      <c r="L6" s="9">
        <v>160</v>
      </c>
      <c r="M6" s="31">
        <f t="shared" si="0"/>
        <v>829.69</v>
      </c>
      <c r="N6" s="27">
        <f t="shared" si="1"/>
        <v>156</v>
      </c>
      <c r="O6" s="41">
        <f t="shared" si="2"/>
        <v>4</v>
      </c>
      <c r="P6" s="28"/>
    </row>
    <row r="7" spans="1:18" ht="15.75" customHeight="1" x14ac:dyDescent="0.35">
      <c r="A7" s="26">
        <v>45418</v>
      </c>
      <c r="B7" s="9">
        <v>619.70000000000005</v>
      </c>
      <c r="C7" s="9">
        <v>461.1</v>
      </c>
      <c r="D7" s="9">
        <v>20.3</v>
      </c>
      <c r="E7" s="9"/>
      <c r="F7" s="9"/>
      <c r="G7" s="9"/>
      <c r="H7" s="9">
        <v>19.899999999999999</v>
      </c>
      <c r="I7" s="9"/>
      <c r="J7" s="9"/>
      <c r="K7" s="9"/>
      <c r="L7" s="9">
        <v>110</v>
      </c>
      <c r="M7" s="31">
        <f t="shared" si="0"/>
        <v>611.29999999999995</v>
      </c>
      <c r="N7" s="27">
        <f t="shared" si="1"/>
        <v>118.40000000000009</v>
      </c>
      <c r="O7" s="41">
        <f t="shared" si="2"/>
        <v>-8.4000000000000909</v>
      </c>
      <c r="P7" s="28"/>
    </row>
    <row r="8" spans="1:18" ht="15.75" customHeight="1" x14ac:dyDescent="0.35">
      <c r="A8" s="26">
        <v>45419</v>
      </c>
      <c r="B8" s="9">
        <v>726.2</v>
      </c>
      <c r="C8" s="9">
        <v>447.8</v>
      </c>
      <c r="D8" s="9">
        <v>86.23</v>
      </c>
      <c r="E8" s="9"/>
      <c r="F8" s="9"/>
      <c r="G8" s="9">
        <v>9.8000000000000007</v>
      </c>
      <c r="H8" s="9">
        <v>18.899999999999999</v>
      </c>
      <c r="I8" s="9"/>
      <c r="J8" s="9"/>
      <c r="K8" s="9"/>
      <c r="L8" s="9">
        <v>170</v>
      </c>
      <c r="M8" s="31">
        <f t="shared" si="0"/>
        <v>732.7299999999999</v>
      </c>
      <c r="N8" s="27">
        <f t="shared" si="1"/>
        <v>163.47000000000014</v>
      </c>
      <c r="O8" s="41">
        <f t="shared" si="2"/>
        <v>6.529999999999859</v>
      </c>
      <c r="P8" s="28"/>
    </row>
    <row r="9" spans="1:18" ht="15.75" customHeight="1" x14ac:dyDescent="0.35">
      <c r="A9" s="26">
        <v>45420</v>
      </c>
      <c r="B9" s="9">
        <f>1656.85-16.9</f>
        <v>1639.9499999999998</v>
      </c>
      <c r="C9" s="9">
        <v>991.92</v>
      </c>
      <c r="D9" s="9">
        <v>62.5</v>
      </c>
      <c r="E9" s="9"/>
      <c r="F9" s="9"/>
      <c r="G9" s="9"/>
      <c r="H9" s="9"/>
      <c r="I9" s="9"/>
      <c r="J9" s="9"/>
      <c r="K9" s="73">
        <f>139.65+170.88</f>
        <v>310.52999999999997</v>
      </c>
      <c r="L9" s="9">
        <v>275</v>
      </c>
      <c r="M9" s="31">
        <f t="shared" si="0"/>
        <v>1639.95</v>
      </c>
      <c r="N9" s="27">
        <f t="shared" si="1"/>
        <v>274.99999999999977</v>
      </c>
      <c r="O9" s="41">
        <f t="shared" si="2"/>
        <v>2.2737367544323206E-13</v>
      </c>
      <c r="P9" s="28"/>
    </row>
    <row r="10" spans="1:18" ht="15.75" customHeight="1" x14ac:dyDescent="0.35">
      <c r="A10" s="26">
        <v>45421</v>
      </c>
      <c r="B10" s="9">
        <v>1287.56</v>
      </c>
      <c r="C10" s="9">
        <v>843.57</v>
      </c>
      <c r="D10" s="9">
        <v>91.1</v>
      </c>
      <c r="E10" s="9"/>
      <c r="F10" s="9"/>
      <c r="G10" s="9"/>
      <c r="H10" s="9">
        <v>71.7</v>
      </c>
      <c r="I10" s="9"/>
      <c r="J10" s="9"/>
      <c r="K10" s="9"/>
      <c r="L10" s="9">
        <v>280</v>
      </c>
      <c r="M10" s="31">
        <f t="shared" si="0"/>
        <v>1286.3700000000001</v>
      </c>
      <c r="N10" s="27">
        <f t="shared" si="1"/>
        <v>281.18999999999983</v>
      </c>
      <c r="O10" s="41">
        <f t="shared" si="2"/>
        <v>-1.1899999999998272</v>
      </c>
      <c r="P10" s="28"/>
    </row>
    <row r="11" spans="1:18" ht="15.75" customHeight="1" x14ac:dyDescent="0.35">
      <c r="A11" s="26">
        <v>45422</v>
      </c>
      <c r="B11" s="9">
        <v>1327.1</v>
      </c>
      <c r="C11" s="9">
        <v>670.8</v>
      </c>
      <c r="D11" s="9">
        <v>164.01</v>
      </c>
      <c r="E11" s="9"/>
      <c r="F11" s="9"/>
      <c r="G11" s="9"/>
      <c r="H11" s="9">
        <v>19</v>
      </c>
      <c r="I11" s="9"/>
      <c r="J11" s="9"/>
      <c r="K11" s="73">
        <v>229.03</v>
      </c>
      <c r="L11" s="9">
        <v>240</v>
      </c>
      <c r="M11" s="31">
        <f t="shared" si="0"/>
        <v>1322.84</v>
      </c>
      <c r="N11" s="27">
        <f t="shared" si="1"/>
        <v>244.26</v>
      </c>
      <c r="O11" s="41">
        <f t="shared" si="2"/>
        <v>-4.2599999999999909</v>
      </c>
      <c r="P11" s="28"/>
    </row>
    <row r="12" spans="1:18" ht="15.75" customHeight="1" x14ac:dyDescent="0.35">
      <c r="A12" s="26">
        <v>45423</v>
      </c>
      <c r="B12" s="9">
        <v>1521.27</v>
      </c>
      <c r="C12" s="9">
        <v>1049.7</v>
      </c>
      <c r="D12" s="9">
        <v>179.44</v>
      </c>
      <c r="E12" s="9"/>
      <c r="F12" s="9"/>
      <c r="G12" s="9"/>
      <c r="H12" s="9">
        <v>37.799999999999997</v>
      </c>
      <c r="I12" s="9"/>
      <c r="J12" s="9"/>
      <c r="K12" s="9"/>
      <c r="L12" s="9">
        <v>260</v>
      </c>
      <c r="M12" s="31">
        <f t="shared" si="0"/>
        <v>1526.94</v>
      </c>
      <c r="N12" s="27">
        <f t="shared" si="1"/>
        <v>254.32999999999993</v>
      </c>
      <c r="O12" s="41">
        <f t="shared" si="2"/>
        <v>5.6700000000000728</v>
      </c>
      <c r="P12" s="28"/>
      <c r="Q12" s="56"/>
    </row>
    <row r="13" spans="1:18" ht="15.75" customHeight="1" x14ac:dyDescent="0.35">
      <c r="A13" s="26">
        <v>45424</v>
      </c>
      <c r="B13" s="9">
        <v>1573.47</v>
      </c>
      <c r="C13" s="9">
        <v>1118.72</v>
      </c>
      <c r="D13" s="9">
        <v>78.099999999999994</v>
      </c>
      <c r="E13" s="9"/>
      <c r="F13" s="9"/>
      <c r="G13" s="9"/>
      <c r="H13" s="9">
        <v>52.9</v>
      </c>
      <c r="I13" s="9"/>
      <c r="J13" s="9"/>
      <c r="K13" s="9"/>
      <c r="L13" s="9">
        <v>320</v>
      </c>
      <c r="M13" s="31">
        <f t="shared" si="0"/>
        <v>1569.72</v>
      </c>
      <c r="N13" s="27">
        <f t="shared" si="1"/>
        <v>323.75</v>
      </c>
      <c r="O13" s="41">
        <f t="shared" si="2"/>
        <v>-3.75</v>
      </c>
      <c r="P13" s="28"/>
    </row>
    <row r="14" spans="1:18" ht="15.75" customHeight="1" x14ac:dyDescent="0.35">
      <c r="A14" s="26">
        <v>45425</v>
      </c>
      <c r="B14" s="9">
        <v>678.14</v>
      </c>
      <c r="C14" s="9">
        <v>169.9</v>
      </c>
      <c r="D14" s="9">
        <v>0</v>
      </c>
      <c r="E14" s="9"/>
      <c r="F14" s="9"/>
      <c r="G14" s="9"/>
      <c r="H14" s="9">
        <v>18.899999999999999</v>
      </c>
      <c r="I14" s="9"/>
      <c r="J14" s="9"/>
      <c r="K14" s="73">
        <v>489.84</v>
      </c>
      <c r="L14" s="9">
        <v>0</v>
      </c>
      <c r="M14" s="31">
        <f t="shared" si="0"/>
        <v>678.64</v>
      </c>
      <c r="N14" s="27">
        <f t="shared" si="1"/>
        <v>-0.5</v>
      </c>
      <c r="O14" s="41">
        <f t="shared" si="2"/>
        <v>0.5</v>
      </c>
      <c r="P14" s="28"/>
    </row>
    <row r="15" spans="1:18" ht="15.75" customHeight="1" x14ac:dyDescent="0.35">
      <c r="A15" s="26">
        <v>45426</v>
      </c>
      <c r="B15" s="9">
        <v>1218.75</v>
      </c>
      <c r="C15" s="9">
        <v>366.37</v>
      </c>
      <c r="D15" s="9">
        <v>13.3</v>
      </c>
      <c r="E15" s="9"/>
      <c r="F15" s="9"/>
      <c r="G15" s="9"/>
      <c r="H15" s="9"/>
      <c r="I15" s="9"/>
      <c r="J15" s="9"/>
      <c r="K15" s="73">
        <f>679.93+88.65</f>
        <v>768.57999999999993</v>
      </c>
      <c r="L15" s="9">
        <v>70</v>
      </c>
      <c r="M15" s="31">
        <f t="shared" si="0"/>
        <v>1218.25</v>
      </c>
      <c r="N15" s="27">
        <f t="shared" si="1"/>
        <v>70.5</v>
      </c>
      <c r="O15" s="41">
        <f t="shared" si="2"/>
        <v>-0.5</v>
      </c>
      <c r="P15" s="28"/>
    </row>
    <row r="16" spans="1:18" ht="15.75" customHeight="1" x14ac:dyDescent="0.35">
      <c r="A16" s="26">
        <v>45427</v>
      </c>
      <c r="B16" s="9">
        <v>349.13</v>
      </c>
      <c r="C16" s="9">
        <v>261.02999999999997</v>
      </c>
      <c r="D16" s="9">
        <v>27.1</v>
      </c>
      <c r="E16" s="9"/>
      <c r="F16" s="9"/>
      <c r="G16" s="9"/>
      <c r="H16" s="9">
        <v>19.899999999999999</v>
      </c>
      <c r="I16" s="9"/>
      <c r="J16" s="9"/>
      <c r="K16" s="9"/>
      <c r="L16" s="9">
        <v>45</v>
      </c>
      <c r="M16" s="31">
        <f t="shared" si="0"/>
        <v>353.03</v>
      </c>
      <c r="N16" s="27">
        <f t="shared" si="1"/>
        <v>41.100000000000023</v>
      </c>
      <c r="O16" s="41">
        <f t="shared" si="2"/>
        <v>3.8999999999999773</v>
      </c>
      <c r="P16" s="28"/>
    </row>
    <row r="17" spans="1:16" ht="15.75" customHeight="1" x14ac:dyDescent="0.35">
      <c r="A17" s="26">
        <v>45428</v>
      </c>
      <c r="B17" s="9">
        <v>552.29999999999995</v>
      </c>
      <c r="C17" s="9">
        <v>151.38999999999999</v>
      </c>
      <c r="D17" s="9">
        <v>20.3</v>
      </c>
      <c r="E17" s="9"/>
      <c r="F17" s="9"/>
      <c r="G17" s="9"/>
      <c r="H17" s="9">
        <v>40</v>
      </c>
      <c r="I17" s="9"/>
      <c r="J17" s="9"/>
      <c r="K17" s="73">
        <f>171.12+56.83</f>
        <v>227.95</v>
      </c>
      <c r="L17" s="9">
        <v>110</v>
      </c>
      <c r="M17" s="31">
        <f t="shared" si="0"/>
        <v>549.64</v>
      </c>
      <c r="N17" s="27">
        <f t="shared" si="1"/>
        <v>112.65999999999997</v>
      </c>
      <c r="O17" s="41">
        <f t="shared" si="2"/>
        <v>-2.6599999999999682</v>
      </c>
      <c r="P17" s="28"/>
    </row>
    <row r="18" spans="1:16" ht="15.75" customHeight="1" x14ac:dyDescent="0.35">
      <c r="A18" s="26">
        <v>45429</v>
      </c>
      <c r="B18" s="9">
        <v>843.79</v>
      </c>
      <c r="C18" s="9">
        <v>446.46</v>
      </c>
      <c r="D18" s="9">
        <v>92.83</v>
      </c>
      <c r="E18" s="9"/>
      <c r="F18" s="9"/>
      <c r="G18" s="9"/>
      <c r="H18" s="9">
        <v>18.899999999999999</v>
      </c>
      <c r="I18" s="9"/>
      <c r="J18" s="9"/>
      <c r="K18" s="73">
        <v>29.5</v>
      </c>
      <c r="L18" s="9">
        <v>260</v>
      </c>
      <c r="M18" s="31">
        <f t="shared" si="0"/>
        <v>847.68999999999994</v>
      </c>
      <c r="N18" s="27">
        <f t="shared" si="1"/>
        <v>256.10000000000002</v>
      </c>
      <c r="O18" s="41">
        <f t="shared" si="2"/>
        <v>3.8999999999999773</v>
      </c>
      <c r="P18" s="28"/>
    </row>
    <row r="19" spans="1:16" ht="15.75" customHeight="1" x14ac:dyDescent="0.35">
      <c r="A19" s="26">
        <v>45430</v>
      </c>
      <c r="B19" s="9">
        <v>1092.6300000000001</v>
      </c>
      <c r="C19" s="9">
        <v>618.63</v>
      </c>
      <c r="D19" s="9">
        <v>135.56</v>
      </c>
      <c r="E19" s="9"/>
      <c r="F19" s="9"/>
      <c r="G19" s="9"/>
      <c r="H19" s="9">
        <v>51.8</v>
      </c>
      <c r="I19" s="9"/>
      <c r="J19" s="9"/>
      <c r="K19" s="9"/>
      <c r="L19" s="9">
        <v>280</v>
      </c>
      <c r="M19" s="31">
        <f t="shared" si="0"/>
        <v>1085.99</v>
      </c>
      <c r="N19" s="27">
        <f t="shared" si="1"/>
        <v>286.6400000000001</v>
      </c>
      <c r="O19" s="41">
        <f t="shared" si="2"/>
        <v>-6.6400000000001</v>
      </c>
      <c r="P19" s="28"/>
    </row>
    <row r="20" spans="1:16" ht="15.75" customHeight="1" x14ac:dyDescent="0.35">
      <c r="A20" s="26">
        <v>45431</v>
      </c>
      <c r="B20" s="9">
        <v>1814.81</v>
      </c>
      <c r="C20" s="9">
        <v>1256.77</v>
      </c>
      <c r="D20" s="9">
        <v>145.77000000000001</v>
      </c>
      <c r="E20" s="9"/>
      <c r="F20" s="9"/>
      <c r="G20" s="9">
        <v>36.9</v>
      </c>
      <c r="H20" s="9"/>
      <c r="I20" s="9"/>
      <c r="J20" s="9"/>
      <c r="K20" s="9"/>
      <c r="L20" s="9">
        <v>375</v>
      </c>
      <c r="M20" s="31">
        <f t="shared" si="0"/>
        <v>1814.44</v>
      </c>
      <c r="N20" s="27">
        <f>L20-O20</f>
        <v>375.36999999999989</v>
      </c>
      <c r="O20" s="41">
        <f t="shared" si="2"/>
        <v>-0.36999999999989086</v>
      </c>
      <c r="P20" s="28"/>
    </row>
    <row r="21" spans="1:16" ht="15.75" customHeight="1" x14ac:dyDescent="0.35">
      <c r="A21" s="26">
        <v>45432</v>
      </c>
      <c r="B21" s="9">
        <v>613.02</v>
      </c>
      <c r="C21" s="9">
        <v>350.12</v>
      </c>
      <c r="D21" s="9">
        <v>28.58</v>
      </c>
      <c r="E21" s="9"/>
      <c r="F21" s="9"/>
      <c r="G21" s="9"/>
      <c r="H21" s="9">
        <v>65.8</v>
      </c>
      <c r="I21" s="9"/>
      <c r="J21" s="9"/>
      <c r="K21" s="9"/>
      <c r="L21" s="9">
        <v>170</v>
      </c>
      <c r="M21" s="31">
        <f t="shared" si="0"/>
        <v>614.5</v>
      </c>
      <c r="N21" s="27">
        <f t="shared" si="1"/>
        <v>168.51999999999998</v>
      </c>
      <c r="O21" s="41">
        <f t="shared" si="2"/>
        <v>1.4800000000000182</v>
      </c>
      <c r="P21" s="28"/>
    </row>
    <row r="22" spans="1:16" ht="15.75" customHeight="1" x14ac:dyDescent="0.35">
      <c r="A22" s="26">
        <v>45433</v>
      </c>
      <c r="B22" s="9">
        <v>505.04</v>
      </c>
      <c r="C22" s="9">
        <v>377.34</v>
      </c>
      <c r="D22" s="9">
        <v>32.76</v>
      </c>
      <c r="E22" s="9"/>
      <c r="F22" s="9"/>
      <c r="G22" s="9"/>
      <c r="H22" s="9">
        <v>37.799999999999997</v>
      </c>
      <c r="I22" s="9"/>
      <c r="J22" s="9"/>
      <c r="K22" s="9"/>
      <c r="L22" s="9">
        <v>60</v>
      </c>
      <c r="M22" s="31">
        <f t="shared" si="0"/>
        <v>507.9</v>
      </c>
      <c r="N22" s="27">
        <f t="shared" si="1"/>
        <v>57.140000000000043</v>
      </c>
      <c r="O22" s="41">
        <f t="shared" si="2"/>
        <v>2.8599999999999568</v>
      </c>
      <c r="P22" s="28"/>
    </row>
    <row r="23" spans="1:16" ht="15.75" customHeight="1" x14ac:dyDescent="0.35">
      <c r="A23" s="26">
        <v>45434</v>
      </c>
      <c r="B23" s="9">
        <v>587.4</v>
      </c>
      <c r="C23" s="9">
        <v>316</v>
      </c>
      <c r="D23" s="9">
        <v>21.3</v>
      </c>
      <c r="E23" s="9"/>
      <c r="F23" s="9"/>
      <c r="G23" s="9"/>
      <c r="H23" s="9"/>
      <c r="I23" s="9"/>
      <c r="J23" s="9"/>
      <c r="K23" s="73">
        <f>183.1</f>
        <v>183.1</v>
      </c>
      <c r="L23" s="9">
        <v>70</v>
      </c>
      <c r="M23" s="31">
        <f t="shared" si="0"/>
        <v>590.4</v>
      </c>
      <c r="N23" s="27">
        <f t="shared" si="1"/>
        <v>67</v>
      </c>
      <c r="O23" s="41">
        <f t="shared" si="2"/>
        <v>3</v>
      </c>
      <c r="P23" s="28"/>
    </row>
    <row r="24" spans="1:16" ht="15.75" customHeight="1" x14ac:dyDescent="0.35">
      <c r="A24" s="26">
        <v>45435</v>
      </c>
      <c r="B24" s="9">
        <v>553.36</v>
      </c>
      <c r="C24" s="9">
        <v>392.66</v>
      </c>
      <c r="D24" s="9">
        <v>26.3</v>
      </c>
      <c r="E24" s="9"/>
      <c r="F24" s="9"/>
      <c r="G24" s="9"/>
      <c r="H24" s="9">
        <v>18.899999999999999</v>
      </c>
      <c r="I24" s="9"/>
      <c r="J24" s="9"/>
      <c r="K24" s="9"/>
      <c r="L24" s="9">
        <v>115</v>
      </c>
      <c r="M24" s="31">
        <f t="shared" si="0"/>
        <v>552.86</v>
      </c>
      <c r="N24" s="27">
        <f t="shared" si="1"/>
        <v>115.5</v>
      </c>
      <c r="O24" s="41">
        <f t="shared" si="2"/>
        <v>-0.5</v>
      </c>
      <c r="P24" s="28"/>
    </row>
    <row r="25" spans="1:16" ht="15.75" customHeight="1" x14ac:dyDescent="0.35">
      <c r="A25" s="26">
        <v>45436</v>
      </c>
      <c r="B25" s="9">
        <v>561.54999999999995</v>
      </c>
      <c r="C25" s="9">
        <v>403.65</v>
      </c>
      <c r="D25" s="9">
        <v>73.31</v>
      </c>
      <c r="E25" s="9"/>
      <c r="F25" s="9"/>
      <c r="G25" s="9"/>
      <c r="H25" s="9"/>
      <c r="I25" s="9"/>
      <c r="J25" s="9"/>
      <c r="K25" s="9"/>
      <c r="L25" s="9">
        <v>90</v>
      </c>
      <c r="M25" s="31">
        <f t="shared" si="0"/>
        <v>566.96</v>
      </c>
      <c r="N25" s="27">
        <f t="shared" si="1"/>
        <v>84.589999999999918</v>
      </c>
      <c r="O25" s="41">
        <f t="shared" si="2"/>
        <v>5.4100000000000819</v>
      </c>
      <c r="P25" s="28"/>
    </row>
    <row r="26" spans="1:16" ht="15.75" customHeight="1" x14ac:dyDescent="0.35">
      <c r="A26" s="26">
        <v>45437</v>
      </c>
      <c r="B26" s="9">
        <v>1546.21</v>
      </c>
      <c r="C26" s="9">
        <v>766.43</v>
      </c>
      <c r="D26" s="9">
        <v>111.58</v>
      </c>
      <c r="E26" s="9"/>
      <c r="F26" s="9"/>
      <c r="G26" s="9"/>
      <c r="H26" s="9">
        <v>89.6</v>
      </c>
      <c r="I26" s="9"/>
      <c r="J26" s="9"/>
      <c r="K26" s="73">
        <v>369</v>
      </c>
      <c r="L26" s="9">
        <v>210</v>
      </c>
      <c r="M26" s="31">
        <f t="shared" si="0"/>
        <v>1546.6100000000001</v>
      </c>
      <c r="N26" s="27">
        <f t="shared" si="1"/>
        <v>209.59999999999991</v>
      </c>
      <c r="O26" s="41">
        <f t="shared" si="2"/>
        <v>0.40000000000009095</v>
      </c>
      <c r="P26" s="28"/>
    </row>
    <row r="27" spans="1:16" ht="15.75" customHeight="1" x14ac:dyDescent="0.35">
      <c r="A27" s="26">
        <v>45438</v>
      </c>
      <c r="B27" s="9">
        <v>1501.61</v>
      </c>
      <c r="C27" s="9">
        <v>908.37</v>
      </c>
      <c r="D27" s="9">
        <v>165.74</v>
      </c>
      <c r="E27" s="9"/>
      <c r="F27" s="9"/>
      <c r="G27" s="9"/>
      <c r="H27" s="9">
        <v>38.799999999999997</v>
      </c>
      <c r="I27" s="9"/>
      <c r="J27" s="9"/>
      <c r="K27" s="9"/>
      <c r="L27" s="9">
        <v>390</v>
      </c>
      <c r="M27" s="31">
        <f t="shared" si="0"/>
        <v>1502.91</v>
      </c>
      <c r="N27" s="27">
        <f t="shared" si="1"/>
        <v>388.69999999999982</v>
      </c>
      <c r="O27" s="41">
        <f t="shared" si="2"/>
        <v>1.3000000000001819</v>
      </c>
      <c r="P27" s="28"/>
    </row>
    <row r="28" spans="1:16" ht="15.75" customHeight="1" x14ac:dyDescent="0.35">
      <c r="A28" s="26">
        <v>45439</v>
      </c>
      <c r="B28" s="9">
        <v>408.4</v>
      </c>
      <c r="C28" s="9">
        <v>170.8</v>
      </c>
      <c r="D28" s="9">
        <v>29.1</v>
      </c>
      <c r="E28" s="9"/>
      <c r="F28" s="9"/>
      <c r="G28" s="9"/>
      <c r="H28" s="9">
        <v>32.9</v>
      </c>
      <c r="I28" s="9"/>
      <c r="J28" s="9"/>
      <c r="K28" s="9"/>
      <c r="L28" s="9">
        <v>160</v>
      </c>
      <c r="M28" s="31">
        <f t="shared" si="0"/>
        <v>392.8</v>
      </c>
      <c r="N28" s="27">
        <f t="shared" si="1"/>
        <v>175.59999999999997</v>
      </c>
      <c r="O28" s="41">
        <f t="shared" si="2"/>
        <v>-15.599999999999966</v>
      </c>
      <c r="P28" s="28"/>
    </row>
    <row r="29" spans="1:16" ht="15.75" customHeight="1" x14ac:dyDescent="0.35">
      <c r="A29" s="26">
        <v>45440</v>
      </c>
      <c r="B29" s="9">
        <v>1409.73</v>
      </c>
      <c r="C29" s="9">
        <v>420.09</v>
      </c>
      <c r="D29" s="9">
        <v>48.8</v>
      </c>
      <c r="E29" s="9"/>
      <c r="F29" s="9"/>
      <c r="G29" s="9"/>
      <c r="H29" s="9">
        <v>65.900000000000006</v>
      </c>
      <c r="I29" s="9"/>
      <c r="J29" s="9"/>
      <c r="K29" s="73">
        <f>150.17+669.27</f>
        <v>819.43999999999994</v>
      </c>
      <c r="L29" s="9">
        <v>55</v>
      </c>
      <c r="M29" s="31">
        <f>C29+D29+E29+F29+G29+H29+I29+J29+L29+K29</f>
        <v>1409.23</v>
      </c>
      <c r="N29" s="27">
        <f t="shared" si="1"/>
        <v>55.5</v>
      </c>
      <c r="O29" s="41">
        <f t="shared" si="2"/>
        <v>-0.5</v>
      </c>
      <c r="P29" s="28"/>
    </row>
    <row r="30" spans="1:16" ht="15.75" customHeight="1" x14ac:dyDescent="0.35">
      <c r="A30" s="26">
        <v>45441</v>
      </c>
      <c r="B30" s="9">
        <v>763.7</v>
      </c>
      <c r="C30" s="9">
        <v>490.8</v>
      </c>
      <c r="D30" s="9">
        <v>91.9</v>
      </c>
      <c r="E30" s="9"/>
      <c r="F30" s="9"/>
      <c r="G30" s="9"/>
      <c r="H30" s="9">
        <v>72.8</v>
      </c>
      <c r="I30" s="9"/>
      <c r="J30" s="9"/>
      <c r="K30" s="9"/>
      <c r="L30" s="9">
        <v>115</v>
      </c>
      <c r="M30" s="31">
        <f t="shared" si="0"/>
        <v>770.5</v>
      </c>
      <c r="N30" s="27">
        <f t="shared" si="1"/>
        <v>108.20000000000005</v>
      </c>
      <c r="O30" s="41">
        <f t="shared" si="2"/>
        <v>6.7999999999999545</v>
      </c>
      <c r="P30" s="28"/>
    </row>
    <row r="31" spans="1:16" ht="15.75" customHeight="1" x14ac:dyDescent="0.35">
      <c r="A31" s="26">
        <v>45442</v>
      </c>
      <c r="B31" s="9">
        <v>2265.66</v>
      </c>
      <c r="C31" s="9">
        <v>1514.81</v>
      </c>
      <c r="D31" s="9">
        <v>273.39999999999998</v>
      </c>
      <c r="E31" s="9"/>
      <c r="F31" s="9"/>
      <c r="G31" s="9"/>
      <c r="H31" s="9">
        <v>18.899999999999999</v>
      </c>
      <c r="I31" s="9"/>
      <c r="J31" s="9"/>
      <c r="K31" s="9"/>
      <c r="L31" s="9">
        <v>460</v>
      </c>
      <c r="M31" s="31">
        <f t="shared" si="0"/>
        <v>2267.11</v>
      </c>
      <c r="N31" s="27">
        <f t="shared" si="1"/>
        <v>458.54999999999973</v>
      </c>
      <c r="O31" s="41">
        <f t="shared" si="2"/>
        <v>1.4500000000002728</v>
      </c>
      <c r="P31" s="28"/>
    </row>
    <row r="32" spans="1:16" ht="15.75" customHeight="1" x14ac:dyDescent="0.35">
      <c r="A32" s="26">
        <v>45443</v>
      </c>
      <c r="B32" s="44">
        <v>1798.78</v>
      </c>
      <c r="C32" s="44">
        <v>960.79</v>
      </c>
      <c r="D32" s="44">
        <v>131.08000000000001</v>
      </c>
      <c r="E32" s="9"/>
      <c r="F32" s="9"/>
      <c r="G32" s="9"/>
      <c r="H32" s="44">
        <v>18.899999999999999</v>
      </c>
      <c r="I32" s="9"/>
      <c r="J32" s="9"/>
      <c r="K32" s="94">
        <f>89.86+204</f>
        <v>293.86</v>
      </c>
      <c r="L32" s="44">
        <v>400</v>
      </c>
      <c r="M32" s="31">
        <f t="shared" si="0"/>
        <v>1804.63</v>
      </c>
      <c r="N32" s="27">
        <f t="shared" si="1"/>
        <v>394.14999999999986</v>
      </c>
      <c r="O32" s="41">
        <f t="shared" si="2"/>
        <v>5.8500000000001364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31665.420000000002</v>
      </c>
      <c r="N33" s="72">
        <f>M33-O33</f>
        <v>31653.48</v>
      </c>
      <c r="O33" s="49">
        <f>SUM(O2:O32)</f>
        <v>11.940000000001305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9614-B35B-42EF-99D4-7D0786C50C73}">
  <dimension ref="A1:R1000"/>
  <sheetViews>
    <sheetView workbookViewId="0">
      <pane ySplit="1" topLeftCell="A28" activePane="bottomLeft" state="frozen"/>
      <selection pane="bottomLeft" activeCell="K28" sqref="K28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45444</v>
      </c>
      <c r="B2" s="9">
        <v>2543.89</v>
      </c>
      <c r="C2" s="9">
        <v>1463.82</v>
      </c>
      <c r="D2" s="9">
        <v>344.15</v>
      </c>
      <c r="E2" s="9"/>
      <c r="F2" s="9"/>
      <c r="G2" s="9"/>
      <c r="H2" s="9">
        <v>162.5</v>
      </c>
      <c r="I2" s="9"/>
      <c r="J2" s="9"/>
      <c r="K2" s="9"/>
      <c r="L2" s="9">
        <v>570</v>
      </c>
      <c r="M2" s="31">
        <f t="shared" ref="M2:M32" si="0">C2+D2+E2+F2+G2+H2+I2+J2+L2+K2</f>
        <v>2540.4699999999998</v>
      </c>
      <c r="N2" s="27">
        <f t="shared" ref="N2:N32" si="1">L2-O2</f>
        <v>573.42000000000007</v>
      </c>
      <c r="O2" s="70">
        <f t="shared" ref="O2:O32" si="2">M2-B2-F2</f>
        <v>-3.4200000000000728</v>
      </c>
      <c r="P2" s="28"/>
    </row>
    <row r="3" spans="1:18" ht="15.75" customHeight="1" x14ac:dyDescent="0.35">
      <c r="A3" s="26">
        <v>45445</v>
      </c>
      <c r="B3" s="9">
        <v>1996.6</v>
      </c>
      <c r="C3" s="9">
        <v>1329.85</v>
      </c>
      <c r="D3" s="9">
        <v>151.9</v>
      </c>
      <c r="E3" s="9"/>
      <c r="F3" s="9"/>
      <c r="G3" s="9"/>
      <c r="H3" s="9">
        <v>39.9</v>
      </c>
      <c r="I3" s="9"/>
      <c r="J3" s="9"/>
      <c r="K3" s="9"/>
      <c r="L3" s="9">
        <v>480</v>
      </c>
      <c r="M3" s="31">
        <f t="shared" si="0"/>
        <v>2001.65</v>
      </c>
      <c r="N3" s="27">
        <f t="shared" si="1"/>
        <v>474.94999999999982</v>
      </c>
      <c r="O3" s="70">
        <f t="shared" si="2"/>
        <v>5.0500000000001819</v>
      </c>
      <c r="P3" s="28"/>
      <c r="Q3" s="56"/>
    </row>
    <row r="4" spans="1:18" ht="15.75" customHeight="1" x14ac:dyDescent="0.35">
      <c r="A4" s="26">
        <v>45446</v>
      </c>
      <c r="B4" s="9">
        <v>1229.3900000000001</v>
      </c>
      <c r="C4" s="9">
        <v>623.91</v>
      </c>
      <c r="D4" s="9">
        <v>71.5</v>
      </c>
      <c r="E4" s="9"/>
      <c r="F4" s="9"/>
      <c r="G4" s="9"/>
      <c r="H4" s="9">
        <v>51.8</v>
      </c>
      <c r="I4" s="9"/>
      <c r="J4" s="9"/>
      <c r="K4" s="73">
        <v>142.97999999999999</v>
      </c>
      <c r="L4" s="9">
        <v>340</v>
      </c>
      <c r="M4" s="31">
        <f t="shared" si="0"/>
        <v>1230.19</v>
      </c>
      <c r="N4" s="27">
        <f t="shared" si="1"/>
        <v>339.20000000000005</v>
      </c>
      <c r="O4" s="41">
        <f t="shared" si="2"/>
        <v>0.79999999999995453</v>
      </c>
      <c r="P4" s="28"/>
    </row>
    <row r="5" spans="1:18" ht="15.75" customHeight="1" x14ac:dyDescent="0.35">
      <c r="A5" s="26">
        <v>45447</v>
      </c>
      <c r="B5" s="9">
        <v>1157.5</v>
      </c>
      <c r="C5" s="9">
        <v>474.7</v>
      </c>
      <c r="D5" s="9">
        <v>59.6</v>
      </c>
      <c r="E5" s="9"/>
      <c r="F5" s="9"/>
      <c r="G5" s="9"/>
      <c r="H5" s="9">
        <v>18.899999999999999</v>
      </c>
      <c r="I5" s="9"/>
      <c r="J5" s="9"/>
      <c r="K5" s="73">
        <f>391.33+84.77</f>
        <v>476.09999999999997</v>
      </c>
      <c r="L5" s="9">
        <v>130</v>
      </c>
      <c r="M5" s="31">
        <f t="shared" si="0"/>
        <v>1159.3</v>
      </c>
      <c r="N5" s="27">
        <f t="shared" si="1"/>
        <v>128.20000000000005</v>
      </c>
      <c r="O5" s="41">
        <f t="shared" si="2"/>
        <v>1.7999999999999545</v>
      </c>
      <c r="P5" s="28"/>
    </row>
    <row r="6" spans="1:18" ht="15.75" customHeight="1" x14ac:dyDescent="0.35">
      <c r="A6" s="26">
        <v>45448</v>
      </c>
      <c r="B6" s="9">
        <v>640.24</v>
      </c>
      <c r="C6" s="9">
        <v>394.63</v>
      </c>
      <c r="D6" s="83">
        <v>83.5</v>
      </c>
      <c r="E6" s="9"/>
      <c r="F6" s="9"/>
      <c r="G6" s="9"/>
      <c r="H6" s="9">
        <v>18.899999999999999</v>
      </c>
      <c r="I6" s="9"/>
      <c r="J6" s="9"/>
      <c r="K6" s="73">
        <v>48.11</v>
      </c>
      <c r="L6" s="9">
        <v>100</v>
      </c>
      <c r="M6" s="31">
        <f t="shared" si="0"/>
        <v>645.14</v>
      </c>
      <c r="N6" s="27">
        <f t="shared" si="1"/>
        <v>95.100000000000023</v>
      </c>
      <c r="O6" s="41">
        <f t="shared" si="2"/>
        <v>4.8999999999999773</v>
      </c>
      <c r="P6" s="28"/>
    </row>
    <row r="7" spans="1:18" ht="15.75" customHeight="1" x14ac:dyDescent="0.35">
      <c r="A7" s="26">
        <v>45449</v>
      </c>
      <c r="B7" s="9">
        <v>645.98</v>
      </c>
      <c r="C7" s="9">
        <v>422.93</v>
      </c>
      <c r="D7" s="9">
        <v>65.849999999999994</v>
      </c>
      <c r="E7" s="9"/>
      <c r="F7" s="9"/>
      <c r="G7" s="9"/>
      <c r="H7" s="9">
        <v>32.9</v>
      </c>
      <c r="I7" s="9"/>
      <c r="J7" s="9"/>
      <c r="K7" s="9"/>
      <c r="L7" s="9">
        <v>130</v>
      </c>
      <c r="M7" s="31">
        <f t="shared" si="0"/>
        <v>651.67999999999995</v>
      </c>
      <c r="N7" s="27">
        <f t="shared" si="1"/>
        <v>124.30000000000007</v>
      </c>
      <c r="O7" s="41">
        <f t="shared" si="2"/>
        <v>5.6999999999999318</v>
      </c>
      <c r="P7" s="28"/>
    </row>
    <row r="8" spans="1:18" ht="15.75" customHeight="1" x14ac:dyDescent="0.35">
      <c r="A8" s="26">
        <v>45450</v>
      </c>
      <c r="B8" s="9">
        <v>1262.81</v>
      </c>
      <c r="C8" s="9">
        <v>850.47</v>
      </c>
      <c r="D8" s="9">
        <v>138.54</v>
      </c>
      <c r="E8" s="9"/>
      <c r="F8" s="9"/>
      <c r="G8" s="9"/>
      <c r="H8" s="9">
        <v>58.8</v>
      </c>
      <c r="I8" s="9"/>
      <c r="J8" s="9"/>
      <c r="K8" s="9"/>
      <c r="L8" s="9">
        <v>250</v>
      </c>
      <c r="M8" s="31">
        <f t="shared" si="0"/>
        <v>1297.81</v>
      </c>
      <c r="N8" s="27">
        <f t="shared" si="1"/>
        <v>215</v>
      </c>
      <c r="O8" s="41">
        <f t="shared" si="2"/>
        <v>35</v>
      </c>
      <c r="P8" s="28"/>
    </row>
    <row r="9" spans="1:18" ht="15.75" customHeight="1" x14ac:dyDescent="0.35">
      <c r="A9" s="26">
        <v>45451</v>
      </c>
      <c r="B9" s="9">
        <v>2227.96</v>
      </c>
      <c r="C9" s="9">
        <v>755.13</v>
      </c>
      <c r="D9" s="9">
        <v>130.96</v>
      </c>
      <c r="E9" s="9"/>
      <c r="F9" s="9"/>
      <c r="G9" s="9"/>
      <c r="H9" s="9">
        <v>32.9</v>
      </c>
      <c r="I9" s="9"/>
      <c r="J9" s="9"/>
      <c r="K9" s="73">
        <v>952.17</v>
      </c>
      <c r="L9" s="9">
        <v>360</v>
      </c>
      <c r="M9" s="31">
        <f t="shared" si="0"/>
        <v>2231.16</v>
      </c>
      <c r="N9" s="27">
        <f t="shared" si="1"/>
        <v>356.80000000000018</v>
      </c>
      <c r="O9" s="41">
        <f t="shared" si="2"/>
        <v>3.1999999999998181</v>
      </c>
      <c r="P9" s="28"/>
    </row>
    <row r="10" spans="1:18" ht="15.75" customHeight="1" x14ac:dyDescent="0.35">
      <c r="A10" s="26">
        <v>45452</v>
      </c>
      <c r="B10" s="9">
        <v>1854.94</v>
      </c>
      <c r="C10" s="9">
        <v>1181.83</v>
      </c>
      <c r="D10" s="9">
        <v>146.6</v>
      </c>
      <c r="E10" s="9"/>
      <c r="F10" s="9"/>
      <c r="G10" s="9"/>
      <c r="H10" s="9">
        <v>103.6</v>
      </c>
      <c r="I10" s="9"/>
      <c r="J10" s="9"/>
      <c r="K10" s="9"/>
      <c r="L10" s="9">
        <v>420</v>
      </c>
      <c r="M10" s="31">
        <f t="shared" si="0"/>
        <v>1852.0299999999997</v>
      </c>
      <c r="N10" s="27">
        <f t="shared" si="1"/>
        <v>422.91000000000031</v>
      </c>
      <c r="O10" s="41">
        <f t="shared" si="2"/>
        <v>-2.9100000000003092</v>
      </c>
      <c r="P10" s="28"/>
    </row>
    <row r="11" spans="1:18" ht="15.75" customHeight="1" x14ac:dyDescent="0.35">
      <c r="A11" s="26">
        <v>45453</v>
      </c>
      <c r="B11" s="9">
        <v>2334.66</v>
      </c>
      <c r="C11" s="9">
        <v>1527.16</v>
      </c>
      <c r="D11" s="9">
        <v>193.6</v>
      </c>
      <c r="E11" s="9"/>
      <c r="F11" s="9"/>
      <c r="G11" s="9"/>
      <c r="H11" s="9">
        <v>70.7</v>
      </c>
      <c r="I11" s="9"/>
      <c r="J11" s="9"/>
      <c r="K11" s="73">
        <v>146.6</v>
      </c>
      <c r="L11" s="9">
        <v>390</v>
      </c>
      <c r="M11" s="31">
        <f t="shared" si="0"/>
        <v>2328.06</v>
      </c>
      <c r="N11" s="27">
        <f t="shared" si="1"/>
        <v>396.59999999999991</v>
      </c>
      <c r="O11" s="41">
        <f t="shared" si="2"/>
        <v>-6.5999999999999091</v>
      </c>
      <c r="P11" s="28"/>
    </row>
    <row r="12" spans="1:18" ht="15.75" customHeight="1" x14ac:dyDescent="0.35">
      <c r="A12" s="26">
        <v>45454</v>
      </c>
      <c r="B12" s="9">
        <v>870.99</v>
      </c>
      <c r="C12" s="9">
        <v>543.92999999999995</v>
      </c>
      <c r="D12" s="9">
        <v>83.7</v>
      </c>
      <c r="E12" s="9"/>
      <c r="F12" s="9"/>
      <c r="G12" s="9"/>
      <c r="H12" s="9"/>
      <c r="I12" s="9"/>
      <c r="J12" s="9"/>
      <c r="K12" s="73">
        <v>29.21</v>
      </c>
      <c r="L12" s="9">
        <v>220</v>
      </c>
      <c r="M12" s="31">
        <f t="shared" si="0"/>
        <v>876.84</v>
      </c>
      <c r="N12" s="27">
        <f t="shared" si="1"/>
        <v>214.14999999999998</v>
      </c>
      <c r="O12" s="41">
        <f t="shared" si="2"/>
        <v>5.8500000000000227</v>
      </c>
      <c r="P12" s="28"/>
      <c r="Q12" s="56"/>
    </row>
    <row r="13" spans="1:18" ht="15.75" customHeight="1" x14ac:dyDescent="0.35">
      <c r="A13" s="26">
        <v>45455</v>
      </c>
      <c r="B13" s="9">
        <v>975.7</v>
      </c>
      <c r="C13" s="9">
        <v>437.8</v>
      </c>
      <c r="D13" s="9">
        <v>64.22</v>
      </c>
      <c r="E13" s="9"/>
      <c r="F13" s="9"/>
      <c r="G13" s="9"/>
      <c r="H13" s="9"/>
      <c r="I13" s="9"/>
      <c r="J13" s="9"/>
      <c r="K13" s="73">
        <v>294</v>
      </c>
      <c r="L13" s="9">
        <v>180</v>
      </c>
      <c r="M13" s="31">
        <f t="shared" si="0"/>
        <v>976.02</v>
      </c>
      <c r="N13" s="27">
        <f t="shared" si="1"/>
        <v>179.68000000000006</v>
      </c>
      <c r="O13" s="41">
        <f t="shared" si="2"/>
        <v>0.31999999999993634</v>
      </c>
      <c r="P13" s="28"/>
    </row>
    <row r="14" spans="1:18" ht="15.75" customHeight="1" x14ac:dyDescent="0.35">
      <c r="A14" s="26">
        <v>45456</v>
      </c>
      <c r="B14" s="9">
        <v>638.52</v>
      </c>
      <c r="C14" s="9">
        <v>402.12</v>
      </c>
      <c r="D14" s="9">
        <v>78.8</v>
      </c>
      <c r="E14" s="9"/>
      <c r="F14" s="9"/>
      <c r="G14" s="9"/>
      <c r="H14" s="9"/>
      <c r="I14" s="9"/>
      <c r="J14" s="9"/>
      <c r="K14" s="9"/>
      <c r="L14" s="9">
        <v>160</v>
      </c>
      <c r="M14" s="31">
        <f t="shared" si="0"/>
        <v>640.92000000000007</v>
      </c>
      <c r="N14" s="27">
        <f t="shared" si="1"/>
        <v>157.59999999999991</v>
      </c>
      <c r="O14" s="41">
        <f t="shared" si="2"/>
        <v>2.4000000000000909</v>
      </c>
      <c r="P14" s="28"/>
    </row>
    <row r="15" spans="1:18" ht="15.75" customHeight="1" x14ac:dyDescent="0.35">
      <c r="A15" s="26">
        <v>45457</v>
      </c>
      <c r="B15" s="9">
        <v>1143.6600000000001</v>
      </c>
      <c r="C15" s="9">
        <v>596.25</v>
      </c>
      <c r="D15" s="9">
        <v>25.6</v>
      </c>
      <c r="E15" s="9"/>
      <c r="F15" s="9"/>
      <c r="G15" s="9"/>
      <c r="H15" s="9">
        <v>88.7</v>
      </c>
      <c r="I15" s="9"/>
      <c r="J15" s="9"/>
      <c r="K15" s="73">
        <f>153.44+48.73+147.24</f>
        <v>349.40999999999997</v>
      </c>
      <c r="L15" s="9">
        <v>96.49</v>
      </c>
      <c r="M15" s="31">
        <f t="shared" si="0"/>
        <v>1156.45</v>
      </c>
      <c r="N15" s="27">
        <f t="shared" si="1"/>
        <v>83.700000000000031</v>
      </c>
      <c r="O15" s="41">
        <f t="shared" si="2"/>
        <v>12.789999999999964</v>
      </c>
      <c r="P15" s="28"/>
    </row>
    <row r="16" spans="1:18" ht="15.75" customHeight="1" x14ac:dyDescent="0.35">
      <c r="A16" s="26">
        <v>45458</v>
      </c>
      <c r="B16" s="9">
        <v>1859.81</v>
      </c>
      <c r="C16" s="9">
        <v>1342.61</v>
      </c>
      <c r="D16" s="9">
        <v>112.6</v>
      </c>
      <c r="E16" s="9"/>
      <c r="F16" s="9"/>
      <c r="G16" s="9"/>
      <c r="H16" s="9">
        <v>85.8</v>
      </c>
      <c r="I16" s="9"/>
      <c r="J16" s="9"/>
      <c r="K16" s="9"/>
      <c r="L16" s="9">
        <v>330</v>
      </c>
      <c r="M16" s="31">
        <f t="shared" si="0"/>
        <v>1871.0099999999998</v>
      </c>
      <c r="N16" s="27">
        <f t="shared" si="1"/>
        <v>318.80000000000018</v>
      </c>
      <c r="O16" s="41">
        <f t="shared" si="2"/>
        <v>11.199999999999818</v>
      </c>
      <c r="P16" s="28"/>
    </row>
    <row r="17" spans="1:16" ht="15.75" customHeight="1" x14ac:dyDescent="0.35">
      <c r="A17" s="26">
        <v>45459</v>
      </c>
      <c r="B17" s="9">
        <v>1293.29</v>
      </c>
      <c r="C17" s="9">
        <v>973.98</v>
      </c>
      <c r="D17" s="9">
        <v>86.9</v>
      </c>
      <c r="E17" s="9"/>
      <c r="F17" s="9"/>
      <c r="G17" s="9"/>
      <c r="H17" s="9">
        <v>32.9</v>
      </c>
      <c r="I17" s="9"/>
      <c r="J17" s="9"/>
      <c r="K17" s="9"/>
      <c r="L17" s="9">
        <v>200</v>
      </c>
      <c r="M17" s="31">
        <f t="shared" si="0"/>
        <v>1293.7800000000002</v>
      </c>
      <c r="N17" s="27">
        <f t="shared" si="1"/>
        <v>199.50999999999976</v>
      </c>
      <c r="O17" s="41">
        <f t="shared" si="2"/>
        <v>0.49000000000023647</v>
      </c>
      <c r="P17" s="28"/>
    </row>
    <row r="18" spans="1:16" ht="15.75" customHeight="1" x14ac:dyDescent="0.35">
      <c r="A18" s="26">
        <v>45460</v>
      </c>
      <c r="B18" s="9">
        <v>195.2</v>
      </c>
      <c r="C18" s="9">
        <v>159.9</v>
      </c>
      <c r="D18" s="9">
        <v>2.4</v>
      </c>
      <c r="E18" s="9"/>
      <c r="F18" s="9"/>
      <c r="G18" s="9"/>
      <c r="H18" s="9"/>
      <c r="I18" s="9"/>
      <c r="J18" s="9"/>
      <c r="K18" s="9"/>
      <c r="L18" s="9">
        <v>35</v>
      </c>
      <c r="M18" s="31">
        <f t="shared" si="0"/>
        <v>197.3</v>
      </c>
      <c r="N18" s="27">
        <f t="shared" si="1"/>
        <v>32.899999999999977</v>
      </c>
      <c r="O18" s="41">
        <f t="shared" si="2"/>
        <v>2.1000000000000227</v>
      </c>
      <c r="P18" s="28"/>
    </row>
    <row r="19" spans="1:16" ht="15.75" customHeight="1" x14ac:dyDescent="0.35">
      <c r="A19" s="26">
        <v>45461</v>
      </c>
      <c r="B19" s="9">
        <v>593.33000000000004</v>
      </c>
      <c r="C19" s="9">
        <v>399.95</v>
      </c>
      <c r="D19" s="9">
        <v>8.1999999999999993</v>
      </c>
      <c r="E19" s="9"/>
      <c r="F19" s="9"/>
      <c r="G19" s="9"/>
      <c r="H19" s="9"/>
      <c r="I19" s="9"/>
      <c r="J19" s="9"/>
      <c r="K19" s="9"/>
      <c r="L19" s="9">
        <v>190</v>
      </c>
      <c r="M19" s="31">
        <f t="shared" si="0"/>
        <v>598.15</v>
      </c>
      <c r="N19" s="27">
        <f t="shared" si="1"/>
        <v>185.18000000000006</v>
      </c>
      <c r="O19" s="41">
        <f t="shared" si="2"/>
        <v>4.8199999999999363</v>
      </c>
      <c r="P19" s="28"/>
    </row>
    <row r="20" spans="1:16" ht="15.75" customHeight="1" x14ac:dyDescent="0.35">
      <c r="A20" s="26">
        <v>45462</v>
      </c>
      <c r="B20" s="9">
        <v>1380.21</v>
      </c>
      <c r="C20" s="9">
        <v>450.8</v>
      </c>
      <c r="D20" s="9">
        <v>10.199999999999999</v>
      </c>
      <c r="E20" s="9"/>
      <c r="F20" s="9"/>
      <c r="G20" s="9"/>
      <c r="H20" s="9"/>
      <c r="I20" s="9"/>
      <c r="J20" s="9"/>
      <c r="K20" s="73">
        <f>178.96+194.77+491.58</f>
        <v>865.31</v>
      </c>
      <c r="L20" s="9">
        <v>55</v>
      </c>
      <c r="M20" s="31">
        <f t="shared" si="0"/>
        <v>1381.31</v>
      </c>
      <c r="N20" s="27">
        <f>L20-O20</f>
        <v>53.900000000000091</v>
      </c>
      <c r="O20" s="41">
        <f t="shared" si="2"/>
        <v>1.0999999999999091</v>
      </c>
      <c r="P20" s="28"/>
    </row>
    <row r="21" spans="1:16" ht="15.75" customHeight="1" x14ac:dyDescent="0.35">
      <c r="A21" s="26">
        <v>45463</v>
      </c>
      <c r="B21" s="9">
        <v>687.74</v>
      </c>
      <c r="C21" s="9">
        <v>422.7</v>
      </c>
      <c r="D21" s="9">
        <v>84.13</v>
      </c>
      <c r="E21" s="9"/>
      <c r="F21" s="9"/>
      <c r="G21" s="9"/>
      <c r="H21" s="9">
        <v>32.9</v>
      </c>
      <c r="I21" s="9"/>
      <c r="J21" s="9"/>
      <c r="K21" s="9"/>
      <c r="L21" s="9">
        <v>150</v>
      </c>
      <c r="M21" s="31">
        <f t="shared" si="0"/>
        <v>689.73</v>
      </c>
      <c r="N21" s="27">
        <f t="shared" si="1"/>
        <v>148.01</v>
      </c>
      <c r="O21" s="41">
        <f t="shared" si="2"/>
        <v>1.9900000000000091</v>
      </c>
      <c r="P21" s="28"/>
    </row>
    <row r="22" spans="1:16" ht="15.75" customHeight="1" x14ac:dyDescent="0.35">
      <c r="A22" s="26">
        <v>45464</v>
      </c>
      <c r="B22" s="9">
        <v>1227.96</v>
      </c>
      <c r="C22" s="9">
        <v>898.5</v>
      </c>
      <c r="D22" s="9">
        <v>106.9</v>
      </c>
      <c r="E22" s="9"/>
      <c r="F22" s="9"/>
      <c r="G22" s="9"/>
      <c r="H22" s="9">
        <v>65.8</v>
      </c>
      <c r="I22" s="9"/>
      <c r="J22" s="9"/>
      <c r="K22" s="9"/>
      <c r="L22" s="9">
        <v>160</v>
      </c>
      <c r="M22" s="31">
        <f t="shared" si="0"/>
        <v>1231.2</v>
      </c>
      <c r="N22" s="27">
        <f t="shared" si="1"/>
        <v>156.76</v>
      </c>
      <c r="O22" s="41">
        <f t="shared" si="2"/>
        <v>3.2400000000000091</v>
      </c>
      <c r="P22" s="28"/>
    </row>
    <row r="23" spans="1:16" ht="15.75" customHeight="1" x14ac:dyDescent="0.35">
      <c r="A23" s="26">
        <v>45465</v>
      </c>
      <c r="B23" s="9">
        <v>1743.42</v>
      </c>
      <c r="C23" s="9">
        <v>1014.36</v>
      </c>
      <c r="D23" s="9">
        <v>143.1</v>
      </c>
      <c r="E23" s="9"/>
      <c r="F23" s="9"/>
      <c r="G23" s="9"/>
      <c r="H23" s="9"/>
      <c r="I23" s="9"/>
      <c r="J23" s="9"/>
      <c r="K23" s="73">
        <v>200</v>
      </c>
      <c r="L23" s="9">
        <v>390</v>
      </c>
      <c r="M23" s="31">
        <f t="shared" si="0"/>
        <v>1747.46</v>
      </c>
      <c r="N23" s="27">
        <f t="shared" si="1"/>
        <v>385.96000000000004</v>
      </c>
      <c r="O23" s="41">
        <f t="shared" si="2"/>
        <v>4.0399999999999636</v>
      </c>
      <c r="P23" s="28"/>
    </row>
    <row r="24" spans="1:16" ht="15.75" customHeight="1" x14ac:dyDescent="0.35">
      <c r="A24" s="26">
        <v>45466</v>
      </c>
      <c r="B24" s="9">
        <v>1452.67</v>
      </c>
      <c r="C24" s="9">
        <v>958.57</v>
      </c>
      <c r="D24" s="9">
        <v>87.7</v>
      </c>
      <c r="E24" s="9"/>
      <c r="F24" s="9"/>
      <c r="G24" s="9"/>
      <c r="H24" s="9">
        <v>144.5</v>
      </c>
      <c r="I24" s="9"/>
      <c r="J24" s="9"/>
      <c r="K24" s="9"/>
      <c r="L24" s="9">
        <v>260</v>
      </c>
      <c r="M24" s="31">
        <f t="shared" si="0"/>
        <v>1450.77</v>
      </c>
      <c r="N24" s="27">
        <f t="shared" si="1"/>
        <v>261.90000000000009</v>
      </c>
      <c r="O24" s="41">
        <f t="shared" si="2"/>
        <v>-1.9000000000000909</v>
      </c>
      <c r="P24" s="28"/>
    </row>
    <row r="25" spans="1:16" ht="15.75" customHeight="1" x14ac:dyDescent="0.35">
      <c r="A25" s="26">
        <v>45467</v>
      </c>
      <c r="B25" s="9">
        <v>2226.52</v>
      </c>
      <c r="C25" s="9">
        <v>1474.42</v>
      </c>
      <c r="D25" s="9">
        <v>153.4</v>
      </c>
      <c r="E25" s="9"/>
      <c r="F25" s="9"/>
      <c r="G25" s="9"/>
      <c r="H25" s="9">
        <v>103.6</v>
      </c>
      <c r="I25" s="9"/>
      <c r="J25" s="9"/>
      <c r="K25" s="9"/>
      <c r="L25" s="9">
        <v>490</v>
      </c>
      <c r="M25" s="31">
        <f t="shared" si="0"/>
        <v>2221.42</v>
      </c>
      <c r="N25" s="27">
        <f t="shared" si="1"/>
        <v>495.09999999999991</v>
      </c>
      <c r="O25" s="41">
        <f t="shared" si="2"/>
        <v>-5.0999999999999091</v>
      </c>
      <c r="P25" s="28"/>
    </row>
    <row r="26" spans="1:16" ht="15.75" customHeight="1" x14ac:dyDescent="0.35">
      <c r="A26" s="26">
        <v>45468</v>
      </c>
      <c r="B26" s="9">
        <v>301.14999999999998</v>
      </c>
      <c r="C26" s="9">
        <v>144.5</v>
      </c>
      <c r="D26" s="9">
        <v>26.5</v>
      </c>
      <c r="E26" s="9"/>
      <c r="F26" s="9"/>
      <c r="G26" s="9"/>
      <c r="H26" s="9">
        <v>18.899999999999999</v>
      </c>
      <c r="I26" s="9"/>
      <c r="J26" s="9"/>
      <c r="K26" s="73">
        <v>29.31</v>
      </c>
      <c r="L26" s="9">
        <v>80</v>
      </c>
      <c r="M26" s="31">
        <f t="shared" si="0"/>
        <v>299.20999999999998</v>
      </c>
      <c r="N26" s="27">
        <f t="shared" si="1"/>
        <v>81.94</v>
      </c>
      <c r="O26" s="41">
        <f t="shared" si="2"/>
        <v>-1.9399999999999977</v>
      </c>
      <c r="P26" s="28"/>
    </row>
    <row r="27" spans="1:16" ht="15.75" customHeight="1" x14ac:dyDescent="0.35">
      <c r="A27" s="26">
        <v>45469</v>
      </c>
      <c r="B27" s="9">
        <v>750.23</v>
      </c>
      <c r="C27" s="9">
        <v>499.54</v>
      </c>
      <c r="D27" s="9">
        <v>72.69</v>
      </c>
      <c r="E27" s="9"/>
      <c r="F27" s="9"/>
      <c r="G27" s="9"/>
      <c r="H27" s="9"/>
      <c r="I27" s="9"/>
      <c r="J27" s="9"/>
      <c r="K27" s="9"/>
      <c r="L27" s="9">
        <v>180</v>
      </c>
      <c r="M27" s="31">
        <f t="shared" si="0"/>
        <v>752.23</v>
      </c>
      <c r="N27" s="27">
        <f t="shared" si="1"/>
        <v>178</v>
      </c>
      <c r="O27" s="41">
        <f t="shared" si="2"/>
        <v>2</v>
      </c>
      <c r="P27" s="28"/>
    </row>
    <row r="28" spans="1:16" ht="15.75" customHeight="1" x14ac:dyDescent="0.35">
      <c r="A28" s="26">
        <v>45470</v>
      </c>
      <c r="B28" s="9">
        <v>898.05</v>
      </c>
      <c r="C28" s="9">
        <v>525.05999999999995</v>
      </c>
      <c r="D28" s="9">
        <v>31.1</v>
      </c>
      <c r="E28" s="9"/>
      <c r="F28" s="9"/>
      <c r="G28" s="9"/>
      <c r="H28" s="9">
        <v>37.799999999999997</v>
      </c>
      <c r="I28" s="9"/>
      <c r="J28" s="9"/>
      <c r="K28" s="73">
        <v>96.59</v>
      </c>
      <c r="L28" s="9">
        <v>210</v>
      </c>
      <c r="M28" s="31">
        <f t="shared" si="0"/>
        <v>900.55</v>
      </c>
      <c r="N28" s="27">
        <f t="shared" si="1"/>
        <v>207.5</v>
      </c>
      <c r="O28" s="41">
        <f t="shared" si="2"/>
        <v>2.5</v>
      </c>
      <c r="P28" s="28"/>
    </row>
    <row r="29" spans="1:16" ht="15.75" customHeight="1" x14ac:dyDescent="0.35">
      <c r="A29" s="26">
        <v>45471</v>
      </c>
      <c r="B29" s="9">
        <v>1060.42</v>
      </c>
      <c r="C29" s="9">
        <v>765</v>
      </c>
      <c r="D29" s="9">
        <v>55.72</v>
      </c>
      <c r="E29" s="9"/>
      <c r="F29" s="9"/>
      <c r="G29" s="9"/>
      <c r="H29" s="9">
        <v>19</v>
      </c>
      <c r="I29" s="9"/>
      <c r="J29" s="9"/>
      <c r="K29" s="9"/>
      <c r="L29" s="9">
        <v>220</v>
      </c>
      <c r="M29" s="31">
        <f>C29+D29+E29+F29+G29+H29+I29+J29+L29+K29</f>
        <v>1059.72</v>
      </c>
      <c r="N29" s="27">
        <f t="shared" si="1"/>
        <v>220.70000000000005</v>
      </c>
      <c r="O29" s="41">
        <f t="shared" si="2"/>
        <v>-0.70000000000004547</v>
      </c>
      <c r="P29" s="28"/>
    </row>
    <row r="30" spans="1:16" ht="15.75" customHeight="1" x14ac:dyDescent="0.35">
      <c r="A30" s="26">
        <v>45472</v>
      </c>
      <c r="B30" s="9">
        <v>1856.2</v>
      </c>
      <c r="C30" s="9">
        <v>1266.5</v>
      </c>
      <c r="D30" s="9">
        <v>212.5</v>
      </c>
      <c r="E30" s="9"/>
      <c r="F30" s="9"/>
      <c r="G30" s="9"/>
      <c r="H30" s="9">
        <v>34.9</v>
      </c>
      <c r="I30" s="9"/>
      <c r="J30" s="9"/>
      <c r="K30" s="9"/>
      <c r="L30" s="9">
        <v>340</v>
      </c>
      <c r="M30" s="31">
        <f t="shared" si="0"/>
        <v>1853.9</v>
      </c>
      <c r="N30" s="27">
        <f t="shared" si="1"/>
        <v>342.29999999999995</v>
      </c>
      <c r="O30" s="41">
        <f t="shared" si="2"/>
        <v>-2.2999999999999545</v>
      </c>
      <c r="P30" s="28"/>
    </row>
    <row r="31" spans="1:16" ht="15.75" customHeight="1" x14ac:dyDescent="0.35">
      <c r="A31" s="26">
        <v>45473</v>
      </c>
      <c r="B31" s="9">
        <v>1611.25</v>
      </c>
      <c r="C31" s="9">
        <v>1124.1600000000001</v>
      </c>
      <c r="D31" s="9">
        <v>138.4</v>
      </c>
      <c r="E31" s="9"/>
      <c r="F31" s="9"/>
      <c r="G31" s="9"/>
      <c r="H31" s="9"/>
      <c r="I31" s="9"/>
      <c r="J31" s="9"/>
      <c r="K31" s="9"/>
      <c r="L31" s="9">
        <v>350</v>
      </c>
      <c r="M31" s="31">
        <f t="shared" si="0"/>
        <v>1612.5600000000002</v>
      </c>
      <c r="N31" s="27">
        <f t="shared" si="1"/>
        <v>348.68999999999983</v>
      </c>
      <c r="O31" s="41">
        <f t="shared" si="2"/>
        <v>1.3100000000001728</v>
      </c>
      <c r="P31" s="28"/>
    </row>
    <row r="32" spans="1:16" ht="15.75" customHeight="1" x14ac:dyDescent="0.35">
      <c r="A32" s="26"/>
      <c r="B32" s="44"/>
      <c r="C32" s="44"/>
      <c r="D32" s="44"/>
      <c r="E32" s="9"/>
      <c r="F32" s="9"/>
      <c r="G32" s="9"/>
      <c r="H32" s="44"/>
      <c r="I32" s="9"/>
      <c r="J32" s="9"/>
      <c r="K32" s="55"/>
      <c r="L32" s="44"/>
      <c r="M32" s="31">
        <f t="shared" si="0"/>
        <v>0</v>
      </c>
      <c r="N32" s="27">
        <f t="shared" si="1"/>
        <v>0</v>
      </c>
      <c r="O32" s="41">
        <f t="shared" si="2"/>
        <v>0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38748.020000000004</v>
      </c>
      <c r="N33" s="72">
        <f>M33-O33</f>
        <v>38660.29</v>
      </c>
      <c r="O33" s="49">
        <f>SUM(O2:O32)</f>
        <v>87.72999999999962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5B59-6EFC-4174-82D7-3185D872533E}">
  <dimension ref="A1:R1000"/>
  <sheetViews>
    <sheetView workbookViewId="0">
      <pane ySplit="1" topLeftCell="A32" activePane="bottomLeft" state="frozen"/>
      <selection pane="bottomLeft" activeCell="M32" sqref="M32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45474</v>
      </c>
      <c r="B2" s="9">
        <v>1003.64</v>
      </c>
      <c r="C2" s="9">
        <v>520.16</v>
      </c>
      <c r="D2" s="9">
        <v>136.47999999999999</v>
      </c>
      <c r="E2" s="9"/>
      <c r="F2" s="9"/>
      <c r="G2" s="9"/>
      <c r="H2" s="9"/>
      <c r="I2" s="9"/>
      <c r="J2" s="9"/>
      <c r="K2" s="9"/>
      <c r="L2" s="9">
        <v>340</v>
      </c>
      <c r="M2" s="31">
        <f t="shared" ref="M2:M32" si="0">C2+D2+E2+F2+G2+H2+I2+J2+L2+K2</f>
        <v>996.64</v>
      </c>
      <c r="N2" s="27">
        <f t="shared" ref="N2:N32" si="1">L2-O2</f>
        <v>347</v>
      </c>
      <c r="O2" s="70">
        <f t="shared" ref="O2:O32" si="2">M2-B2-F2</f>
        <v>-7</v>
      </c>
      <c r="P2" s="28"/>
    </row>
    <row r="3" spans="1:18" ht="15.75" customHeight="1" x14ac:dyDescent="0.35">
      <c r="A3" s="26">
        <v>45475</v>
      </c>
      <c r="B3" s="9">
        <v>1460.83</v>
      </c>
      <c r="C3" s="9">
        <v>963.85</v>
      </c>
      <c r="D3" s="9">
        <v>126.18</v>
      </c>
      <c r="E3" s="9"/>
      <c r="F3" s="9"/>
      <c r="G3" s="9"/>
      <c r="H3" s="9">
        <v>65.8</v>
      </c>
      <c r="I3" s="9"/>
      <c r="J3" s="9"/>
      <c r="K3" s="9"/>
      <c r="L3" s="9">
        <v>300</v>
      </c>
      <c r="M3" s="31">
        <f t="shared" si="0"/>
        <v>1455.83</v>
      </c>
      <c r="N3" s="27">
        <f t="shared" si="1"/>
        <v>305</v>
      </c>
      <c r="O3" s="70">
        <f t="shared" si="2"/>
        <v>-5</v>
      </c>
      <c r="P3" s="28"/>
      <c r="Q3" s="56"/>
    </row>
    <row r="4" spans="1:18" ht="15.75" customHeight="1" x14ac:dyDescent="0.35">
      <c r="A4" s="26">
        <v>45476</v>
      </c>
      <c r="B4" s="9">
        <v>2327.44</v>
      </c>
      <c r="C4" s="9">
        <v>943.86</v>
      </c>
      <c r="D4" s="9">
        <v>191.03</v>
      </c>
      <c r="E4" s="9"/>
      <c r="F4" s="9"/>
      <c r="G4" s="9"/>
      <c r="H4" s="9"/>
      <c r="I4" s="9"/>
      <c r="J4" s="9"/>
      <c r="K4" s="73">
        <f>639.78+374.57</f>
        <v>1014.3499999999999</v>
      </c>
      <c r="L4" s="9">
        <v>170</v>
      </c>
      <c r="M4" s="31">
        <f t="shared" si="0"/>
        <v>2319.2399999999998</v>
      </c>
      <c r="N4" s="27">
        <f t="shared" si="1"/>
        <v>178.20000000000027</v>
      </c>
      <c r="O4" s="41">
        <f t="shared" si="2"/>
        <v>-8.2000000000002728</v>
      </c>
      <c r="P4" s="28"/>
    </row>
    <row r="5" spans="1:18" ht="15.75" customHeight="1" x14ac:dyDescent="0.35">
      <c r="A5" s="26">
        <v>45477</v>
      </c>
      <c r="B5" s="9">
        <v>2497.17</v>
      </c>
      <c r="C5" s="9">
        <v>1130.8800000000001</v>
      </c>
      <c r="D5" s="9">
        <v>124.73</v>
      </c>
      <c r="E5" s="9"/>
      <c r="F5" s="9"/>
      <c r="G5" s="9"/>
      <c r="H5" s="9">
        <v>39.9</v>
      </c>
      <c r="I5" s="9"/>
      <c r="J5" s="9"/>
      <c r="K5" s="73">
        <f>98.36+19.91+27.11+81.45+82.08+71.93+328</f>
        <v>708.83999999999992</v>
      </c>
      <c r="L5" s="9">
        <v>490</v>
      </c>
      <c r="M5" s="31">
        <f t="shared" si="0"/>
        <v>2494.3500000000004</v>
      </c>
      <c r="N5" s="27">
        <f t="shared" si="1"/>
        <v>492.81999999999971</v>
      </c>
      <c r="O5" s="41">
        <f t="shared" si="2"/>
        <v>-2.819999999999709</v>
      </c>
      <c r="P5" s="28"/>
    </row>
    <row r="6" spans="1:18" ht="15.75" customHeight="1" x14ac:dyDescent="0.35">
      <c r="A6" s="26">
        <v>45478</v>
      </c>
      <c r="B6" s="9">
        <v>1152.1199999999999</v>
      </c>
      <c r="C6" s="9">
        <v>628.02</v>
      </c>
      <c r="D6" s="83">
        <v>76.3</v>
      </c>
      <c r="E6" s="9"/>
      <c r="F6" s="9"/>
      <c r="G6" s="9"/>
      <c r="H6" s="9">
        <v>203.6</v>
      </c>
      <c r="I6" s="9"/>
      <c r="J6" s="9"/>
      <c r="K6" s="9"/>
      <c r="L6" s="9">
        <v>245</v>
      </c>
      <c r="M6" s="31">
        <f t="shared" si="0"/>
        <v>1152.92</v>
      </c>
      <c r="N6" s="27">
        <f t="shared" si="1"/>
        <v>244.19999999999982</v>
      </c>
      <c r="O6" s="41">
        <f t="shared" si="2"/>
        <v>0.8000000000001819</v>
      </c>
      <c r="P6" s="28"/>
    </row>
    <row r="7" spans="1:18" ht="15.75" customHeight="1" x14ac:dyDescent="0.35">
      <c r="A7" s="26">
        <v>45479</v>
      </c>
      <c r="B7" s="9">
        <v>1941.12</v>
      </c>
      <c r="C7" s="9">
        <v>1340.13</v>
      </c>
      <c r="D7" s="9">
        <v>175.6</v>
      </c>
      <c r="E7" s="9"/>
      <c r="F7" s="9"/>
      <c r="G7" s="9"/>
      <c r="H7" s="9">
        <v>32.9</v>
      </c>
      <c r="I7" s="9"/>
      <c r="J7" s="9"/>
      <c r="K7" s="9"/>
      <c r="L7" s="9">
        <v>400</v>
      </c>
      <c r="M7" s="31">
        <f t="shared" si="0"/>
        <v>1948.63</v>
      </c>
      <c r="N7" s="27">
        <f t="shared" si="1"/>
        <v>392.48999999999978</v>
      </c>
      <c r="O7" s="41">
        <f t="shared" si="2"/>
        <v>7.5100000000002183</v>
      </c>
      <c r="P7" s="28"/>
    </row>
    <row r="8" spans="1:18" ht="15.75" customHeight="1" x14ac:dyDescent="0.35">
      <c r="A8" s="26">
        <v>45480</v>
      </c>
      <c r="B8" s="9">
        <v>1719.65</v>
      </c>
      <c r="C8" s="9">
        <v>1134.8499999999999</v>
      </c>
      <c r="D8" s="9">
        <v>149</v>
      </c>
      <c r="E8" s="9"/>
      <c r="F8" s="9"/>
      <c r="G8" s="9"/>
      <c r="H8" s="9">
        <v>18.899999999999999</v>
      </c>
      <c r="I8" s="9"/>
      <c r="J8" s="9"/>
      <c r="K8" s="9"/>
      <c r="L8" s="9">
        <v>410</v>
      </c>
      <c r="M8" s="31">
        <f t="shared" si="0"/>
        <v>1712.75</v>
      </c>
      <c r="N8" s="27">
        <f t="shared" si="1"/>
        <v>416.90000000000009</v>
      </c>
      <c r="O8" s="41">
        <f t="shared" si="2"/>
        <v>-6.9000000000000909</v>
      </c>
      <c r="P8" s="28"/>
    </row>
    <row r="9" spans="1:18" ht="15.75" customHeight="1" x14ac:dyDescent="0.35">
      <c r="A9" s="26">
        <v>45481</v>
      </c>
      <c r="B9" s="9">
        <v>938.78</v>
      </c>
      <c r="C9" s="9">
        <v>646.19000000000005</v>
      </c>
      <c r="D9" s="9">
        <v>31.87</v>
      </c>
      <c r="E9" s="9"/>
      <c r="F9" s="9"/>
      <c r="G9" s="9"/>
      <c r="H9" s="9"/>
      <c r="I9" s="9"/>
      <c r="J9" s="9"/>
      <c r="K9" s="73">
        <f>59.59</f>
        <v>59.59</v>
      </c>
      <c r="L9" s="9">
        <v>205</v>
      </c>
      <c r="M9" s="31">
        <f t="shared" si="0"/>
        <v>942.65000000000009</v>
      </c>
      <c r="N9" s="27">
        <f t="shared" si="1"/>
        <v>201.12999999999988</v>
      </c>
      <c r="O9" s="41">
        <f t="shared" si="2"/>
        <v>3.8700000000001182</v>
      </c>
      <c r="P9" s="28"/>
    </row>
    <row r="10" spans="1:18" ht="15.75" customHeight="1" x14ac:dyDescent="0.35">
      <c r="A10" s="26">
        <v>45482</v>
      </c>
      <c r="B10" s="9">
        <v>1366.52</v>
      </c>
      <c r="C10" s="9">
        <v>270.14999999999998</v>
      </c>
      <c r="D10" s="9">
        <v>28.7</v>
      </c>
      <c r="E10" s="9"/>
      <c r="F10" s="9"/>
      <c r="G10" s="9"/>
      <c r="H10" s="9">
        <v>51.9</v>
      </c>
      <c r="I10" s="9"/>
      <c r="J10" s="9"/>
      <c r="K10" s="73">
        <v>962.27</v>
      </c>
      <c r="L10" s="9">
        <v>50</v>
      </c>
      <c r="M10" s="31">
        <f t="shared" si="0"/>
        <v>1363.02</v>
      </c>
      <c r="N10" s="27">
        <f t="shared" si="1"/>
        <v>53.5</v>
      </c>
      <c r="O10" s="41">
        <f t="shared" si="2"/>
        <v>-3.5</v>
      </c>
      <c r="P10" s="28"/>
    </row>
    <row r="11" spans="1:18" ht="15.75" customHeight="1" x14ac:dyDescent="0.35">
      <c r="A11" s="26">
        <v>45483</v>
      </c>
      <c r="B11" s="9">
        <v>837.92</v>
      </c>
      <c r="C11" s="9">
        <v>430.32</v>
      </c>
      <c r="D11" s="9">
        <v>65.400000000000006</v>
      </c>
      <c r="E11" s="9"/>
      <c r="F11" s="9"/>
      <c r="G11" s="9"/>
      <c r="H11" s="9">
        <v>33.9</v>
      </c>
      <c r="I11" s="9"/>
      <c r="J11" s="9"/>
      <c r="K11" s="9"/>
      <c r="L11" s="9">
        <v>310</v>
      </c>
      <c r="M11" s="31">
        <f t="shared" si="0"/>
        <v>839.62</v>
      </c>
      <c r="N11" s="27">
        <f t="shared" si="1"/>
        <v>308.29999999999995</v>
      </c>
      <c r="O11" s="41">
        <f t="shared" si="2"/>
        <v>1.7000000000000455</v>
      </c>
      <c r="P11" s="28"/>
    </row>
    <row r="12" spans="1:18" ht="15.75" customHeight="1" x14ac:dyDescent="0.35">
      <c r="A12" s="26">
        <v>45484</v>
      </c>
      <c r="B12" s="9">
        <v>1080.44</v>
      </c>
      <c r="C12" s="9">
        <v>482.3</v>
      </c>
      <c r="D12" s="9">
        <v>121</v>
      </c>
      <c r="E12" s="9"/>
      <c r="F12" s="9"/>
      <c r="G12" s="9"/>
      <c r="H12" s="9">
        <v>91.7</v>
      </c>
      <c r="I12" s="9"/>
      <c r="J12" s="9"/>
      <c r="K12" s="73">
        <v>195.16</v>
      </c>
      <c r="L12" s="9">
        <v>190</v>
      </c>
      <c r="M12" s="31">
        <f t="shared" si="0"/>
        <v>1080.1600000000001</v>
      </c>
      <c r="N12" s="27">
        <f t="shared" si="1"/>
        <v>190.27999999999997</v>
      </c>
      <c r="O12" s="41">
        <f t="shared" si="2"/>
        <v>-0.27999999999997272</v>
      </c>
      <c r="P12" s="28"/>
      <c r="Q12" s="56"/>
    </row>
    <row r="13" spans="1:18" ht="15.75" customHeight="1" x14ac:dyDescent="0.35">
      <c r="A13" s="26">
        <v>45485</v>
      </c>
      <c r="B13" s="9">
        <v>1614.91</v>
      </c>
      <c r="C13" s="9">
        <v>143.74</v>
      </c>
      <c r="D13" s="9">
        <v>945.99</v>
      </c>
      <c r="E13" s="9"/>
      <c r="F13" s="9"/>
      <c r="G13" s="9"/>
      <c r="H13" s="9">
        <v>19.899999999999999</v>
      </c>
      <c r="I13" s="9"/>
      <c r="J13" s="9"/>
      <c r="K13" s="73">
        <v>214.02</v>
      </c>
      <c r="L13" s="9">
        <v>290</v>
      </c>
      <c r="M13" s="31">
        <f t="shared" si="0"/>
        <v>1613.65</v>
      </c>
      <c r="N13" s="27">
        <f t="shared" si="1"/>
        <v>291.26</v>
      </c>
      <c r="O13" s="41">
        <f t="shared" si="2"/>
        <v>-1.2599999999999909</v>
      </c>
      <c r="P13" s="28"/>
    </row>
    <row r="14" spans="1:18" ht="15.75" customHeight="1" x14ac:dyDescent="0.35">
      <c r="A14" s="26">
        <v>45486</v>
      </c>
      <c r="B14" s="9">
        <v>2274.71</v>
      </c>
      <c r="C14" s="9">
        <v>1546.27</v>
      </c>
      <c r="D14" s="9">
        <v>210.2</v>
      </c>
      <c r="E14" s="9"/>
      <c r="F14" s="9"/>
      <c r="G14" s="9"/>
      <c r="H14" s="9">
        <v>103.6</v>
      </c>
      <c r="I14" s="9"/>
      <c r="J14" s="9"/>
      <c r="K14" s="9"/>
      <c r="L14" s="9">
        <v>410</v>
      </c>
      <c r="M14" s="31">
        <f t="shared" si="0"/>
        <v>2270.0699999999997</v>
      </c>
      <c r="N14" s="27">
        <f t="shared" si="1"/>
        <v>414.64000000000033</v>
      </c>
      <c r="O14" s="41">
        <f t="shared" si="2"/>
        <v>-4.6400000000003274</v>
      </c>
      <c r="P14" s="28"/>
    </row>
    <row r="15" spans="1:18" ht="15.75" customHeight="1" x14ac:dyDescent="0.35">
      <c r="A15" s="26">
        <v>45487</v>
      </c>
      <c r="B15" s="9">
        <v>1199.8499999999999</v>
      </c>
      <c r="C15" s="9">
        <v>773.55</v>
      </c>
      <c r="D15" s="9">
        <v>76.900000000000006</v>
      </c>
      <c r="E15" s="9"/>
      <c r="F15" s="9"/>
      <c r="G15" s="9"/>
      <c r="H15" s="9">
        <v>18.899999999999999</v>
      </c>
      <c r="I15" s="9"/>
      <c r="J15" s="9"/>
      <c r="K15" s="9"/>
      <c r="L15" s="9">
        <v>330</v>
      </c>
      <c r="M15" s="31">
        <f t="shared" si="0"/>
        <v>1199.3499999999999</v>
      </c>
      <c r="N15" s="27">
        <f t="shared" si="1"/>
        <v>330.5</v>
      </c>
      <c r="O15" s="41">
        <f t="shared" si="2"/>
        <v>-0.5</v>
      </c>
      <c r="P15" s="28"/>
    </row>
    <row r="16" spans="1:18" ht="15.75" customHeight="1" x14ac:dyDescent="0.35">
      <c r="A16" s="26">
        <v>45488</v>
      </c>
      <c r="B16" s="9">
        <v>1160.27</v>
      </c>
      <c r="C16" s="9">
        <v>660.02</v>
      </c>
      <c r="D16" s="9">
        <v>178.92</v>
      </c>
      <c r="E16" s="9"/>
      <c r="F16" s="9"/>
      <c r="G16" s="9"/>
      <c r="H16" s="9"/>
      <c r="I16" s="9"/>
      <c r="J16" s="9"/>
      <c r="K16" s="9"/>
      <c r="L16" s="9">
        <v>320</v>
      </c>
      <c r="M16" s="31">
        <f t="shared" si="0"/>
        <v>1158.94</v>
      </c>
      <c r="N16" s="27">
        <f t="shared" si="1"/>
        <v>321.32999999999993</v>
      </c>
      <c r="O16" s="41">
        <f t="shared" si="2"/>
        <v>-1.3299999999999272</v>
      </c>
      <c r="P16" s="28"/>
    </row>
    <row r="17" spans="1:16" ht="15.75" customHeight="1" x14ac:dyDescent="0.35">
      <c r="A17" s="26">
        <v>45489</v>
      </c>
      <c r="B17" s="9">
        <v>1252.17</v>
      </c>
      <c r="C17" s="9">
        <v>885.52</v>
      </c>
      <c r="D17" s="9">
        <v>117.02</v>
      </c>
      <c r="E17" s="9"/>
      <c r="F17" s="9"/>
      <c r="G17" s="9"/>
      <c r="H17" s="9"/>
      <c r="I17" s="9"/>
      <c r="J17" s="9"/>
      <c r="K17" s="9"/>
      <c r="L17" s="9">
        <v>250</v>
      </c>
      <c r="M17" s="31">
        <f t="shared" si="0"/>
        <v>1252.54</v>
      </c>
      <c r="N17" s="27">
        <f t="shared" si="1"/>
        <v>249.63000000000011</v>
      </c>
      <c r="O17" s="41">
        <f t="shared" si="2"/>
        <v>0.36999999999989086</v>
      </c>
      <c r="P17" s="28"/>
    </row>
    <row r="18" spans="1:16" ht="15.75" customHeight="1" x14ac:dyDescent="0.35">
      <c r="A18" s="26">
        <v>45490</v>
      </c>
      <c r="B18" s="9">
        <v>1263.92</v>
      </c>
      <c r="C18" s="9">
        <v>807.42</v>
      </c>
      <c r="D18" s="9">
        <v>107.2</v>
      </c>
      <c r="E18" s="9"/>
      <c r="F18" s="9"/>
      <c r="G18" s="9"/>
      <c r="H18" s="9">
        <v>38.799999999999997</v>
      </c>
      <c r="I18" s="9"/>
      <c r="J18" s="9"/>
      <c r="K18" s="9"/>
      <c r="L18" s="9">
        <v>320</v>
      </c>
      <c r="M18" s="31">
        <f t="shared" si="0"/>
        <v>1273.42</v>
      </c>
      <c r="N18" s="27">
        <f t="shared" si="1"/>
        <v>310.5</v>
      </c>
      <c r="O18" s="41">
        <f t="shared" si="2"/>
        <v>9.5</v>
      </c>
      <c r="P18" s="28"/>
    </row>
    <row r="19" spans="1:16" ht="15.75" customHeight="1" x14ac:dyDescent="0.35">
      <c r="A19" s="26">
        <v>45491</v>
      </c>
      <c r="B19" s="9">
        <v>2315.54</v>
      </c>
      <c r="C19" s="9">
        <v>1039.5</v>
      </c>
      <c r="D19" s="9">
        <v>144.93</v>
      </c>
      <c r="E19" s="9"/>
      <c r="F19" s="9"/>
      <c r="G19" s="9"/>
      <c r="H19" s="9">
        <v>67.8</v>
      </c>
      <c r="I19" s="9"/>
      <c r="J19" s="9"/>
      <c r="K19" s="73">
        <f>500+99.48+27.88+22.63+115.72</f>
        <v>765.71</v>
      </c>
      <c r="L19" s="9">
        <v>300</v>
      </c>
      <c r="M19" s="31">
        <f t="shared" si="0"/>
        <v>2317.94</v>
      </c>
      <c r="N19" s="27">
        <f t="shared" si="1"/>
        <v>297.59999999999991</v>
      </c>
      <c r="O19" s="41">
        <f t="shared" si="2"/>
        <v>2.4000000000000909</v>
      </c>
      <c r="P19" s="28"/>
    </row>
    <row r="20" spans="1:16" ht="15.75" customHeight="1" x14ac:dyDescent="0.35">
      <c r="A20" s="26">
        <v>45492</v>
      </c>
      <c r="B20" s="9">
        <v>2004.47</v>
      </c>
      <c r="C20" s="9">
        <v>1021.21</v>
      </c>
      <c r="D20" s="9">
        <v>81.3</v>
      </c>
      <c r="E20" s="9"/>
      <c r="F20" s="9"/>
      <c r="G20" s="9"/>
      <c r="H20" s="9"/>
      <c r="I20" s="9"/>
      <c r="J20" s="9"/>
      <c r="K20" s="73">
        <f>578</f>
        <v>578</v>
      </c>
      <c r="L20" s="9">
        <v>320</v>
      </c>
      <c r="M20" s="31">
        <f t="shared" si="0"/>
        <v>2000.51</v>
      </c>
      <c r="N20" s="27">
        <f>L20-O20</f>
        <v>323.96000000000004</v>
      </c>
      <c r="O20" s="41">
        <f t="shared" si="2"/>
        <v>-3.9600000000000364</v>
      </c>
      <c r="P20" s="28"/>
    </row>
    <row r="21" spans="1:16" ht="15.75" customHeight="1" x14ac:dyDescent="0.35">
      <c r="A21" s="26">
        <v>45493</v>
      </c>
      <c r="B21" s="9">
        <v>1740.78</v>
      </c>
      <c r="C21" s="9">
        <v>1233.8699999999999</v>
      </c>
      <c r="D21" s="9">
        <v>226.3</v>
      </c>
      <c r="E21" s="9"/>
      <c r="F21" s="9"/>
      <c r="G21" s="9"/>
      <c r="H21" s="9">
        <v>18.899999999999999</v>
      </c>
      <c r="I21" s="9"/>
      <c r="J21" s="9"/>
      <c r="K21" s="9"/>
      <c r="L21" s="9">
        <v>260</v>
      </c>
      <c r="M21" s="31">
        <f t="shared" si="0"/>
        <v>1739.07</v>
      </c>
      <c r="N21" s="27">
        <f t="shared" si="1"/>
        <v>261.71000000000004</v>
      </c>
      <c r="O21" s="41">
        <f t="shared" si="2"/>
        <v>-1.7100000000000364</v>
      </c>
      <c r="P21" s="28"/>
    </row>
    <row r="22" spans="1:16" ht="15.75" customHeight="1" x14ac:dyDescent="0.35">
      <c r="A22" s="26">
        <v>45494</v>
      </c>
      <c r="B22" s="9">
        <v>2483.61</v>
      </c>
      <c r="C22" s="9">
        <v>1669.14</v>
      </c>
      <c r="D22" s="9">
        <v>183.6</v>
      </c>
      <c r="E22" s="9"/>
      <c r="F22" s="9"/>
      <c r="G22" s="9"/>
      <c r="H22" s="9">
        <v>37.799999999999997</v>
      </c>
      <c r="I22" s="9"/>
      <c r="J22" s="9"/>
      <c r="K22" s="9"/>
      <c r="L22" s="9">
        <v>595</v>
      </c>
      <c r="M22" s="31">
        <f t="shared" si="0"/>
        <v>2485.54</v>
      </c>
      <c r="N22" s="27">
        <f t="shared" si="1"/>
        <v>593.07000000000016</v>
      </c>
      <c r="O22" s="41">
        <f t="shared" si="2"/>
        <v>1.9299999999998363</v>
      </c>
      <c r="P22" s="28"/>
    </row>
    <row r="23" spans="1:16" ht="15.75" customHeight="1" x14ac:dyDescent="0.35">
      <c r="A23" s="26">
        <v>45495</v>
      </c>
      <c r="B23" s="9">
        <v>2201.4</v>
      </c>
      <c r="C23" s="9">
        <v>1438.46</v>
      </c>
      <c r="D23" s="9">
        <v>300.83999999999997</v>
      </c>
      <c r="E23" s="9"/>
      <c r="F23" s="9"/>
      <c r="G23" s="9"/>
      <c r="H23" s="9">
        <v>32.9</v>
      </c>
      <c r="I23" s="9"/>
      <c r="J23" s="9"/>
      <c r="K23" s="9"/>
      <c r="L23" s="9">
        <v>440</v>
      </c>
      <c r="M23" s="31">
        <f t="shared" si="0"/>
        <v>2212.1999999999998</v>
      </c>
      <c r="N23" s="27">
        <f t="shared" si="1"/>
        <v>429.20000000000027</v>
      </c>
      <c r="O23" s="41">
        <f t="shared" si="2"/>
        <v>10.799999999999727</v>
      </c>
      <c r="P23" s="28"/>
    </row>
    <row r="24" spans="1:16" ht="15.75" customHeight="1" x14ac:dyDescent="0.35">
      <c r="A24" s="26">
        <v>45496</v>
      </c>
      <c r="B24" s="9">
        <v>1719.54</v>
      </c>
      <c r="C24" s="9">
        <v>1117.7</v>
      </c>
      <c r="D24" s="9">
        <v>171.44</v>
      </c>
      <c r="E24" s="9"/>
      <c r="F24" s="9"/>
      <c r="G24" s="9"/>
      <c r="H24" s="9">
        <v>18.899999999999999</v>
      </c>
      <c r="I24" s="9"/>
      <c r="J24" s="9"/>
      <c r="K24" s="9"/>
      <c r="L24" s="9">
        <v>405</v>
      </c>
      <c r="M24" s="31">
        <f t="shared" si="0"/>
        <v>1713.0400000000002</v>
      </c>
      <c r="N24" s="27">
        <f t="shared" si="1"/>
        <v>411.49999999999977</v>
      </c>
      <c r="O24" s="41">
        <f t="shared" si="2"/>
        <v>-6.4999999999997726</v>
      </c>
      <c r="P24" s="28"/>
    </row>
    <row r="25" spans="1:16" ht="15.75" customHeight="1" x14ac:dyDescent="0.35">
      <c r="A25" s="26">
        <v>45497</v>
      </c>
      <c r="B25" s="9">
        <v>1505.19</v>
      </c>
      <c r="C25" s="9">
        <v>971.81</v>
      </c>
      <c r="D25" s="9">
        <v>156.96</v>
      </c>
      <c r="E25" s="9"/>
      <c r="F25" s="9"/>
      <c r="G25" s="9"/>
      <c r="H25" s="9">
        <v>32.9</v>
      </c>
      <c r="I25" s="9"/>
      <c r="J25" s="9"/>
      <c r="K25" s="9"/>
      <c r="L25" s="9">
        <v>350</v>
      </c>
      <c r="M25" s="31">
        <f t="shared" si="0"/>
        <v>1511.67</v>
      </c>
      <c r="N25" s="27">
        <f t="shared" si="1"/>
        <v>343.52</v>
      </c>
      <c r="O25" s="41">
        <f t="shared" si="2"/>
        <v>6.4800000000000182</v>
      </c>
      <c r="P25" s="28"/>
    </row>
    <row r="26" spans="1:16" ht="15.75" customHeight="1" x14ac:dyDescent="0.35">
      <c r="A26" s="26">
        <v>45498</v>
      </c>
      <c r="B26" s="9">
        <v>1611.27</v>
      </c>
      <c r="C26" s="9">
        <v>804.43</v>
      </c>
      <c r="D26" s="9">
        <v>212.38</v>
      </c>
      <c r="E26" s="9"/>
      <c r="F26" s="9"/>
      <c r="G26" s="9"/>
      <c r="H26" s="9">
        <v>18.899999999999999</v>
      </c>
      <c r="I26" s="9"/>
      <c r="J26" s="9"/>
      <c r="K26" s="73">
        <f>96.72+56.49+116.42</f>
        <v>269.63</v>
      </c>
      <c r="L26" s="9">
        <v>300</v>
      </c>
      <c r="M26" s="31">
        <f t="shared" si="0"/>
        <v>1605.3400000000001</v>
      </c>
      <c r="N26" s="27">
        <f t="shared" si="1"/>
        <v>305.92999999999984</v>
      </c>
      <c r="O26" s="41">
        <f t="shared" si="2"/>
        <v>-5.9299999999998363</v>
      </c>
      <c r="P26" s="28"/>
    </row>
    <row r="27" spans="1:16" ht="15.75" customHeight="1" x14ac:dyDescent="0.35">
      <c r="A27" s="26">
        <v>45499</v>
      </c>
      <c r="B27" s="9">
        <v>3024.66</v>
      </c>
      <c r="C27" s="9">
        <v>929.26</v>
      </c>
      <c r="D27" s="9">
        <v>151.38</v>
      </c>
      <c r="E27" s="9"/>
      <c r="F27" s="9"/>
      <c r="G27" s="9"/>
      <c r="H27" s="9"/>
      <c r="I27" s="9"/>
      <c r="J27" s="9"/>
      <c r="K27" s="73">
        <f>472.5+1071.42</f>
        <v>1543.92</v>
      </c>
      <c r="L27" s="9">
        <v>375</v>
      </c>
      <c r="M27" s="31">
        <f t="shared" si="0"/>
        <v>2999.56</v>
      </c>
      <c r="N27" s="27">
        <f t="shared" si="1"/>
        <v>400.09999999999991</v>
      </c>
      <c r="O27" s="41">
        <f t="shared" si="2"/>
        <v>-25.099999999999909</v>
      </c>
      <c r="P27" s="28"/>
    </row>
    <row r="28" spans="1:16" ht="15.75" customHeight="1" x14ac:dyDescent="0.35">
      <c r="A28" s="26">
        <v>45500</v>
      </c>
      <c r="B28" s="9">
        <v>2807.73</v>
      </c>
      <c r="C28" s="9">
        <v>1784.87</v>
      </c>
      <c r="D28" s="9">
        <v>164.2</v>
      </c>
      <c r="E28" s="9"/>
      <c r="F28" s="9"/>
      <c r="G28" s="9"/>
      <c r="H28" s="9">
        <v>37.799999999999997</v>
      </c>
      <c r="I28" s="9"/>
      <c r="J28" s="9"/>
      <c r="K28" s="73">
        <v>111.66</v>
      </c>
      <c r="L28" s="9">
        <v>730</v>
      </c>
      <c r="M28" s="31">
        <f t="shared" si="0"/>
        <v>2828.5299999999997</v>
      </c>
      <c r="N28" s="27">
        <f t="shared" si="1"/>
        <v>709.20000000000027</v>
      </c>
      <c r="O28" s="41">
        <f t="shared" si="2"/>
        <v>20.799999999999727</v>
      </c>
      <c r="P28" s="28"/>
    </row>
    <row r="29" spans="1:16" ht="15.75" customHeight="1" x14ac:dyDescent="0.35">
      <c r="A29" s="26">
        <v>45501</v>
      </c>
      <c r="B29" s="9">
        <v>1866.3</v>
      </c>
      <c r="C29" s="9">
        <v>1217.8800000000001</v>
      </c>
      <c r="D29" s="9">
        <v>198.42</v>
      </c>
      <c r="E29" s="9"/>
      <c r="F29" s="9"/>
      <c r="G29" s="9"/>
      <c r="H29" s="9">
        <v>52.8</v>
      </c>
      <c r="I29" s="9"/>
      <c r="J29" s="9"/>
      <c r="K29" s="9"/>
      <c r="L29" s="9">
        <v>400</v>
      </c>
      <c r="M29" s="31">
        <f>C29+D29+E29+F29+G29+H29+I29+J29+L29+K29</f>
        <v>1869.1000000000001</v>
      </c>
      <c r="N29" s="27">
        <f t="shared" si="1"/>
        <v>397.19999999999982</v>
      </c>
      <c r="O29" s="41">
        <f t="shared" si="2"/>
        <v>2.8000000000001819</v>
      </c>
      <c r="P29" s="28"/>
    </row>
    <row r="30" spans="1:16" ht="15.75" customHeight="1" x14ac:dyDescent="0.35">
      <c r="A30" s="26">
        <v>45502</v>
      </c>
      <c r="B30" s="9">
        <v>1042.45</v>
      </c>
      <c r="C30" s="9">
        <v>704.51</v>
      </c>
      <c r="D30" s="9">
        <v>57.3</v>
      </c>
      <c r="E30" s="9"/>
      <c r="F30" s="9"/>
      <c r="G30" s="9"/>
      <c r="H30" s="9">
        <v>71.7</v>
      </c>
      <c r="I30" s="9"/>
      <c r="J30" s="9"/>
      <c r="K30" s="9"/>
      <c r="L30" s="9">
        <v>210</v>
      </c>
      <c r="M30" s="31">
        <f t="shared" si="0"/>
        <v>1043.51</v>
      </c>
      <c r="N30" s="27">
        <f t="shared" si="1"/>
        <v>208.94000000000005</v>
      </c>
      <c r="O30" s="41">
        <f t="shared" si="2"/>
        <v>1.0599999999999454</v>
      </c>
      <c r="P30" s="28"/>
    </row>
    <row r="31" spans="1:16" ht="15.75" customHeight="1" x14ac:dyDescent="0.35">
      <c r="A31" s="26">
        <v>45503</v>
      </c>
      <c r="B31" s="9">
        <v>1383.2</v>
      </c>
      <c r="C31" s="9">
        <v>875</v>
      </c>
      <c r="D31" s="9">
        <v>59.8</v>
      </c>
      <c r="E31" s="9"/>
      <c r="F31" s="9"/>
      <c r="G31" s="9"/>
      <c r="H31" s="9">
        <v>51.9</v>
      </c>
      <c r="I31" s="9"/>
      <c r="J31" s="9"/>
      <c r="K31" s="9"/>
      <c r="L31" s="9">
        <v>390</v>
      </c>
      <c r="M31" s="31">
        <f t="shared" si="0"/>
        <v>1376.6999999999998</v>
      </c>
      <c r="N31" s="27">
        <f t="shared" si="1"/>
        <v>396.50000000000023</v>
      </c>
      <c r="O31" s="41">
        <f t="shared" si="2"/>
        <v>-6.5000000000002274</v>
      </c>
      <c r="P31" s="28"/>
    </row>
    <row r="32" spans="1:16" ht="15.75" customHeight="1" x14ac:dyDescent="0.35">
      <c r="A32" s="26">
        <v>45504</v>
      </c>
      <c r="B32" s="44">
        <v>1709.9</v>
      </c>
      <c r="C32" s="44">
        <v>608.26</v>
      </c>
      <c r="D32" s="44">
        <v>123.4</v>
      </c>
      <c r="E32" s="9"/>
      <c r="F32" s="9"/>
      <c r="G32" s="9"/>
      <c r="H32" s="44">
        <v>51.8</v>
      </c>
      <c r="I32" s="9"/>
      <c r="J32" s="9"/>
      <c r="K32" s="73">
        <f>445.92+139.84+148.5</f>
        <v>734.26</v>
      </c>
      <c r="L32" s="44">
        <v>195</v>
      </c>
      <c r="M32" s="31">
        <f t="shared" si="0"/>
        <v>1712.7199999999998</v>
      </c>
      <c r="N32" s="27">
        <f t="shared" si="1"/>
        <v>192.18000000000029</v>
      </c>
      <c r="O32" s="41">
        <f t="shared" si="2"/>
        <v>2.819999999999709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52489.209999999992</v>
      </c>
      <c r="N33" s="72">
        <f>M33-O33</f>
        <v>52507.499999999993</v>
      </c>
      <c r="O33" s="49">
        <f>SUM(O2:O32)</f>
        <v>-18.290000000000418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000"/>
  <sheetViews>
    <sheetView workbookViewId="0">
      <pane ySplit="1" topLeftCell="A25" activePane="bottomLeft" state="frozen"/>
      <selection pane="bottomLeft" activeCell="B2" sqref="B2:B7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9.58203125" customWidth="1"/>
    <col min="4" max="4" width="11.5" customWidth="1"/>
    <col min="5" max="5" width="16.33203125" customWidth="1"/>
    <col min="6" max="6" width="16" customWidth="1"/>
    <col min="7" max="7" width="8.5" customWidth="1"/>
    <col min="8" max="8" width="10.33203125" customWidth="1"/>
    <col min="9" max="10" width="8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45139</v>
      </c>
      <c r="B2" s="9">
        <v>939.35</v>
      </c>
      <c r="C2" s="9">
        <v>416.7</v>
      </c>
      <c r="D2" s="9">
        <v>126.65</v>
      </c>
      <c r="E2" s="9"/>
      <c r="F2" s="9"/>
      <c r="G2" s="9"/>
      <c r="H2" s="9">
        <v>65.8</v>
      </c>
      <c r="I2" s="9"/>
      <c r="J2" s="9"/>
      <c r="K2" s="9"/>
      <c r="L2" s="9">
        <v>330</v>
      </c>
      <c r="M2" s="31">
        <f t="shared" ref="M2:M32" si="0">C2+D2+E2+F2+G2+H2+I2+J2+L2+K2</f>
        <v>939.15</v>
      </c>
      <c r="N2" s="27">
        <f t="shared" ref="N2:N32" si="1">L2-O2</f>
        <v>330.20000000000005</v>
      </c>
      <c r="O2" s="32">
        <f t="shared" ref="O2:O32" si="2">M2-B2-F2</f>
        <v>-0.20000000000004547</v>
      </c>
      <c r="P2" s="33">
        <v>70</v>
      </c>
    </row>
    <row r="3" spans="1:18" ht="15.75" customHeight="1" x14ac:dyDescent="0.35">
      <c r="A3" s="26">
        <v>45140</v>
      </c>
      <c r="B3" s="9">
        <v>950.04</v>
      </c>
      <c r="C3" s="9">
        <v>545.48</v>
      </c>
      <c r="D3" s="9">
        <v>63.9</v>
      </c>
      <c r="E3" s="9"/>
      <c r="F3" s="9"/>
      <c r="G3" s="9"/>
      <c r="H3" s="9"/>
      <c r="I3" s="9"/>
      <c r="J3" s="9"/>
      <c r="K3" s="16">
        <v>141.58000000000001</v>
      </c>
      <c r="L3" s="9">
        <v>200</v>
      </c>
      <c r="M3" s="31">
        <f t="shared" si="0"/>
        <v>950.96</v>
      </c>
      <c r="N3" s="27">
        <f t="shared" si="1"/>
        <v>199.07999999999993</v>
      </c>
      <c r="O3" s="70">
        <f t="shared" si="2"/>
        <v>0.92000000000007276</v>
      </c>
      <c r="P3" s="28">
        <v>65</v>
      </c>
      <c r="Q3" s="56"/>
    </row>
    <row r="4" spans="1:18" ht="15.75" customHeight="1" x14ac:dyDescent="0.35">
      <c r="A4" s="26">
        <v>45141</v>
      </c>
      <c r="B4" s="9">
        <v>1019.64</v>
      </c>
      <c r="C4" s="9">
        <v>707.84</v>
      </c>
      <c r="D4" s="9">
        <v>58.4</v>
      </c>
      <c r="E4" s="9"/>
      <c r="F4" s="9"/>
      <c r="G4" s="9">
        <v>18.899999999999999</v>
      </c>
      <c r="H4" s="9"/>
      <c r="I4" s="9"/>
      <c r="J4" s="9"/>
      <c r="K4" s="9"/>
      <c r="L4" s="9">
        <v>235</v>
      </c>
      <c r="M4" s="31">
        <f t="shared" si="0"/>
        <v>1020.14</v>
      </c>
      <c r="N4" s="27">
        <f t="shared" si="1"/>
        <v>234.5</v>
      </c>
      <c r="O4" s="41">
        <f t="shared" si="2"/>
        <v>0.5</v>
      </c>
      <c r="P4" s="28"/>
    </row>
    <row r="5" spans="1:18" ht="15.75" customHeight="1" x14ac:dyDescent="0.35">
      <c r="A5" s="26">
        <v>45142</v>
      </c>
      <c r="B5" s="9">
        <v>1284.32</v>
      </c>
      <c r="C5" s="9">
        <v>867.8</v>
      </c>
      <c r="D5" s="9">
        <v>55.8</v>
      </c>
      <c r="E5" s="9"/>
      <c r="F5" s="9"/>
      <c r="G5" s="9"/>
      <c r="H5" s="9"/>
      <c r="I5" s="9"/>
      <c r="J5" s="9"/>
      <c r="K5" s="9"/>
      <c r="L5" s="9">
        <v>360</v>
      </c>
      <c r="M5" s="31">
        <f t="shared" si="0"/>
        <v>1283.5999999999999</v>
      </c>
      <c r="N5" s="27">
        <f t="shared" si="1"/>
        <v>360.72</v>
      </c>
      <c r="O5" s="41">
        <f t="shared" si="2"/>
        <v>-0.72000000000002728</v>
      </c>
      <c r="P5" s="28"/>
    </row>
    <row r="6" spans="1:18" ht="15.75" customHeight="1" x14ac:dyDescent="0.35">
      <c r="A6" s="26">
        <v>45143</v>
      </c>
      <c r="B6" s="9">
        <v>2145.3200000000002</v>
      </c>
      <c r="C6" s="9">
        <v>1475.7</v>
      </c>
      <c r="D6" s="9">
        <v>156.69999999999999</v>
      </c>
      <c r="E6" s="9"/>
      <c r="F6" s="9"/>
      <c r="G6" s="9"/>
      <c r="H6" s="9">
        <v>20.9</v>
      </c>
      <c r="I6" s="9"/>
      <c r="J6" s="9"/>
      <c r="K6" s="9"/>
      <c r="L6" s="9">
        <v>510</v>
      </c>
      <c r="M6" s="31">
        <f t="shared" si="0"/>
        <v>2163.3000000000002</v>
      </c>
      <c r="N6" s="27">
        <f t="shared" si="1"/>
        <v>492.02</v>
      </c>
      <c r="O6" s="41">
        <f t="shared" si="2"/>
        <v>17.980000000000018</v>
      </c>
      <c r="P6" s="28"/>
    </row>
    <row r="7" spans="1:18" ht="15.75" customHeight="1" x14ac:dyDescent="0.35">
      <c r="A7" s="26">
        <v>45144</v>
      </c>
      <c r="B7" s="9">
        <v>2096.2800000000002</v>
      </c>
      <c r="C7" s="9">
        <v>1256.8</v>
      </c>
      <c r="D7" s="9">
        <v>228.48</v>
      </c>
      <c r="E7" s="9"/>
      <c r="F7" s="9"/>
      <c r="G7" s="9"/>
      <c r="H7" s="9">
        <v>73.8</v>
      </c>
      <c r="I7" s="9"/>
      <c r="J7" s="9"/>
      <c r="K7" s="9"/>
      <c r="L7" s="9">
        <v>530</v>
      </c>
      <c r="M7" s="31">
        <f t="shared" si="0"/>
        <v>2089.08</v>
      </c>
      <c r="N7" s="27">
        <f t="shared" si="1"/>
        <v>537.20000000000027</v>
      </c>
      <c r="O7" s="41">
        <f t="shared" si="2"/>
        <v>-7.2000000000002728</v>
      </c>
      <c r="P7" s="28"/>
    </row>
    <row r="8" spans="1:18" ht="15.75" customHeight="1" x14ac:dyDescent="0.35">
      <c r="A8" s="26">
        <v>45145</v>
      </c>
      <c r="B8" s="9">
        <v>1858.46</v>
      </c>
      <c r="C8" s="9">
        <v>984.46</v>
      </c>
      <c r="D8" s="9">
        <v>173.7</v>
      </c>
      <c r="E8" s="9"/>
      <c r="F8" s="9"/>
      <c r="G8" s="9"/>
      <c r="H8" s="9">
        <v>58.7</v>
      </c>
      <c r="I8" s="9"/>
      <c r="J8" s="9"/>
      <c r="K8" s="9"/>
      <c r="L8" s="9">
        <v>645</v>
      </c>
      <c r="M8" s="31">
        <f t="shared" si="0"/>
        <v>1861.8600000000001</v>
      </c>
      <c r="N8" s="27">
        <f t="shared" si="1"/>
        <v>641.59999999999991</v>
      </c>
      <c r="O8" s="41">
        <f t="shared" si="2"/>
        <v>3.4000000000000909</v>
      </c>
      <c r="P8" s="28"/>
    </row>
    <row r="9" spans="1:18" ht="15.75" customHeight="1" x14ac:dyDescent="0.35">
      <c r="A9" s="26">
        <v>45146</v>
      </c>
      <c r="B9" s="9">
        <v>1845.52</v>
      </c>
      <c r="C9" s="9">
        <v>826.02</v>
      </c>
      <c r="D9" s="9">
        <v>121.7</v>
      </c>
      <c r="E9" s="9"/>
      <c r="F9" s="9"/>
      <c r="G9" s="9"/>
      <c r="H9" s="9">
        <v>37.799999999999997</v>
      </c>
      <c r="I9" s="9"/>
      <c r="J9" s="9"/>
      <c r="K9" s="16">
        <v>350</v>
      </c>
      <c r="L9" s="9">
        <v>510</v>
      </c>
      <c r="M9" s="31">
        <f t="shared" si="0"/>
        <v>1845.52</v>
      </c>
      <c r="N9" s="27">
        <f t="shared" si="1"/>
        <v>510</v>
      </c>
      <c r="O9" s="41">
        <f t="shared" si="2"/>
        <v>0</v>
      </c>
      <c r="P9" s="28"/>
    </row>
    <row r="10" spans="1:18" ht="15.75" customHeight="1" x14ac:dyDescent="0.35">
      <c r="A10" s="26">
        <v>45147</v>
      </c>
      <c r="B10" s="9">
        <v>1305.67</v>
      </c>
      <c r="C10" s="9">
        <v>719.8</v>
      </c>
      <c r="D10" s="9">
        <v>77.900000000000006</v>
      </c>
      <c r="E10" s="9"/>
      <c r="F10" s="9"/>
      <c r="G10" s="9"/>
      <c r="H10" s="9">
        <v>18.899999999999999</v>
      </c>
      <c r="I10" s="9"/>
      <c r="J10" s="9"/>
      <c r="K10" s="16">
        <v>111.57</v>
      </c>
      <c r="L10" s="9">
        <v>380</v>
      </c>
      <c r="M10" s="31">
        <f t="shared" si="0"/>
        <v>1308.1699999999998</v>
      </c>
      <c r="N10" s="27">
        <f t="shared" si="1"/>
        <v>377.50000000000023</v>
      </c>
      <c r="O10" s="41">
        <f t="shared" si="2"/>
        <v>2.4999999999997726</v>
      </c>
      <c r="P10" s="28"/>
    </row>
    <row r="11" spans="1:18" ht="15.75" customHeight="1" x14ac:dyDescent="0.35">
      <c r="A11" s="26">
        <v>45148</v>
      </c>
      <c r="B11" s="9">
        <v>1322.82</v>
      </c>
      <c r="C11" s="9">
        <v>802</v>
      </c>
      <c r="D11" s="9">
        <v>112.82</v>
      </c>
      <c r="E11" s="9"/>
      <c r="F11" s="9"/>
      <c r="G11" s="9"/>
      <c r="H11" s="9">
        <v>32.9</v>
      </c>
      <c r="I11" s="9"/>
      <c r="J11" s="9"/>
      <c r="K11" s="9"/>
      <c r="L11" s="9">
        <v>375</v>
      </c>
      <c r="M11" s="31">
        <f t="shared" si="0"/>
        <v>1322.7199999999998</v>
      </c>
      <c r="N11" s="27">
        <f t="shared" si="1"/>
        <v>375.10000000000014</v>
      </c>
      <c r="O11" s="41">
        <f t="shared" si="2"/>
        <v>-0.10000000000013642</v>
      </c>
      <c r="P11" s="28"/>
    </row>
    <row r="12" spans="1:18" ht="15.75" customHeight="1" x14ac:dyDescent="0.35">
      <c r="A12" s="26">
        <v>45149</v>
      </c>
      <c r="B12" s="9">
        <v>1547.86</v>
      </c>
      <c r="C12" s="9">
        <v>957.32</v>
      </c>
      <c r="D12" s="9">
        <v>110.1</v>
      </c>
      <c r="E12" s="9"/>
      <c r="F12" s="9"/>
      <c r="G12" s="9">
        <v>18.899999999999999</v>
      </c>
      <c r="H12" s="9"/>
      <c r="I12" s="9"/>
      <c r="J12" s="9"/>
      <c r="K12" s="9"/>
      <c r="L12" s="9">
        <v>460</v>
      </c>
      <c r="M12" s="31">
        <f t="shared" si="0"/>
        <v>1546.3200000000002</v>
      </c>
      <c r="N12" s="27">
        <f t="shared" si="1"/>
        <v>461.53999999999974</v>
      </c>
      <c r="O12" s="41">
        <f t="shared" si="2"/>
        <v>-1.5399999999997362</v>
      </c>
      <c r="P12" s="28"/>
      <c r="Q12" s="56"/>
    </row>
    <row r="13" spans="1:18" ht="15.75" customHeight="1" x14ac:dyDescent="0.35">
      <c r="A13" s="26">
        <v>45150</v>
      </c>
      <c r="B13" s="9">
        <v>1617.92</v>
      </c>
      <c r="C13" s="9">
        <v>1070.1199999999999</v>
      </c>
      <c r="D13" s="9">
        <v>57.3</v>
      </c>
      <c r="E13" s="9"/>
      <c r="F13" s="9"/>
      <c r="G13" s="9"/>
      <c r="H13" s="9">
        <v>19.899999999999999</v>
      </c>
      <c r="I13" s="9"/>
      <c r="J13" s="9"/>
      <c r="K13" s="9"/>
      <c r="L13" s="9">
        <v>470</v>
      </c>
      <c r="M13" s="31">
        <f t="shared" si="0"/>
        <v>1617.32</v>
      </c>
      <c r="N13" s="27">
        <f t="shared" si="1"/>
        <v>470.60000000000014</v>
      </c>
      <c r="O13" s="41">
        <f t="shared" si="2"/>
        <v>-0.60000000000013642</v>
      </c>
      <c r="P13" s="28"/>
    </row>
    <row r="14" spans="1:18" ht="15.75" customHeight="1" x14ac:dyDescent="0.35">
      <c r="A14" s="26">
        <v>45151</v>
      </c>
      <c r="B14" s="9">
        <v>1573.86</v>
      </c>
      <c r="C14" s="9">
        <v>1150.8</v>
      </c>
      <c r="D14" s="9">
        <v>0</v>
      </c>
      <c r="E14" s="9"/>
      <c r="F14" s="9"/>
      <c r="G14" s="9"/>
      <c r="H14" s="9">
        <v>36.9</v>
      </c>
      <c r="I14" s="9"/>
      <c r="J14" s="9"/>
      <c r="K14" s="9"/>
      <c r="L14" s="9">
        <v>380</v>
      </c>
      <c r="M14" s="31">
        <f t="shared" si="0"/>
        <v>1567.7</v>
      </c>
      <c r="N14" s="27">
        <f t="shared" si="1"/>
        <v>386.15999999999985</v>
      </c>
      <c r="O14" s="41">
        <f t="shared" si="2"/>
        <v>-6.1599999999998545</v>
      </c>
      <c r="P14" s="28"/>
    </row>
    <row r="15" spans="1:18" ht="15.75" customHeight="1" x14ac:dyDescent="0.35">
      <c r="A15" s="26">
        <v>45152</v>
      </c>
      <c r="B15" s="9">
        <v>1149.3800000000001</v>
      </c>
      <c r="C15" s="9">
        <v>676.88</v>
      </c>
      <c r="D15" s="9">
        <v>88.2</v>
      </c>
      <c r="E15" s="9"/>
      <c r="F15" s="9"/>
      <c r="G15" s="9"/>
      <c r="H15" s="9">
        <v>37.799999999999997</v>
      </c>
      <c r="I15" s="9"/>
      <c r="J15" s="9"/>
      <c r="K15" s="9"/>
      <c r="L15" s="9">
        <v>345</v>
      </c>
      <c r="M15" s="31">
        <f t="shared" si="0"/>
        <v>1147.8800000000001</v>
      </c>
      <c r="N15" s="27">
        <f t="shared" si="1"/>
        <v>346.5</v>
      </c>
      <c r="O15" s="41">
        <f t="shared" si="2"/>
        <v>-1.5</v>
      </c>
      <c r="P15" s="28"/>
    </row>
    <row r="16" spans="1:18" ht="15.75" customHeight="1" x14ac:dyDescent="0.35">
      <c r="A16" s="26">
        <v>45153</v>
      </c>
      <c r="B16" s="9">
        <v>1995.91</v>
      </c>
      <c r="C16" s="9">
        <v>1228.6500000000001</v>
      </c>
      <c r="D16" s="9">
        <v>140.80000000000001</v>
      </c>
      <c r="E16" s="9"/>
      <c r="F16" s="9"/>
      <c r="G16" s="9">
        <v>18.899999999999999</v>
      </c>
      <c r="H16" s="9">
        <v>19</v>
      </c>
      <c r="I16" s="9"/>
      <c r="J16" s="9"/>
      <c r="K16" s="9"/>
      <c r="L16" s="9">
        <v>590</v>
      </c>
      <c r="M16" s="31">
        <f t="shared" si="0"/>
        <v>1997.3500000000001</v>
      </c>
      <c r="N16" s="27">
        <f t="shared" si="1"/>
        <v>588.55999999999995</v>
      </c>
      <c r="O16" s="41">
        <f t="shared" si="2"/>
        <v>1.4400000000000546</v>
      </c>
      <c r="P16" s="28"/>
    </row>
    <row r="17" spans="1:16" ht="15.75" customHeight="1" x14ac:dyDescent="0.35">
      <c r="A17" s="26">
        <v>45154</v>
      </c>
      <c r="B17" s="9">
        <v>1091.24</v>
      </c>
      <c r="C17" s="9">
        <v>785.44</v>
      </c>
      <c r="D17" s="9">
        <v>60.7</v>
      </c>
      <c r="E17" s="9"/>
      <c r="F17" s="9"/>
      <c r="G17" s="9"/>
      <c r="H17" s="9">
        <v>18.899999999999999</v>
      </c>
      <c r="I17" s="9"/>
      <c r="J17" s="9"/>
      <c r="K17" s="9"/>
      <c r="L17" s="9">
        <v>230</v>
      </c>
      <c r="M17" s="31">
        <f t="shared" si="0"/>
        <v>1095.04</v>
      </c>
      <c r="N17" s="27">
        <f t="shared" si="1"/>
        <v>226.20000000000005</v>
      </c>
      <c r="O17" s="41">
        <f t="shared" si="2"/>
        <v>3.7999999999999545</v>
      </c>
      <c r="P17" s="28"/>
    </row>
    <row r="18" spans="1:16" ht="15.75" customHeight="1" x14ac:dyDescent="0.35">
      <c r="A18" s="26">
        <v>45155</v>
      </c>
      <c r="B18" s="9">
        <v>1069.54</v>
      </c>
      <c r="C18" s="9">
        <v>590.79999999999995</v>
      </c>
      <c r="D18" s="9">
        <v>70.7</v>
      </c>
      <c r="E18" s="9"/>
      <c r="F18" s="9"/>
      <c r="G18" s="9"/>
      <c r="H18" s="9"/>
      <c r="I18" s="9"/>
      <c r="J18" s="9"/>
      <c r="K18" s="16">
        <v>140.94</v>
      </c>
      <c r="L18" s="9">
        <v>265</v>
      </c>
      <c r="M18" s="31">
        <f t="shared" si="0"/>
        <v>1067.44</v>
      </c>
      <c r="N18" s="27">
        <f t="shared" si="1"/>
        <v>267.09999999999991</v>
      </c>
      <c r="O18" s="41">
        <f t="shared" si="2"/>
        <v>-2.0999999999999091</v>
      </c>
      <c r="P18" s="28"/>
    </row>
    <row r="19" spans="1:16" ht="15.75" customHeight="1" x14ac:dyDescent="0.35">
      <c r="A19" s="26">
        <v>45156</v>
      </c>
      <c r="B19" s="9">
        <v>1128.48</v>
      </c>
      <c r="C19" s="9">
        <v>608.4</v>
      </c>
      <c r="D19" s="9">
        <v>132.88</v>
      </c>
      <c r="E19" s="9"/>
      <c r="F19" s="9"/>
      <c r="G19" s="9"/>
      <c r="H19" s="9"/>
      <c r="I19" s="9"/>
      <c r="J19" s="9"/>
      <c r="K19" s="9"/>
      <c r="L19" s="9">
        <v>405</v>
      </c>
      <c r="M19" s="31">
        <f t="shared" si="0"/>
        <v>1146.28</v>
      </c>
      <c r="N19" s="27">
        <f t="shared" si="1"/>
        <v>387.20000000000005</v>
      </c>
      <c r="O19" s="41">
        <f t="shared" si="2"/>
        <v>17.799999999999955</v>
      </c>
      <c r="P19" s="28"/>
    </row>
    <row r="20" spans="1:16" ht="15.75" customHeight="1" x14ac:dyDescent="0.35">
      <c r="A20" s="26">
        <v>45157</v>
      </c>
      <c r="B20" s="9">
        <v>1201.95</v>
      </c>
      <c r="C20" s="9">
        <v>716.5</v>
      </c>
      <c r="D20" s="9">
        <v>104.2</v>
      </c>
      <c r="E20" s="9"/>
      <c r="F20" s="9"/>
      <c r="G20" s="9"/>
      <c r="H20" s="9">
        <v>18.899999999999999</v>
      </c>
      <c r="I20" s="9"/>
      <c r="J20" s="9"/>
      <c r="K20" s="9"/>
      <c r="L20" s="9">
        <v>360</v>
      </c>
      <c r="M20" s="31">
        <f t="shared" si="0"/>
        <v>1199.5999999999999</v>
      </c>
      <c r="N20" s="27">
        <f t="shared" si="1"/>
        <v>362.35000000000014</v>
      </c>
      <c r="O20" s="41">
        <f t="shared" si="2"/>
        <v>-2.3500000000001364</v>
      </c>
      <c r="P20" s="28"/>
    </row>
    <row r="21" spans="1:16" ht="15.75" customHeight="1" x14ac:dyDescent="0.35">
      <c r="A21" s="26">
        <v>45158</v>
      </c>
      <c r="B21" s="9">
        <v>1765.44</v>
      </c>
      <c r="C21" s="9">
        <v>1154.74</v>
      </c>
      <c r="D21" s="9">
        <v>128.1</v>
      </c>
      <c r="E21" s="9"/>
      <c r="F21" s="9"/>
      <c r="G21" s="9"/>
      <c r="H21" s="9"/>
      <c r="I21" s="9"/>
      <c r="J21" s="9"/>
      <c r="K21" s="9"/>
      <c r="L21" s="9">
        <v>485</v>
      </c>
      <c r="M21" s="31">
        <f t="shared" si="0"/>
        <v>1767.84</v>
      </c>
      <c r="N21" s="27">
        <f t="shared" si="1"/>
        <v>482.60000000000014</v>
      </c>
      <c r="O21" s="41">
        <f t="shared" si="2"/>
        <v>2.3999999999998636</v>
      </c>
      <c r="P21" s="28"/>
    </row>
    <row r="22" spans="1:16" ht="15.75" customHeight="1" x14ac:dyDescent="0.35">
      <c r="A22" s="26">
        <v>45159</v>
      </c>
      <c r="B22" s="9">
        <v>1510.12</v>
      </c>
      <c r="C22" s="9">
        <v>832</v>
      </c>
      <c r="D22" s="9">
        <v>72.599999999999994</v>
      </c>
      <c r="E22" s="9"/>
      <c r="F22" s="9"/>
      <c r="G22" s="9">
        <v>18.899999999999999</v>
      </c>
      <c r="H22" s="9">
        <v>37.799999999999997</v>
      </c>
      <c r="I22" s="9"/>
      <c r="J22" s="9"/>
      <c r="K22" s="9"/>
      <c r="L22" s="9">
        <v>540</v>
      </c>
      <c r="M22" s="31">
        <f t="shared" si="0"/>
        <v>1501.3</v>
      </c>
      <c r="N22" s="27">
        <f t="shared" si="1"/>
        <v>548.81999999999994</v>
      </c>
      <c r="O22" s="41">
        <f t="shared" si="2"/>
        <v>-8.8199999999999363</v>
      </c>
      <c r="P22" s="28"/>
    </row>
    <row r="23" spans="1:16" ht="15.75" customHeight="1" x14ac:dyDescent="0.35">
      <c r="A23" s="26">
        <v>45160</v>
      </c>
      <c r="B23" s="9">
        <v>1694.84</v>
      </c>
      <c r="C23" s="9">
        <v>989.4</v>
      </c>
      <c r="D23" s="9">
        <v>100.9</v>
      </c>
      <c r="E23" s="9"/>
      <c r="F23" s="9"/>
      <c r="G23" s="9"/>
      <c r="H23" s="9">
        <v>93.7</v>
      </c>
      <c r="I23" s="9"/>
      <c r="J23" s="9"/>
      <c r="K23" s="9"/>
      <c r="L23" s="9">
        <v>510</v>
      </c>
      <c r="M23" s="31">
        <f t="shared" si="0"/>
        <v>1694</v>
      </c>
      <c r="N23" s="27">
        <f t="shared" si="1"/>
        <v>510.83999999999992</v>
      </c>
      <c r="O23" s="41">
        <f t="shared" si="2"/>
        <v>-0.83999999999991815</v>
      </c>
      <c r="P23" s="28"/>
    </row>
    <row r="24" spans="1:16" ht="15.75" customHeight="1" x14ac:dyDescent="0.35">
      <c r="A24" s="26">
        <v>45161</v>
      </c>
      <c r="B24" s="9">
        <v>4100.1099999999997</v>
      </c>
      <c r="C24" s="9">
        <v>1046.7</v>
      </c>
      <c r="D24" s="9">
        <v>160.18</v>
      </c>
      <c r="E24" s="9"/>
      <c r="F24" s="9"/>
      <c r="G24" s="9"/>
      <c r="H24" s="9"/>
      <c r="I24" s="9"/>
      <c r="J24" s="9"/>
      <c r="K24" s="16">
        <f>2261.53+201.5</f>
        <v>2463.0300000000002</v>
      </c>
      <c r="L24" s="9">
        <v>440</v>
      </c>
      <c r="M24" s="31">
        <f t="shared" si="0"/>
        <v>4109.91</v>
      </c>
      <c r="N24" s="27">
        <f t="shared" si="1"/>
        <v>430.19999999999982</v>
      </c>
      <c r="O24" s="41">
        <f t="shared" si="2"/>
        <v>9.8000000000001819</v>
      </c>
      <c r="P24" s="28"/>
    </row>
    <row r="25" spans="1:16" ht="15.75" customHeight="1" x14ac:dyDescent="0.35">
      <c r="A25" s="26">
        <v>45162</v>
      </c>
      <c r="B25" s="9">
        <v>1419.82</v>
      </c>
      <c r="C25" s="9">
        <v>1003.18</v>
      </c>
      <c r="D25" s="9">
        <v>66.099999999999994</v>
      </c>
      <c r="E25" s="9"/>
      <c r="F25" s="9"/>
      <c r="G25" s="9"/>
      <c r="H25" s="9">
        <v>27.3</v>
      </c>
      <c r="I25" s="9"/>
      <c r="J25" s="9"/>
      <c r="K25" s="9"/>
      <c r="L25" s="9">
        <v>325</v>
      </c>
      <c r="M25" s="31">
        <f t="shared" si="0"/>
        <v>1421.58</v>
      </c>
      <c r="N25" s="27">
        <f t="shared" si="1"/>
        <v>323.24</v>
      </c>
      <c r="O25" s="41">
        <f t="shared" si="2"/>
        <v>1.7599999999999909</v>
      </c>
      <c r="P25" s="28"/>
    </row>
    <row r="26" spans="1:16" ht="15.75" customHeight="1" x14ac:dyDescent="0.35">
      <c r="A26" s="26">
        <v>45163</v>
      </c>
      <c r="B26" s="9">
        <v>1156.68</v>
      </c>
      <c r="C26" s="9">
        <v>693.78</v>
      </c>
      <c r="D26" s="9">
        <v>57.4</v>
      </c>
      <c r="E26" s="9"/>
      <c r="F26" s="9"/>
      <c r="G26" s="9"/>
      <c r="H26" s="9">
        <v>51.8</v>
      </c>
      <c r="I26" s="9"/>
      <c r="J26" s="9"/>
      <c r="K26" s="9"/>
      <c r="L26" s="9">
        <v>350</v>
      </c>
      <c r="M26" s="31">
        <f t="shared" si="0"/>
        <v>1152.98</v>
      </c>
      <c r="N26" s="27">
        <f t="shared" si="1"/>
        <v>353.70000000000005</v>
      </c>
      <c r="O26" s="41">
        <f t="shared" si="2"/>
        <v>-3.7000000000000455</v>
      </c>
      <c r="P26" s="28"/>
    </row>
    <row r="27" spans="1:16" ht="15.75" customHeight="1" x14ac:dyDescent="0.35">
      <c r="A27" s="26">
        <v>45164</v>
      </c>
      <c r="B27" s="9">
        <v>1683.96</v>
      </c>
      <c r="C27" s="9">
        <v>1122.22</v>
      </c>
      <c r="D27" s="9">
        <v>96.7</v>
      </c>
      <c r="E27" s="9"/>
      <c r="F27" s="9"/>
      <c r="G27" s="9"/>
      <c r="H27" s="9">
        <v>38.799999999999997</v>
      </c>
      <c r="I27" s="9"/>
      <c r="J27" s="9"/>
      <c r="K27" s="9"/>
      <c r="L27" s="9">
        <v>420</v>
      </c>
      <c r="M27" s="31">
        <f t="shared" si="0"/>
        <v>1677.72</v>
      </c>
      <c r="N27" s="27">
        <f t="shared" si="1"/>
        <v>426.24</v>
      </c>
      <c r="O27" s="41">
        <f t="shared" si="2"/>
        <v>-6.2400000000000091</v>
      </c>
      <c r="P27" s="28"/>
    </row>
    <row r="28" spans="1:16" ht="15.75" customHeight="1" x14ac:dyDescent="0.35">
      <c r="A28" s="26">
        <v>45165</v>
      </c>
      <c r="B28" s="9">
        <v>1450.06</v>
      </c>
      <c r="C28" s="9">
        <v>926.88</v>
      </c>
      <c r="D28" s="9">
        <v>86.3</v>
      </c>
      <c r="E28" s="9"/>
      <c r="F28" s="9"/>
      <c r="G28" s="9"/>
      <c r="H28" s="9">
        <v>43.9</v>
      </c>
      <c r="I28" s="9"/>
      <c r="J28" s="9"/>
      <c r="K28" s="9"/>
      <c r="L28" s="9">
        <v>390</v>
      </c>
      <c r="M28" s="31">
        <f t="shared" si="0"/>
        <v>1447.08</v>
      </c>
      <c r="N28" s="27">
        <f t="shared" si="1"/>
        <v>392.98</v>
      </c>
      <c r="O28" s="41">
        <f t="shared" si="2"/>
        <v>-2.9800000000000182</v>
      </c>
      <c r="P28" s="28"/>
    </row>
    <row r="29" spans="1:16" ht="15.75" customHeight="1" x14ac:dyDescent="0.35">
      <c r="A29" s="26">
        <v>45166</v>
      </c>
      <c r="B29" s="9">
        <v>896.43</v>
      </c>
      <c r="C29" s="9">
        <v>636.33000000000004</v>
      </c>
      <c r="D29" s="9">
        <v>32.299999999999997</v>
      </c>
      <c r="E29" s="9"/>
      <c r="F29" s="9"/>
      <c r="G29" s="9"/>
      <c r="H29" s="9">
        <v>18.899999999999999</v>
      </c>
      <c r="I29" s="9"/>
      <c r="J29" s="9"/>
      <c r="K29" s="9"/>
      <c r="L29" s="9">
        <v>205</v>
      </c>
      <c r="M29" s="31">
        <f t="shared" si="0"/>
        <v>892.53</v>
      </c>
      <c r="N29" s="27">
        <f t="shared" si="1"/>
        <v>208.89999999999998</v>
      </c>
      <c r="O29" s="41">
        <f t="shared" si="2"/>
        <v>-3.8999999999999773</v>
      </c>
      <c r="P29" s="28"/>
    </row>
    <row r="30" spans="1:16" ht="15.75" customHeight="1" x14ac:dyDescent="0.35">
      <c r="A30" s="26">
        <v>45167</v>
      </c>
      <c r="B30" s="9">
        <v>892.24</v>
      </c>
      <c r="C30" s="9">
        <v>475.82</v>
      </c>
      <c r="D30" s="9">
        <v>75.739999999999995</v>
      </c>
      <c r="E30" s="9"/>
      <c r="F30" s="9"/>
      <c r="G30" s="9"/>
      <c r="H30" s="9"/>
      <c r="I30" s="9"/>
      <c r="J30" s="9"/>
      <c r="K30" s="9"/>
      <c r="L30" s="9">
        <v>340</v>
      </c>
      <c r="M30" s="31">
        <f t="shared" si="0"/>
        <v>891.56</v>
      </c>
      <c r="N30" s="27">
        <f t="shared" si="1"/>
        <v>340.68000000000006</v>
      </c>
      <c r="O30" s="41">
        <f t="shared" si="2"/>
        <v>-0.68000000000006366</v>
      </c>
      <c r="P30" s="28"/>
    </row>
    <row r="31" spans="1:16" ht="15.75" customHeight="1" x14ac:dyDescent="0.35">
      <c r="A31" s="26">
        <v>45168</v>
      </c>
      <c r="B31" s="9">
        <v>867.46</v>
      </c>
      <c r="C31" s="9">
        <v>538.05999999999995</v>
      </c>
      <c r="D31" s="9">
        <v>26.4</v>
      </c>
      <c r="E31" s="9"/>
      <c r="F31" s="9"/>
      <c r="G31" s="9"/>
      <c r="H31" s="9"/>
      <c r="I31" s="9"/>
      <c r="J31" s="9"/>
      <c r="K31" s="9"/>
      <c r="L31" s="9">
        <v>280</v>
      </c>
      <c r="M31" s="31">
        <f t="shared" si="0"/>
        <v>844.45999999999992</v>
      </c>
      <c r="N31" s="27">
        <f t="shared" si="1"/>
        <v>303.00000000000011</v>
      </c>
      <c r="O31" s="41">
        <f t="shared" si="2"/>
        <v>-23.000000000000114</v>
      </c>
      <c r="P31" s="28"/>
    </row>
    <row r="32" spans="1:16" ht="15.75" customHeight="1" x14ac:dyDescent="0.35">
      <c r="A32" s="26">
        <v>45169</v>
      </c>
      <c r="B32" s="44">
        <v>1199.81</v>
      </c>
      <c r="C32" s="44">
        <v>626.63</v>
      </c>
      <c r="D32" s="44">
        <v>124.5</v>
      </c>
      <c r="E32" s="9"/>
      <c r="F32" s="9"/>
      <c r="G32" s="9"/>
      <c r="H32" s="44">
        <v>51.8</v>
      </c>
      <c r="I32" s="9"/>
      <c r="J32" s="9"/>
      <c r="K32" s="55"/>
      <c r="L32" s="44">
        <v>390</v>
      </c>
      <c r="M32" s="31">
        <f t="shared" si="0"/>
        <v>1192.9299999999998</v>
      </c>
      <c r="N32" s="27">
        <f t="shared" si="1"/>
        <v>396.88000000000011</v>
      </c>
      <c r="O32" s="41">
        <f t="shared" si="2"/>
        <v>-6.8800000000001091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45763.32</v>
      </c>
      <c r="N33" s="72">
        <f>M33-O33</f>
        <v>45780.53</v>
      </c>
      <c r="O33" s="49">
        <f>SUM(O2:O32)</f>
        <v>-17.210000000000491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8A4D-9103-435A-AB2F-7E4295FE0B0A}">
  <dimension ref="A1:S1001"/>
  <sheetViews>
    <sheetView workbookViewId="0">
      <pane ySplit="2" topLeftCell="A3" activePane="bottomLeft" state="frozen"/>
      <selection pane="bottomLeft" activeCell="C3" sqref="C3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1" spans="1:19" ht="15" customHeight="1" x14ac:dyDescent="0.35">
      <c r="C1">
        <f>MEDIAN(C3:C17)</f>
        <v>2152.83</v>
      </c>
    </row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45505</v>
      </c>
      <c r="B3" s="95" t="s">
        <v>2688</v>
      </c>
      <c r="C3" s="9">
        <f>D3+N3</f>
        <v>974.66</v>
      </c>
      <c r="D3" s="9">
        <f>974.66+0</f>
        <v>974.66</v>
      </c>
      <c r="E3" s="9">
        <v>594.45000000000005</v>
      </c>
      <c r="F3" s="9">
        <v>83.31</v>
      </c>
      <c r="G3" s="9"/>
      <c r="H3" s="9"/>
      <c r="I3" s="9"/>
      <c r="J3" s="9">
        <v>32.9</v>
      </c>
      <c r="K3" s="9"/>
      <c r="L3" s="9"/>
      <c r="M3" s="9"/>
      <c r="N3" s="9"/>
      <c r="O3" s="9">
        <v>270</v>
      </c>
      <c r="P3" s="99">
        <f t="shared" ref="P3:P14" si="0">E3+F3+G3+H3+I3+J3+K3+L3+O3+M3+N3</f>
        <v>980.66</v>
      </c>
      <c r="Q3" s="27">
        <f t="shared" ref="Q3:Q33" si="1">O3-R3</f>
        <v>264</v>
      </c>
      <c r="R3" s="70">
        <f t="shared" ref="R3:R14" si="2">P3-C3-H3</f>
        <v>6</v>
      </c>
      <c r="S3" s="28"/>
    </row>
    <row r="4" spans="1:19" ht="15.75" customHeight="1" x14ac:dyDescent="0.35">
      <c r="A4" s="26">
        <v>45506</v>
      </c>
      <c r="B4" s="95" t="s">
        <v>119</v>
      </c>
      <c r="C4" s="9">
        <f t="shared" ref="C4:C33" si="3">D4+N4</f>
        <v>1345.81</v>
      </c>
      <c r="D4" s="9">
        <f>1345.81+0</f>
        <v>1345.81</v>
      </c>
      <c r="E4" s="9">
        <v>955.51</v>
      </c>
      <c r="F4" s="9">
        <v>92.6</v>
      </c>
      <c r="G4" s="9"/>
      <c r="H4" s="9"/>
      <c r="I4" s="9"/>
      <c r="J4" s="9">
        <v>34</v>
      </c>
      <c r="K4" s="9"/>
      <c r="L4" s="9"/>
      <c r="M4" s="9"/>
      <c r="N4" s="9"/>
      <c r="O4" s="9">
        <v>260</v>
      </c>
      <c r="P4" s="99">
        <f t="shared" si="0"/>
        <v>1342.11</v>
      </c>
      <c r="Q4" s="27">
        <f t="shared" si="1"/>
        <v>263.70000000000005</v>
      </c>
      <c r="R4" s="70">
        <f t="shared" si="2"/>
        <v>-3.7000000000000455</v>
      </c>
      <c r="S4" s="28"/>
    </row>
    <row r="5" spans="1:19" ht="15.75" customHeight="1" x14ac:dyDescent="0.35">
      <c r="A5" s="26">
        <v>45507</v>
      </c>
      <c r="B5" s="95" t="s">
        <v>119</v>
      </c>
      <c r="C5" s="9">
        <f t="shared" si="3"/>
        <v>2501.7399999999998</v>
      </c>
      <c r="D5" s="9">
        <f>2501.74+0</f>
        <v>2501.7399999999998</v>
      </c>
      <c r="E5" s="9">
        <v>1655.36</v>
      </c>
      <c r="F5" s="9">
        <v>237.05</v>
      </c>
      <c r="G5" s="9"/>
      <c r="H5" s="9"/>
      <c r="I5" s="9"/>
      <c r="J5" s="9">
        <v>98.7</v>
      </c>
      <c r="K5" s="9"/>
      <c r="L5" s="9"/>
      <c r="M5" s="73">
        <f>86.15+4.44</f>
        <v>90.59</v>
      </c>
      <c r="N5" s="9"/>
      <c r="O5" s="9">
        <v>420</v>
      </c>
      <c r="P5" s="99">
        <f t="shared" si="0"/>
        <v>2501.6999999999998</v>
      </c>
      <c r="Q5" s="27">
        <f t="shared" si="1"/>
        <v>420.03999999999996</v>
      </c>
      <c r="R5" s="41">
        <f t="shared" si="2"/>
        <v>-3.999999999996362E-2</v>
      </c>
      <c r="S5" s="28"/>
    </row>
    <row r="6" spans="1:19" ht="15.75" customHeight="1" x14ac:dyDescent="0.35">
      <c r="A6" s="26">
        <v>45508</v>
      </c>
      <c r="B6" s="95" t="s">
        <v>119</v>
      </c>
      <c r="C6" s="9">
        <f t="shared" si="3"/>
        <v>2152.83</v>
      </c>
      <c r="D6" s="9">
        <f>2152.83+0</f>
        <v>2152.83</v>
      </c>
      <c r="E6" s="9">
        <v>1464.53</v>
      </c>
      <c r="F6" s="9">
        <v>148.9</v>
      </c>
      <c r="G6" s="9"/>
      <c r="H6" s="9"/>
      <c r="I6" s="9"/>
      <c r="J6" s="9">
        <v>65.8</v>
      </c>
      <c r="K6" s="9"/>
      <c r="L6" s="9"/>
      <c r="M6" s="9"/>
      <c r="N6" s="9"/>
      <c r="O6" s="9">
        <v>470</v>
      </c>
      <c r="P6" s="99">
        <f t="shared" si="0"/>
        <v>2149.23</v>
      </c>
      <c r="Q6" s="27">
        <f>O6-R6</f>
        <v>473.59999999999991</v>
      </c>
      <c r="R6" s="41">
        <f t="shared" si="2"/>
        <v>-3.5999999999999091</v>
      </c>
      <c r="S6" s="28"/>
    </row>
    <row r="7" spans="1:19" ht="15.75" customHeight="1" x14ac:dyDescent="0.35">
      <c r="A7" s="26">
        <v>45509</v>
      </c>
      <c r="B7" s="95" t="s">
        <v>119</v>
      </c>
      <c r="C7" s="9">
        <f t="shared" si="3"/>
        <v>1140.2</v>
      </c>
      <c r="D7" s="9">
        <f>1140.2+0</f>
        <v>1140.2</v>
      </c>
      <c r="E7" s="9">
        <v>721.74</v>
      </c>
      <c r="F7" s="83">
        <v>65.7</v>
      </c>
      <c r="G7" s="9"/>
      <c r="H7" s="9"/>
      <c r="I7" s="9"/>
      <c r="J7" s="9"/>
      <c r="K7" s="9"/>
      <c r="L7" s="9"/>
      <c r="M7" s="9"/>
      <c r="N7" s="9"/>
      <c r="O7" s="9">
        <v>350</v>
      </c>
      <c r="P7" s="99">
        <f t="shared" si="0"/>
        <v>1137.44</v>
      </c>
      <c r="Q7" s="27">
        <f t="shared" si="1"/>
        <v>352.76</v>
      </c>
      <c r="R7" s="41">
        <f t="shared" si="2"/>
        <v>-2.7599999999999909</v>
      </c>
      <c r="S7" s="28"/>
    </row>
    <row r="8" spans="1:19" ht="15.75" customHeight="1" x14ac:dyDescent="0.35">
      <c r="A8" s="26">
        <v>45510</v>
      </c>
      <c r="B8" s="95" t="s">
        <v>119</v>
      </c>
      <c r="C8" s="9">
        <f t="shared" si="3"/>
        <v>1892.15</v>
      </c>
      <c r="D8" s="9">
        <f>1192.55+0</f>
        <v>1192.55</v>
      </c>
      <c r="E8" s="9">
        <v>699.45</v>
      </c>
      <c r="F8" s="9">
        <v>113.14</v>
      </c>
      <c r="G8" s="9"/>
      <c r="H8" s="9"/>
      <c r="I8" s="9"/>
      <c r="J8" s="9">
        <v>85.8</v>
      </c>
      <c r="K8" s="9"/>
      <c r="L8" s="9"/>
      <c r="M8" s="9"/>
      <c r="N8" s="97">
        <v>699.6</v>
      </c>
      <c r="O8" s="9">
        <v>290</v>
      </c>
      <c r="P8" s="99">
        <f t="shared" si="0"/>
        <v>1887.9899999999998</v>
      </c>
      <c r="Q8" s="27">
        <f t="shared" si="1"/>
        <v>294.16000000000031</v>
      </c>
      <c r="R8" s="41">
        <f t="shared" si="2"/>
        <v>-4.1600000000003092</v>
      </c>
      <c r="S8" s="28"/>
    </row>
    <row r="9" spans="1:19" ht="15.75" customHeight="1" x14ac:dyDescent="0.35">
      <c r="A9" s="26">
        <v>45511</v>
      </c>
      <c r="B9" s="95"/>
      <c r="C9" s="9">
        <f t="shared" si="3"/>
        <v>2094.87</v>
      </c>
      <c r="D9" s="9">
        <v>1646.47</v>
      </c>
      <c r="E9" s="9">
        <v>857.7</v>
      </c>
      <c r="F9" s="9">
        <v>113.22</v>
      </c>
      <c r="G9" s="9"/>
      <c r="H9" s="9"/>
      <c r="I9" s="9"/>
      <c r="J9" s="9">
        <v>65.8</v>
      </c>
      <c r="K9" s="9"/>
      <c r="L9" s="9"/>
      <c r="M9" s="73">
        <f>121.73+190.62+114.5</f>
        <v>426.85</v>
      </c>
      <c r="N9" s="97">
        <v>448.4</v>
      </c>
      <c r="O9" s="9">
        <v>180</v>
      </c>
      <c r="P9" s="99">
        <f t="shared" si="0"/>
        <v>2091.9700000000003</v>
      </c>
      <c r="Q9" s="27">
        <f t="shared" si="1"/>
        <v>182.89999999999964</v>
      </c>
      <c r="R9" s="41">
        <f t="shared" si="2"/>
        <v>-2.8999999999996362</v>
      </c>
      <c r="S9" s="28"/>
    </row>
    <row r="10" spans="1:19" ht="15.75" customHeight="1" x14ac:dyDescent="0.35">
      <c r="A10" s="26">
        <v>45512</v>
      </c>
      <c r="B10" s="95"/>
      <c r="C10" s="9">
        <f t="shared" si="3"/>
        <v>2190.54</v>
      </c>
      <c r="D10" s="9">
        <v>1543.74</v>
      </c>
      <c r="E10" s="9">
        <v>664.5</v>
      </c>
      <c r="F10" s="9">
        <v>112.78</v>
      </c>
      <c r="G10" s="9"/>
      <c r="H10" s="9"/>
      <c r="I10" s="9"/>
      <c r="J10" s="9">
        <v>32.9</v>
      </c>
      <c r="K10" s="9"/>
      <c r="L10" s="9"/>
      <c r="M10" s="73">
        <f>28.76+425.5</f>
        <v>454.26</v>
      </c>
      <c r="N10" s="97">
        <v>646.79999999999995</v>
      </c>
      <c r="O10" s="9">
        <v>280</v>
      </c>
      <c r="P10" s="99">
        <f t="shared" si="0"/>
        <v>2191.2399999999998</v>
      </c>
      <c r="Q10" s="27">
        <f t="shared" si="1"/>
        <v>279.30000000000018</v>
      </c>
      <c r="R10" s="41">
        <f t="shared" si="2"/>
        <v>0.6999999999998181</v>
      </c>
      <c r="S10" s="28"/>
    </row>
    <row r="11" spans="1:19" ht="15.75" customHeight="1" x14ac:dyDescent="0.35">
      <c r="A11" s="26">
        <v>45513</v>
      </c>
      <c r="B11" s="95"/>
      <c r="C11" s="9">
        <f t="shared" si="3"/>
        <v>3604.3999999999996</v>
      </c>
      <c r="D11" s="9">
        <v>3035.2</v>
      </c>
      <c r="E11" s="9">
        <v>1255.6199999999999</v>
      </c>
      <c r="F11" s="9">
        <v>132.5</v>
      </c>
      <c r="G11" s="9"/>
      <c r="H11" s="9"/>
      <c r="I11" s="9"/>
      <c r="J11" s="9">
        <v>70.7</v>
      </c>
      <c r="K11" s="9"/>
      <c r="L11" s="9"/>
      <c r="M11" s="73">
        <v>1178.3</v>
      </c>
      <c r="N11" s="97">
        <v>569.20000000000005</v>
      </c>
      <c r="O11" s="9">
        <v>400</v>
      </c>
      <c r="P11" s="99">
        <f t="shared" si="0"/>
        <v>3606.3199999999997</v>
      </c>
      <c r="Q11" s="27">
        <f t="shared" si="1"/>
        <v>398.07999999999993</v>
      </c>
      <c r="R11" s="41">
        <f t="shared" si="2"/>
        <v>1.9200000000000728</v>
      </c>
      <c r="S11" s="28"/>
    </row>
    <row r="12" spans="1:19" ht="15.75" customHeight="1" x14ac:dyDescent="0.35">
      <c r="A12" s="26">
        <v>45514</v>
      </c>
      <c r="B12" s="95"/>
      <c r="C12" s="9">
        <f t="shared" si="3"/>
        <v>3324.05</v>
      </c>
      <c r="D12" s="9">
        <v>2649.25</v>
      </c>
      <c r="E12" s="9">
        <v>1793.15</v>
      </c>
      <c r="F12" s="9">
        <v>225.9</v>
      </c>
      <c r="G12" s="9"/>
      <c r="H12" s="9"/>
      <c r="I12" s="9"/>
      <c r="J12" s="9">
        <v>71.7</v>
      </c>
      <c r="K12" s="9"/>
      <c r="L12" s="9"/>
      <c r="M12" s="73">
        <v>58.62</v>
      </c>
      <c r="N12" s="97">
        <v>674.8</v>
      </c>
      <c r="O12" s="9">
        <v>490</v>
      </c>
      <c r="P12" s="99">
        <f t="shared" si="0"/>
        <v>3314.17</v>
      </c>
      <c r="Q12" s="27">
        <f t="shared" si="1"/>
        <v>499.88000000000011</v>
      </c>
      <c r="R12" s="41">
        <f t="shared" si="2"/>
        <v>-9.8800000000001091</v>
      </c>
      <c r="S12" s="28"/>
    </row>
    <row r="13" spans="1:19" ht="15.75" customHeight="1" x14ac:dyDescent="0.35">
      <c r="A13" s="26">
        <v>45515</v>
      </c>
      <c r="B13" s="95"/>
      <c r="C13" s="9">
        <f t="shared" si="3"/>
        <v>2433.92</v>
      </c>
      <c r="D13" s="9">
        <v>1772.92</v>
      </c>
      <c r="E13" s="9">
        <v>1244.97</v>
      </c>
      <c r="F13" s="9">
        <v>172.35</v>
      </c>
      <c r="G13" s="9"/>
      <c r="H13" s="9"/>
      <c r="I13" s="9"/>
      <c r="J13" s="9">
        <v>98.7</v>
      </c>
      <c r="K13" s="9"/>
      <c r="L13" s="9"/>
      <c r="M13" s="9"/>
      <c r="N13" s="97">
        <v>661</v>
      </c>
      <c r="O13" s="9">
        <v>260</v>
      </c>
      <c r="P13" s="99">
        <f t="shared" si="0"/>
        <v>2437.02</v>
      </c>
      <c r="Q13" s="27">
        <f t="shared" si="1"/>
        <v>256.90000000000009</v>
      </c>
      <c r="R13" s="41">
        <f t="shared" si="2"/>
        <v>3.0999999999999091</v>
      </c>
      <c r="S13" s="28"/>
    </row>
    <row r="14" spans="1:19" ht="15.75" customHeight="1" x14ac:dyDescent="0.35">
      <c r="A14" s="26">
        <v>45516</v>
      </c>
      <c r="B14" s="95"/>
      <c r="C14" s="9">
        <f t="shared" si="3"/>
        <v>1801.96</v>
      </c>
      <c r="D14" s="9">
        <v>1322.96</v>
      </c>
      <c r="E14" s="9">
        <v>858</v>
      </c>
      <c r="F14" s="9">
        <v>138.86000000000001</v>
      </c>
      <c r="G14" s="9"/>
      <c r="H14" s="9"/>
      <c r="I14" s="9"/>
      <c r="J14" s="9">
        <v>19</v>
      </c>
      <c r="K14" s="9"/>
      <c r="L14" s="9"/>
      <c r="M14" s="9"/>
      <c r="N14" s="97">
        <v>479</v>
      </c>
      <c r="O14" s="9">
        <v>310</v>
      </c>
      <c r="P14" s="99">
        <f t="shared" si="0"/>
        <v>1804.8600000000001</v>
      </c>
      <c r="Q14" s="27">
        <f t="shared" si="1"/>
        <v>307.09999999999991</v>
      </c>
      <c r="R14" s="41">
        <f t="shared" si="2"/>
        <v>2.9000000000000909</v>
      </c>
      <c r="S14" s="28"/>
    </row>
    <row r="15" spans="1:19" ht="15.75" customHeight="1" x14ac:dyDescent="0.35">
      <c r="A15" s="26">
        <v>45517</v>
      </c>
      <c r="B15" s="95"/>
      <c r="C15" s="9">
        <f t="shared" si="3"/>
        <v>1596.26</v>
      </c>
      <c r="D15" s="9">
        <v>972.86</v>
      </c>
      <c r="E15" s="9">
        <v>613.16</v>
      </c>
      <c r="F15" s="9">
        <v>67.400000000000006</v>
      </c>
      <c r="G15" s="9"/>
      <c r="H15" s="9"/>
      <c r="I15" s="9"/>
      <c r="J15" s="9">
        <v>18.899999999999999</v>
      </c>
      <c r="K15" s="9"/>
      <c r="L15" s="9"/>
      <c r="M15" s="9"/>
      <c r="N15" s="97">
        <v>623.4</v>
      </c>
      <c r="O15" s="9">
        <v>270</v>
      </c>
      <c r="P15" s="99">
        <f t="shared" ref="P15:P33" si="4">E15+F15+G15+H15+I15+J15+K15+L15+O15+M15+N15</f>
        <v>1592.86</v>
      </c>
      <c r="Q15" s="27">
        <f t="shared" si="1"/>
        <v>273.40000000000009</v>
      </c>
      <c r="R15" s="41">
        <f t="shared" ref="R15:R33" si="5">P15-C15-H15</f>
        <v>-3.4000000000000909</v>
      </c>
      <c r="S15" s="28"/>
    </row>
    <row r="16" spans="1:19" ht="15.75" customHeight="1" x14ac:dyDescent="0.35">
      <c r="A16" s="26">
        <v>45518</v>
      </c>
      <c r="B16" s="95"/>
      <c r="C16" s="9">
        <f t="shared" si="3"/>
        <v>2344.4300000000003</v>
      </c>
      <c r="D16" s="9">
        <v>1788.43</v>
      </c>
      <c r="E16" s="9">
        <v>1175.4000000000001</v>
      </c>
      <c r="F16" s="9">
        <v>117.2</v>
      </c>
      <c r="G16" s="9"/>
      <c r="H16" s="9"/>
      <c r="I16" s="9"/>
      <c r="J16" s="9">
        <v>32.9</v>
      </c>
      <c r="K16" s="9"/>
      <c r="L16" s="9"/>
      <c r="M16" s="73">
        <v>74.45</v>
      </c>
      <c r="N16" s="97">
        <v>556</v>
      </c>
      <c r="O16" s="9">
        <v>390</v>
      </c>
      <c r="P16" s="99">
        <f t="shared" si="4"/>
        <v>2345.9500000000003</v>
      </c>
      <c r="Q16" s="27">
        <f t="shared" si="1"/>
        <v>388.48</v>
      </c>
      <c r="R16" s="41">
        <f t="shared" si="5"/>
        <v>1.5199999999999818</v>
      </c>
      <c r="S16" s="28"/>
    </row>
    <row r="17" spans="1:19" ht="15.75" customHeight="1" x14ac:dyDescent="0.35">
      <c r="A17" s="26">
        <v>45519</v>
      </c>
      <c r="B17" s="95"/>
      <c r="C17" s="9">
        <f>D17+N17</f>
        <v>3007.33</v>
      </c>
      <c r="D17" s="9">
        <v>2289.5300000000002</v>
      </c>
      <c r="E17" s="9">
        <v>1446.43</v>
      </c>
      <c r="F17" s="9">
        <v>218.82</v>
      </c>
      <c r="G17" s="9"/>
      <c r="H17" s="9"/>
      <c r="I17" s="9"/>
      <c r="J17" s="9">
        <v>66.8</v>
      </c>
      <c r="K17" s="9"/>
      <c r="L17" s="9"/>
      <c r="M17" s="9"/>
      <c r="N17" s="97">
        <v>717.8</v>
      </c>
      <c r="O17" s="9">
        <v>550</v>
      </c>
      <c r="P17" s="99">
        <f t="shared" si="4"/>
        <v>2999.8500000000004</v>
      </c>
      <c r="Q17" s="27">
        <f t="shared" si="1"/>
        <v>557.47999999999956</v>
      </c>
      <c r="R17" s="41">
        <f t="shared" si="5"/>
        <v>-7.4799999999995634</v>
      </c>
      <c r="S17" s="28"/>
    </row>
    <row r="18" spans="1:19" ht="15.75" customHeight="1" x14ac:dyDescent="0.35">
      <c r="A18" s="26">
        <v>45520</v>
      </c>
      <c r="B18" s="95"/>
      <c r="C18" s="9">
        <f t="shared" si="3"/>
        <v>2595.5100000000002</v>
      </c>
      <c r="D18" s="9">
        <v>1833.51</v>
      </c>
      <c r="E18" s="9">
        <v>1175.0999999999999</v>
      </c>
      <c r="F18" s="9">
        <v>125</v>
      </c>
      <c r="G18" s="9"/>
      <c r="H18" s="9"/>
      <c r="I18" s="9"/>
      <c r="J18" s="9">
        <v>89.8</v>
      </c>
      <c r="K18" s="9"/>
      <c r="L18" s="9"/>
      <c r="M18" s="73">
        <v>27.11</v>
      </c>
      <c r="N18" s="97">
        <v>762</v>
      </c>
      <c r="O18" s="9">
        <v>430</v>
      </c>
      <c r="P18" s="99">
        <f t="shared" si="4"/>
        <v>2609.0099999999998</v>
      </c>
      <c r="Q18" s="27">
        <f t="shared" si="1"/>
        <v>416.50000000000045</v>
      </c>
      <c r="R18" s="41">
        <f t="shared" si="5"/>
        <v>13.499999999999545</v>
      </c>
      <c r="S18" s="28"/>
    </row>
    <row r="19" spans="1:19" ht="15.75" customHeight="1" x14ac:dyDescent="0.35">
      <c r="A19" s="26">
        <v>45521</v>
      </c>
      <c r="B19" s="95"/>
      <c r="C19" s="9">
        <f t="shared" si="3"/>
        <v>2451.13</v>
      </c>
      <c r="D19" s="9">
        <v>1957.73</v>
      </c>
      <c r="E19" s="9">
        <v>1392.29</v>
      </c>
      <c r="F19" s="9">
        <v>101.38</v>
      </c>
      <c r="G19" s="9"/>
      <c r="H19" s="9"/>
      <c r="I19" s="9"/>
      <c r="J19" s="9"/>
      <c r="K19" s="9"/>
      <c r="L19" s="9"/>
      <c r="M19" s="9"/>
      <c r="N19" s="97">
        <v>493.4</v>
      </c>
      <c r="O19" s="9">
        <v>460</v>
      </c>
      <c r="P19" s="99">
        <f t="shared" si="4"/>
        <v>2447.0700000000002</v>
      </c>
      <c r="Q19" s="27">
        <f t="shared" si="1"/>
        <v>464.05999999999995</v>
      </c>
      <c r="R19" s="41">
        <f t="shared" si="5"/>
        <v>-4.0599999999999454</v>
      </c>
      <c r="S19" s="28"/>
    </row>
    <row r="20" spans="1:19" ht="15.75" customHeight="1" x14ac:dyDescent="0.35">
      <c r="A20" s="26">
        <v>45522</v>
      </c>
      <c r="B20" s="95"/>
      <c r="C20" s="9">
        <f t="shared" si="3"/>
        <v>2749.7200000000003</v>
      </c>
      <c r="D20" s="9">
        <v>2164.52</v>
      </c>
      <c r="E20" s="9">
        <v>1274.78</v>
      </c>
      <c r="F20" s="9">
        <v>204.45</v>
      </c>
      <c r="G20" s="9"/>
      <c r="H20" s="9"/>
      <c r="I20" s="9"/>
      <c r="J20" s="9">
        <v>58.7</v>
      </c>
      <c r="K20" s="9"/>
      <c r="L20" s="9"/>
      <c r="M20" s="9"/>
      <c r="N20" s="97">
        <v>585.20000000000005</v>
      </c>
      <c r="O20" s="9">
        <v>630</v>
      </c>
      <c r="P20" s="99">
        <f t="shared" si="4"/>
        <v>2753.13</v>
      </c>
      <c r="Q20" s="27">
        <f t="shared" si="1"/>
        <v>626.59000000000015</v>
      </c>
      <c r="R20" s="41">
        <f t="shared" si="5"/>
        <v>3.4099999999998545</v>
      </c>
      <c r="S20" s="28"/>
    </row>
    <row r="21" spans="1:19" ht="15.75" customHeight="1" x14ac:dyDescent="0.35">
      <c r="A21" s="26">
        <v>45523</v>
      </c>
      <c r="B21" s="95"/>
      <c r="C21" s="9">
        <f t="shared" si="3"/>
        <v>2075.56</v>
      </c>
      <c r="D21" s="9">
        <v>1372.16</v>
      </c>
      <c r="E21" s="9">
        <v>818.08</v>
      </c>
      <c r="F21" s="9">
        <v>73.900000000000006</v>
      </c>
      <c r="G21" s="9"/>
      <c r="H21" s="9"/>
      <c r="I21" s="9"/>
      <c r="J21" s="9">
        <v>51.9</v>
      </c>
      <c r="K21" s="9"/>
      <c r="L21" s="9"/>
      <c r="M21" s="9"/>
      <c r="N21" s="97">
        <v>703.4</v>
      </c>
      <c r="O21" s="9">
        <v>430</v>
      </c>
      <c r="P21" s="99">
        <f t="shared" si="4"/>
        <v>2077.2800000000002</v>
      </c>
      <c r="Q21" s="27">
        <f>O21-R21</f>
        <v>428.27999999999975</v>
      </c>
      <c r="R21" s="41">
        <f t="shared" si="5"/>
        <v>1.7200000000002547</v>
      </c>
      <c r="S21" s="28"/>
    </row>
    <row r="22" spans="1:19" ht="15.75" customHeight="1" x14ac:dyDescent="0.35">
      <c r="A22" s="26">
        <v>45524</v>
      </c>
      <c r="B22" s="95"/>
      <c r="C22" s="9">
        <f t="shared" si="3"/>
        <v>1769.8400000000001</v>
      </c>
      <c r="D22" s="9">
        <v>1317.24</v>
      </c>
      <c r="E22" s="9">
        <v>934.14</v>
      </c>
      <c r="F22" s="9">
        <v>101.09</v>
      </c>
      <c r="G22" s="9"/>
      <c r="H22" s="9"/>
      <c r="I22" s="9"/>
      <c r="J22" s="9">
        <v>56.7</v>
      </c>
      <c r="K22" s="9"/>
      <c r="L22" s="9"/>
      <c r="M22" s="9"/>
      <c r="N22" s="97">
        <v>452.6</v>
      </c>
      <c r="O22" s="9">
        <v>220</v>
      </c>
      <c r="P22" s="99">
        <f t="shared" si="4"/>
        <v>1764.5300000000002</v>
      </c>
      <c r="Q22" s="27">
        <f t="shared" si="1"/>
        <v>225.30999999999995</v>
      </c>
      <c r="R22" s="41">
        <f t="shared" si="5"/>
        <v>-5.3099999999999454</v>
      </c>
      <c r="S22" s="28"/>
    </row>
    <row r="23" spans="1:19" ht="15.75" customHeight="1" x14ac:dyDescent="0.35">
      <c r="A23" s="26">
        <v>45525</v>
      </c>
      <c r="B23" s="95"/>
      <c r="C23" s="9">
        <f t="shared" si="3"/>
        <v>2339.2000000000003</v>
      </c>
      <c r="D23" s="9">
        <v>2052.8000000000002</v>
      </c>
      <c r="E23" s="9">
        <v>1005</v>
      </c>
      <c r="F23" s="9">
        <v>166.6</v>
      </c>
      <c r="G23" s="9"/>
      <c r="H23" s="9"/>
      <c r="I23" s="9"/>
      <c r="J23" s="9">
        <v>85.7</v>
      </c>
      <c r="K23" s="9"/>
      <c r="L23" s="9"/>
      <c r="M23" s="73">
        <f>116.26+87.83+10.36+209.25</f>
        <v>423.7</v>
      </c>
      <c r="N23" s="97">
        <v>286.39999999999998</v>
      </c>
      <c r="O23" s="9">
        <v>370</v>
      </c>
      <c r="P23" s="99">
        <f t="shared" si="4"/>
        <v>2337.4</v>
      </c>
      <c r="Q23" s="27">
        <f t="shared" si="1"/>
        <v>371.80000000000018</v>
      </c>
      <c r="R23" s="41">
        <f t="shared" si="5"/>
        <v>-1.8000000000001819</v>
      </c>
      <c r="S23" s="28"/>
    </row>
    <row r="24" spans="1:19" ht="15.75" customHeight="1" x14ac:dyDescent="0.35">
      <c r="A24" s="26">
        <v>45526</v>
      </c>
      <c r="B24" s="95"/>
      <c r="C24" s="9">
        <f t="shared" si="3"/>
        <v>1484.21</v>
      </c>
      <c r="D24" s="9">
        <v>1090.6099999999999</v>
      </c>
      <c r="E24" s="9">
        <v>753.31</v>
      </c>
      <c r="F24" s="9">
        <v>102.3</v>
      </c>
      <c r="G24" s="9"/>
      <c r="H24" s="9"/>
      <c r="I24" s="9"/>
      <c r="J24" s="9">
        <v>19.899999999999999</v>
      </c>
      <c r="K24" s="9"/>
      <c r="L24" s="9"/>
      <c r="M24" s="9"/>
      <c r="N24" s="97">
        <v>393.6</v>
      </c>
      <c r="O24" s="9">
        <v>215</v>
      </c>
      <c r="P24" s="99">
        <f t="shared" si="4"/>
        <v>1484.1099999999997</v>
      </c>
      <c r="Q24" s="27">
        <f t="shared" si="1"/>
        <v>215.10000000000036</v>
      </c>
      <c r="R24" s="41">
        <f t="shared" si="5"/>
        <v>-0.1000000000003638</v>
      </c>
      <c r="S24" s="28"/>
    </row>
    <row r="25" spans="1:19" ht="15.75" customHeight="1" x14ac:dyDescent="0.35">
      <c r="A25" s="26">
        <v>45527</v>
      </c>
      <c r="B25" s="95"/>
      <c r="C25" s="9">
        <f t="shared" si="3"/>
        <v>3247.57</v>
      </c>
      <c r="D25" s="9">
        <v>2877.17</v>
      </c>
      <c r="E25" s="9">
        <v>1183.43</v>
      </c>
      <c r="F25" s="9">
        <v>116.6</v>
      </c>
      <c r="G25" s="9"/>
      <c r="H25" s="9"/>
      <c r="I25" s="9"/>
      <c r="J25" s="9">
        <v>65.8</v>
      </c>
      <c r="K25" s="9"/>
      <c r="L25" s="9"/>
      <c r="M25" s="73">
        <v>1187.3499999999999</v>
      </c>
      <c r="N25" s="97">
        <v>370.4</v>
      </c>
      <c r="O25" s="9">
        <v>325</v>
      </c>
      <c r="P25" s="99">
        <f t="shared" si="4"/>
        <v>3248.58</v>
      </c>
      <c r="Q25" s="27">
        <f t="shared" si="1"/>
        <v>323.99000000000024</v>
      </c>
      <c r="R25" s="41">
        <f t="shared" si="5"/>
        <v>1.0099999999997635</v>
      </c>
      <c r="S25" s="28"/>
    </row>
    <row r="26" spans="1:19" ht="15.75" customHeight="1" x14ac:dyDescent="0.35">
      <c r="A26" s="26">
        <v>45528</v>
      </c>
      <c r="B26" s="95"/>
      <c r="C26" s="9">
        <f t="shared" si="3"/>
        <v>2576.1499999999996</v>
      </c>
      <c r="D26" s="9">
        <v>2054.9499999999998</v>
      </c>
      <c r="E26" s="9">
        <v>1334.85</v>
      </c>
      <c r="F26" s="9">
        <v>192.99</v>
      </c>
      <c r="G26" s="9"/>
      <c r="H26" s="9"/>
      <c r="I26" s="9"/>
      <c r="J26" s="9">
        <v>108.6</v>
      </c>
      <c r="K26" s="9"/>
      <c r="L26" s="9"/>
      <c r="M26" s="73">
        <v>90.31</v>
      </c>
      <c r="N26" s="97">
        <v>521.20000000000005</v>
      </c>
      <c r="O26" s="9">
        <v>330</v>
      </c>
      <c r="P26" s="99">
        <f t="shared" si="4"/>
        <v>2577.9499999999998</v>
      </c>
      <c r="Q26" s="27">
        <f t="shared" si="1"/>
        <v>328.19999999999982</v>
      </c>
      <c r="R26" s="41">
        <f t="shared" si="5"/>
        <v>1.8000000000001819</v>
      </c>
      <c r="S26" s="28"/>
    </row>
    <row r="27" spans="1:19" ht="15.75" customHeight="1" x14ac:dyDescent="0.35">
      <c r="A27" s="26">
        <v>45529</v>
      </c>
      <c r="B27" s="95"/>
      <c r="C27" s="9">
        <f t="shared" si="3"/>
        <v>2642.61</v>
      </c>
      <c r="D27" s="9">
        <v>2063.0100000000002</v>
      </c>
      <c r="E27" s="9">
        <v>1362.57</v>
      </c>
      <c r="F27" s="9">
        <v>122.2</v>
      </c>
      <c r="G27" s="9"/>
      <c r="H27" s="9"/>
      <c r="I27" s="9"/>
      <c r="J27" s="9">
        <v>92.6</v>
      </c>
      <c r="K27" s="9"/>
      <c r="L27" s="9"/>
      <c r="M27" s="9"/>
      <c r="N27" s="97">
        <v>579.6</v>
      </c>
      <c r="O27" s="9">
        <v>490</v>
      </c>
      <c r="P27" s="99">
        <f t="shared" si="4"/>
        <v>2646.97</v>
      </c>
      <c r="Q27" s="27">
        <f t="shared" si="1"/>
        <v>485.64000000000033</v>
      </c>
      <c r="R27" s="41">
        <f t="shared" si="5"/>
        <v>4.3599999999996726</v>
      </c>
      <c r="S27" s="28"/>
    </row>
    <row r="28" spans="1:19" ht="15.75" customHeight="1" x14ac:dyDescent="0.35">
      <c r="A28" s="26">
        <v>45530</v>
      </c>
      <c r="B28" s="95"/>
      <c r="C28" s="9">
        <f t="shared" si="3"/>
        <v>1887.13</v>
      </c>
      <c r="D28" s="9">
        <v>1477.93</v>
      </c>
      <c r="E28" s="9">
        <v>973.73</v>
      </c>
      <c r="F28" s="9">
        <v>78.5</v>
      </c>
      <c r="G28" s="9"/>
      <c r="H28" s="9"/>
      <c r="I28" s="9"/>
      <c r="J28" s="9">
        <v>20.9</v>
      </c>
      <c r="K28" s="9"/>
      <c r="L28" s="9"/>
      <c r="M28" s="9"/>
      <c r="N28" s="97">
        <v>409.2</v>
      </c>
      <c r="O28" s="9">
        <v>400</v>
      </c>
      <c r="P28" s="99">
        <f t="shared" si="4"/>
        <v>1882.3300000000002</v>
      </c>
      <c r="Q28" s="27">
        <f t="shared" si="1"/>
        <v>404.79999999999995</v>
      </c>
      <c r="R28" s="41">
        <f t="shared" si="5"/>
        <v>-4.7999999999999545</v>
      </c>
      <c r="S28" s="28"/>
    </row>
    <row r="29" spans="1:19" ht="15.75" customHeight="1" x14ac:dyDescent="0.35">
      <c r="A29" s="26">
        <v>45531</v>
      </c>
      <c r="B29" s="95"/>
      <c r="C29" s="9">
        <f t="shared" si="3"/>
        <v>2209.9899999999998</v>
      </c>
      <c r="D29" s="9">
        <v>1813.99</v>
      </c>
      <c r="E29" s="9">
        <v>650.84</v>
      </c>
      <c r="F29" s="9">
        <v>126.75</v>
      </c>
      <c r="G29" s="9"/>
      <c r="H29" s="9"/>
      <c r="I29" s="9"/>
      <c r="J29" s="9">
        <f>84.7+32.9</f>
        <v>117.6</v>
      </c>
      <c r="K29" s="9"/>
      <c r="L29" s="9"/>
      <c r="M29" s="73">
        <v>714</v>
      </c>
      <c r="N29" s="97">
        <v>396</v>
      </c>
      <c r="O29" s="9">
        <v>205</v>
      </c>
      <c r="P29" s="99">
        <f t="shared" si="4"/>
        <v>2210.19</v>
      </c>
      <c r="Q29" s="27">
        <f t="shared" si="1"/>
        <v>204.79999999999973</v>
      </c>
      <c r="R29" s="41">
        <f t="shared" si="5"/>
        <v>0.20000000000027285</v>
      </c>
      <c r="S29" s="28"/>
    </row>
    <row r="30" spans="1:19" ht="15.75" customHeight="1" x14ac:dyDescent="0.35">
      <c r="A30" s="26">
        <v>45532</v>
      </c>
      <c r="B30" s="95"/>
      <c r="C30" s="9">
        <f t="shared" si="3"/>
        <v>2380.6</v>
      </c>
      <c r="D30" s="9">
        <v>1944.8</v>
      </c>
      <c r="E30" s="9">
        <v>700.9</v>
      </c>
      <c r="F30" s="9">
        <v>58.3</v>
      </c>
      <c r="G30" s="9"/>
      <c r="H30" s="9"/>
      <c r="I30" s="9"/>
      <c r="J30" s="9"/>
      <c r="K30" s="9"/>
      <c r="L30" s="9"/>
      <c r="M30" s="73">
        <v>965</v>
      </c>
      <c r="N30" s="97">
        <v>435.8</v>
      </c>
      <c r="O30" s="9">
        <v>220</v>
      </c>
      <c r="P30" s="99">
        <f t="shared" si="4"/>
        <v>2380</v>
      </c>
      <c r="Q30" s="27">
        <f t="shared" si="1"/>
        <v>220.59999999999991</v>
      </c>
      <c r="R30" s="41">
        <f t="shared" si="5"/>
        <v>-0.59999999999990905</v>
      </c>
      <c r="S30" s="28"/>
    </row>
    <row r="31" spans="1:19" ht="15.75" customHeight="1" x14ac:dyDescent="0.35">
      <c r="A31" s="26">
        <v>45533</v>
      </c>
      <c r="B31" s="95"/>
      <c r="C31" s="9">
        <f t="shared" si="3"/>
        <v>2254.02</v>
      </c>
      <c r="D31" s="9">
        <v>1926.22</v>
      </c>
      <c r="E31" s="9">
        <v>933.6</v>
      </c>
      <c r="F31" s="9">
        <v>134.09</v>
      </c>
      <c r="G31" s="9"/>
      <c r="H31" s="9"/>
      <c r="I31" s="9"/>
      <c r="J31" s="9"/>
      <c r="K31" s="9"/>
      <c r="L31" s="9"/>
      <c r="M31" s="73">
        <v>526.79</v>
      </c>
      <c r="N31" s="97">
        <v>327.8</v>
      </c>
      <c r="O31" s="9">
        <v>330</v>
      </c>
      <c r="P31" s="99">
        <f t="shared" si="4"/>
        <v>2252.2800000000002</v>
      </c>
      <c r="Q31" s="27">
        <f t="shared" si="1"/>
        <v>331.73999999999978</v>
      </c>
      <c r="R31" s="41">
        <f t="shared" si="5"/>
        <v>-1.7399999999997817</v>
      </c>
      <c r="S31" s="28"/>
    </row>
    <row r="32" spans="1:19" ht="15.75" customHeight="1" x14ac:dyDescent="0.35">
      <c r="A32" s="26">
        <v>45534</v>
      </c>
      <c r="B32" s="95"/>
      <c r="C32" s="9">
        <f t="shared" si="3"/>
        <v>1643.99</v>
      </c>
      <c r="D32" s="9">
        <v>1324.79</v>
      </c>
      <c r="E32" s="9">
        <v>887.89</v>
      </c>
      <c r="F32" s="9">
        <v>124.43</v>
      </c>
      <c r="G32" s="9"/>
      <c r="H32" s="9"/>
      <c r="I32" s="9"/>
      <c r="J32" s="9">
        <v>18.899999999999999</v>
      </c>
      <c r="K32" s="9"/>
      <c r="L32" s="9"/>
      <c r="M32" s="73">
        <f>26.26</f>
        <v>26.26</v>
      </c>
      <c r="N32" s="97">
        <v>319.2</v>
      </c>
      <c r="O32" s="9">
        <v>285</v>
      </c>
      <c r="P32" s="99">
        <f t="shared" si="4"/>
        <v>1661.68</v>
      </c>
      <c r="Q32" s="27">
        <f t="shared" si="1"/>
        <v>267.30999999999995</v>
      </c>
      <c r="R32" s="41">
        <f t="shared" si="5"/>
        <v>17.690000000000055</v>
      </c>
      <c r="S32" s="28"/>
    </row>
    <row r="33" spans="1:19" ht="15.75" customHeight="1" x14ac:dyDescent="0.35">
      <c r="A33" s="26">
        <v>45535</v>
      </c>
      <c r="B33" s="96"/>
      <c r="C33" s="9">
        <f t="shared" si="3"/>
        <v>1805.54</v>
      </c>
      <c r="D33" s="44">
        <v>1400.94</v>
      </c>
      <c r="E33" s="44">
        <v>976.21</v>
      </c>
      <c r="F33" s="44">
        <v>87.68</v>
      </c>
      <c r="G33" s="9"/>
      <c r="H33" s="9"/>
      <c r="I33" s="9"/>
      <c r="J33" s="44"/>
      <c r="K33" s="9"/>
      <c r="L33" s="9"/>
      <c r="M33" s="55"/>
      <c r="N33" s="98">
        <v>404.6</v>
      </c>
      <c r="O33" s="44">
        <v>340</v>
      </c>
      <c r="P33" s="99">
        <f t="shared" si="4"/>
        <v>1808.4900000000002</v>
      </c>
      <c r="Q33" s="27">
        <f t="shared" si="1"/>
        <v>337.04999999999973</v>
      </c>
      <c r="R33" s="41">
        <f t="shared" si="5"/>
        <v>2.9500000000002728</v>
      </c>
      <c r="S33" s="28"/>
    </row>
    <row r="34" spans="1:19" ht="15.75" customHeight="1" x14ac:dyDescent="0.35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68524.37</v>
      </c>
      <c r="Q34" s="72">
        <f>P34-R34</f>
        <v>68517.919999999998</v>
      </c>
      <c r="R34" s="49">
        <f>SUM(R3:R33)</f>
        <v>6.4500000000000455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2">
    <dataValidation type="list" allowBlank="1" showInputMessage="1" showErrorMessage="1" sqref="B33" xr:uid="{7ABA23E1-4E05-4C45-9D04-0DABA1AD0676}">
      <formula1>"Matosinhos,Timeout,Bolhão"</formula1>
    </dataValidation>
    <dataValidation type="list" allowBlank="1" showInputMessage="1" showErrorMessage="1" sqref="B3:B32" xr:uid="{D11D076D-3674-4C8D-B512-6769184679E5}">
      <formula1>"Matosinhos;TimeOut;Bolhão"</formula1>
    </dataValidation>
  </dataValidations>
  <pageMargins left="0.75" right="0.75" top="1" bottom="1" header="0" footer="0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00"/>
  <sheetViews>
    <sheetView workbookViewId="0">
      <pane ySplit="1" topLeftCell="A31" activePane="bottomLeft" state="frozen"/>
      <selection pane="bottomLeft" activeCell="B31" sqref="B31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45170</v>
      </c>
      <c r="B2" s="9">
        <v>1166.55</v>
      </c>
      <c r="C2" s="9">
        <v>687.29</v>
      </c>
      <c r="D2" s="9">
        <v>56.8</v>
      </c>
      <c r="E2" s="9"/>
      <c r="F2" s="9"/>
      <c r="G2" s="9"/>
      <c r="H2" s="9">
        <v>98.7</v>
      </c>
      <c r="I2" s="9"/>
      <c r="J2" s="9"/>
      <c r="K2" s="9"/>
      <c r="L2" s="9">
        <v>325</v>
      </c>
      <c r="M2" s="31">
        <f t="shared" ref="M2:M31" si="0">C2+D2+E2+F2+G2+H2+I2+J2+L2+K2</f>
        <v>1167.79</v>
      </c>
      <c r="N2" s="27">
        <f t="shared" ref="N2:N32" si="1">L2-O2</f>
        <v>323.76</v>
      </c>
      <c r="O2" s="32">
        <f t="shared" ref="O2:O32" si="2">M2-B2-F2</f>
        <v>1.2400000000000091</v>
      </c>
      <c r="P2" s="33">
        <v>70</v>
      </c>
    </row>
    <row r="3" spans="1:18" ht="15.75" customHeight="1" x14ac:dyDescent="0.35">
      <c r="A3" s="26">
        <v>45171</v>
      </c>
      <c r="B3" s="9">
        <v>1531.37</v>
      </c>
      <c r="C3" s="9">
        <v>970.27</v>
      </c>
      <c r="D3" s="9">
        <v>132.5</v>
      </c>
      <c r="E3" s="9"/>
      <c r="F3" s="9"/>
      <c r="G3" s="9"/>
      <c r="H3" s="9">
        <v>37.799999999999997</v>
      </c>
      <c r="I3" s="9"/>
      <c r="J3" s="9"/>
      <c r="K3" s="9"/>
      <c r="L3" s="9">
        <v>400</v>
      </c>
      <c r="M3" s="31">
        <f t="shared" si="0"/>
        <v>1540.57</v>
      </c>
      <c r="N3" s="27">
        <f t="shared" si="1"/>
        <v>390.79999999999995</v>
      </c>
      <c r="O3" s="70">
        <f t="shared" si="2"/>
        <v>9.2000000000000455</v>
      </c>
      <c r="P3" s="28">
        <v>65</v>
      </c>
      <c r="Q3" s="56"/>
    </row>
    <row r="4" spans="1:18" ht="15.75" customHeight="1" x14ac:dyDescent="0.35">
      <c r="A4" s="26">
        <v>45172</v>
      </c>
      <c r="B4" s="9">
        <v>1131.26</v>
      </c>
      <c r="C4" s="9">
        <v>750.48</v>
      </c>
      <c r="D4" s="9">
        <v>111.8</v>
      </c>
      <c r="E4" s="9"/>
      <c r="F4" s="9"/>
      <c r="G4" s="9"/>
      <c r="H4" s="9">
        <v>18.899999999999999</v>
      </c>
      <c r="I4" s="9"/>
      <c r="J4" s="9"/>
      <c r="K4" s="9"/>
      <c r="L4" s="9">
        <v>270</v>
      </c>
      <c r="M4" s="31">
        <f t="shared" si="0"/>
        <v>1151.1799999999998</v>
      </c>
      <c r="N4" s="27">
        <f t="shared" si="1"/>
        <v>250.08000000000015</v>
      </c>
      <c r="O4" s="41">
        <f t="shared" si="2"/>
        <v>19.919999999999845</v>
      </c>
      <c r="P4" s="28"/>
    </row>
    <row r="5" spans="1:18" ht="15.75" customHeight="1" x14ac:dyDescent="0.35">
      <c r="A5" s="26">
        <v>45173</v>
      </c>
      <c r="B5" s="9">
        <v>465</v>
      </c>
      <c r="C5" s="9">
        <v>284.7</v>
      </c>
      <c r="D5" s="9">
        <v>53.3</v>
      </c>
      <c r="E5" s="9"/>
      <c r="F5" s="9"/>
      <c r="G5" s="9"/>
      <c r="H5" s="9">
        <v>32.9</v>
      </c>
      <c r="I5" s="9"/>
      <c r="J5" s="9"/>
      <c r="K5" s="9"/>
      <c r="L5" s="9">
        <v>100</v>
      </c>
      <c r="M5" s="31">
        <f t="shared" si="0"/>
        <v>470.9</v>
      </c>
      <c r="N5" s="27">
        <f t="shared" si="1"/>
        <v>94.100000000000023</v>
      </c>
      <c r="O5" s="41">
        <f t="shared" si="2"/>
        <v>5.8999999999999773</v>
      </c>
      <c r="P5" s="28"/>
    </row>
    <row r="6" spans="1:18" ht="15.75" customHeight="1" x14ac:dyDescent="0.35">
      <c r="A6" s="26">
        <v>45174</v>
      </c>
      <c r="B6" s="9">
        <v>793.38</v>
      </c>
      <c r="C6" s="9">
        <v>393.78</v>
      </c>
      <c r="D6" s="9">
        <v>158.5</v>
      </c>
      <c r="E6" s="9"/>
      <c r="F6" s="9"/>
      <c r="G6" s="9"/>
      <c r="H6" s="9"/>
      <c r="I6" s="9"/>
      <c r="J6" s="9"/>
      <c r="K6" s="9"/>
      <c r="L6" s="9">
        <v>240</v>
      </c>
      <c r="M6" s="31">
        <f t="shared" si="0"/>
        <v>792.28</v>
      </c>
      <c r="N6" s="27">
        <f t="shared" si="1"/>
        <v>241.10000000000002</v>
      </c>
      <c r="O6" s="41">
        <f t="shared" si="2"/>
        <v>-1.1000000000000227</v>
      </c>
      <c r="P6" s="28"/>
    </row>
    <row r="7" spans="1:18" ht="15.75" customHeight="1" x14ac:dyDescent="0.35">
      <c r="A7" s="26">
        <v>45175</v>
      </c>
      <c r="B7" s="9">
        <v>1266.9000000000001</v>
      </c>
      <c r="C7" s="9">
        <v>731.62</v>
      </c>
      <c r="D7" s="9">
        <v>129</v>
      </c>
      <c r="E7" s="9"/>
      <c r="F7" s="9"/>
      <c r="G7" s="9"/>
      <c r="H7" s="9">
        <v>74.7</v>
      </c>
      <c r="I7" s="9"/>
      <c r="J7" s="9"/>
      <c r="K7" s="73">
        <v>25.08</v>
      </c>
      <c r="L7" s="9">
        <v>305</v>
      </c>
      <c r="M7" s="31">
        <f t="shared" si="0"/>
        <v>1265.4000000000001</v>
      </c>
      <c r="N7" s="27">
        <f t="shared" si="1"/>
        <v>306.5</v>
      </c>
      <c r="O7" s="41">
        <f t="shared" si="2"/>
        <v>-1.5</v>
      </c>
      <c r="P7" s="28"/>
    </row>
    <row r="8" spans="1:18" ht="15.75" customHeight="1" x14ac:dyDescent="0.35">
      <c r="A8" s="26">
        <v>45176</v>
      </c>
      <c r="B8" s="9">
        <v>1010.9</v>
      </c>
      <c r="C8" s="9">
        <v>639.4</v>
      </c>
      <c r="D8" s="9">
        <v>47.3</v>
      </c>
      <c r="E8" s="9"/>
      <c r="F8" s="9"/>
      <c r="G8" s="9"/>
      <c r="H8" s="9">
        <v>91.7</v>
      </c>
      <c r="I8" s="9"/>
      <c r="J8" s="9"/>
      <c r="K8" s="9"/>
      <c r="L8" s="9">
        <v>240</v>
      </c>
      <c r="M8" s="31">
        <f t="shared" si="0"/>
        <v>1018.4</v>
      </c>
      <c r="N8" s="27">
        <f t="shared" si="1"/>
        <v>232.5</v>
      </c>
      <c r="O8" s="41">
        <f t="shared" si="2"/>
        <v>7.5</v>
      </c>
      <c r="P8" s="28"/>
    </row>
    <row r="9" spans="1:18" ht="15.75" customHeight="1" x14ac:dyDescent="0.35">
      <c r="A9" s="26">
        <v>45177</v>
      </c>
      <c r="B9" s="9">
        <v>1031.6500000000001</v>
      </c>
      <c r="C9" s="9">
        <v>617.65</v>
      </c>
      <c r="D9" s="9">
        <v>131.5</v>
      </c>
      <c r="E9" s="9"/>
      <c r="F9" s="9"/>
      <c r="G9" s="9"/>
      <c r="H9" s="9">
        <v>18.899999999999999</v>
      </c>
      <c r="I9" s="9"/>
      <c r="J9" s="9"/>
      <c r="K9" s="9"/>
      <c r="L9" s="9">
        <v>260</v>
      </c>
      <c r="M9" s="31">
        <f t="shared" si="0"/>
        <v>1028.05</v>
      </c>
      <c r="N9" s="27">
        <f t="shared" si="1"/>
        <v>263.60000000000014</v>
      </c>
      <c r="O9" s="41">
        <f t="shared" si="2"/>
        <v>-3.6000000000001364</v>
      </c>
      <c r="P9" s="28"/>
    </row>
    <row r="10" spans="1:18" ht="15.75" customHeight="1" x14ac:dyDescent="0.35">
      <c r="A10" s="26">
        <v>45178</v>
      </c>
      <c r="B10" s="9">
        <v>2128.88</v>
      </c>
      <c r="C10" s="9">
        <v>1173.3599999999999</v>
      </c>
      <c r="D10" s="9">
        <v>279.39999999999998</v>
      </c>
      <c r="E10" s="9"/>
      <c r="F10" s="9"/>
      <c r="G10" s="9"/>
      <c r="H10" s="9">
        <v>65.8</v>
      </c>
      <c r="I10" s="9"/>
      <c r="J10" s="9"/>
      <c r="K10" s="9"/>
      <c r="L10" s="9">
        <v>615</v>
      </c>
      <c r="M10" s="31">
        <f t="shared" si="0"/>
        <v>2133.5599999999995</v>
      </c>
      <c r="N10" s="27">
        <f t="shared" si="1"/>
        <v>610.32000000000062</v>
      </c>
      <c r="O10" s="41">
        <f t="shared" si="2"/>
        <v>4.6799999999993815</v>
      </c>
      <c r="P10" s="28"/>
    </row>
    <row r="11" spans="1:18" ht="15.75" customHeight="1" x14ac:dyDescent="0.35">
      <c r="A11" s="26">
        <v>45179</v>
      </c>
      <c r="B11" s="9">
        <v>1663.46</v>
      </c>
      <c r="C11" s="9">
        <v>1206.76</v>
      </c>
      <c r="D11" s="9">
        <v>119.4</v>
      </c>
      <c r="E11" s="9"/>
      <c r="F11" s="9"/>
      <c r="G11" s="9"/>
      <c r="H11" s="9"/>
      <c r="I11" s="9"/>
      <c r="J11" s="9"/>
      <c r="K11" s="9"/>
      <c r="L11" s="9">
        <v>345</v>
      </c>
      <c r="M11" s="31">
        <f t="shared" si="0"/>
        <v>1671.16</v>
      </c>
      <c r="N11" s="27">
        <f t="shared" si="1"/>
        <v>337.29999999999995</v>
      </c>
      <c r="O11" s="41">
        <f t="shared" si="2"/>
        <v>7.7000000000000455</v>
      </c>
      <c r="P11" s="28"/>
    </row>
    <row r="12" spans="1:18" ht="15.75" customHeight="1" x14ac:dyDescent="0.35">
      <c r="A12" s="26">
        <v>45180</v>
      </c>
      <c r="B12" s="9">
        <v>652.64</v>
      </c>
      <c r="C12" s="9">
        <v>474.64</v>
      </c>
      <c r="D12" s="9">
        <v>26.8</v>
      </c>
      <c r="E12" s="9"/>
      <c r="F12" s="9"/>
      <c r="G12" s="9"/>
      <c r="H12" s="9"/>
      <c r="I12" s="9"/>
      <c r="J12" s="9"/>
      <c r="K12" s="9"/>
      <c r="L12" s="9">
        <v>150</v>
      </c>
      <c r="M12" s="31">
        <f>C12+D12+E12+F12+G12+H12+I12+J12+L12+K12</f>
        <v>651.44000000000005</v>
      </c>
      <c r="N12" s="27">
        <f t="shared" si="1"/>
        <v>151.19999999999993</v>
      </c>
      <c r="O12" s="41">
        <f t="shared" si="2"/>
        <v>-1.1999999999999318</v>
      </c>
      <c r="P12" s="28"/>
      <c r="Q12" s="56"/>
    </row>
    <row r="13" spans="1:18" ht="15.75" customHeight="1" x14ac:dyDescent="0.35">
      <c r="A13" s="26">
        <v>45181</v>
      </c>
      <c r="B13" s="9">
        <v>2465.71</v>
      </c>
      <c r="C13" s="9">
        <v>407.68</v>
      </c>
      <c r="D13" s="9">
        <v>66</v>
      </c>
      <c r="E13" s="9"/>
      <c r="F13" s="9"/>
      <c r="G13" s="9"/>
      <c r="H13" s="9"/>
      <c r="I13" s="9"/>
      <c r="J13" s="9"/>
      <c r="K13" s="73">
        <f>241+52.54+103.25+789+615.34</f>
        <v>1801.13</v>
      </c>
      <c r="L13" s="9">
        <v>190</v>
      </c>
      <c r="M13" s="31">
        <f>C13+D13+E13+F13+G13+H13+I13+J13+L13+K13</f>
        <v>2464.8100000000004</v>
      </c>
      <c r="N13" s="27">
        <f t="shared" si="1"/>
        <v>190.89999999999964</v>
      </c>
      <c r="O13" s="41">
        <f t="shared" si="2"/>
        <v>-0.8999999999996362</v>
      </c>
      <c r="P13" s="28"/>
    </row>
    <row r="14" spans="1:18" ht="15.75" customHeight="1" x14ac:dyDescent="0.35">
      <c r="A14" s="26">
        <v>45182</v>
      </c>
      <c r="B14" s="9">
        <v>1326.72</v>
      </c>
      <c r="C14" s="9">
        <v>886.12</v>
      </c>
      <c r="D14" s="9">
        <v>97.8</v>
      </c>
      <c r="E14" s="9"/>
      <c r="F14" s="9"/>
      <c r="G14" s="9"/>
      <c r="H14" s="9"/>
      <c r="I14" s="9"/>
      <c r="J14" s="9"/>
      <c r="K14" s="9"/>
      <c r="L14" s="9">
        <v>345</v>
      </c>
      <c r="M14" s="31">
        <f t="shared" si="0"/>
        <v>1328.92</v>
      </c>
      <c r="N14" s="27">
        <f t="shared" si="1"/>
        <v>342.79999999999995</v>
      </c>
      <c r="O14" s="41">
        <f t="shared" si="2"/>
        <v>2.2000000000000455</v>
      </c>
      <c r="P14" s="28"/>
    </row>
    <row r="15" spans="1:18" ht="15.75" customHeight="1" x14ac:dyDescent="0.35">
      <c r="A15" s="26">
        <v>45183</v>
      </c>
      <c r="B15" s="9">
        <v>1264.26</v>
      </c>
      <c r="C15" s="9">
        <v>663.58</v>
      </c>
      <c r="D15" s="9">
        <v>80.36</v>
      </c>
      <c r="E15" s="9"/>
      <c r="F15" s="9"/>
      <c r="G15" s="9"/>
      <c r="H15" s="9">
        <v>70.7</v>
      </c>
      <c r="I15" s="9"/>
      <c r="J15" s="9"/>
      <c r="K15" s="9"/>
      <c r="L15" s="9">
        <v>450</v>
      </c>
      <c r="M15" s="31">
        <f t="shared" si="0"/>
        <v>1264.6400000000001</v>
      </c>
      <c r="N15" s="27">
        <f t="shared" si="1"/>
        <v>449.61999999999989</v>
      </c>
      <c r="O15" s="41">
        <f t="shared" si="2"/>
        <v>0.38000000000010914</v>
      </c>
      <c r="P15" s="28"/>
    </row>
    <row r="16" spans="1:18" ht="15.75" customHeight="1" x14ac:dyDescent="0.35">
      <c r="A16" s="26">
        <v>45184</v>
      </c>
      <c r="B16" s="9">
        <v>894.5</v>
      </c>
      <c r="C16" s="9">
        <v>548.62</v>
      </c>
      <c r="D16" s="9">
        <v>56.38</v>
      </c>
      <c r="E16" s="9"/>
      <c r="F16" s="9"/>
      <c r="G16" s="9"/>
      <c r="H16" s="9">
        <v>32.9</v>
      </c>
      <c r="I16" s="9"/>
      <c r="J16" s="9"/>
      <c r="K16" s="73">
        <v>29.5</v>
      </c>
      <c r="L16" s="9">
        <v>230</v>
      </c>
      <c r="M16" s="31">
        <f t="shared" si="0"/>
        <v>897.4</v>
      </c>
      <c r="N16" s="27">
        <f t="shared" si="1"/>
        <v>227.10000000000002</v>
      </c>
      <c r="O16" s="41">
        <f t="shared" si="2"/>
        <v>2.8999999999999773</v>
      </c>
      <c r="P16" s="28"/>
    </row>
    <row r="17" spans="1:16" ht="15.75" customHeight="1" x14ac:dyDescent="0.35">
      <c r="A17" s="26">
        <v>45185</v>
      </c>
      <c r="B17" s="9">
        <v>1617.05</v>
      </c>
      <c r="C17" s="9">
        <v>900.72</v>
      </c>
      <c r="D17" s="9">
        <v>201.1</v>
      </c>
      <c r="E17" s="9"/>
      <c r="F17" s="9"/>
      <c r="G17" s="9"/>
      <c r="H17" s="9">
        <v>77.7</v>
      </c>
      <c r="I17" s="9"/>
      <c r="J17" s="9"/>
      <c r="K17" s="73">
        <v>51.63</v>
      </c>
      <c r="L17" s="9">
        <v>380</v>
      </c>
      <c r="M17" s="31">
        <f t="shared" si="0"/>
        <v>1611.15</v>
      </c>
      <c r="N17" s="27">
        <f t="shared" si="1"/>
        <v>385.89999999999986</v>
      </c>
      <c r="O17" s="41">
        <f t="shared" si="2"/>
        <v>-5.8999999999998636</v>
      </c>
      <c r="P17" s="28"/>
    </row>
    <row r="18" spans="1:16" ht="15.75" customHeight="1" x14ac:dyDescent="0.35">
      <c r="A18" s="26">
        <v>45186</v>
      </c>
      <c r="B18" s="9">
        <v>837.32</v>
      </c>
      <c r="C18" s="9">
        <v>562.58000000000004</v>
      </c>
      <c r="D18" s="9">
        <v>39.74</v>
      </c>
      <c r="E18" s="9"/>
      <c r="F18" s="9"/>
      <c r="G18" s="9"/>
      <c r="H18" s="9">
        <v>18.899999999999999</v>
      </c>
      <c r="I18" s="9"/>
      <c r="J18" s="9"/>
      <c r="K18" s="9"/>
      <c r="L18" s="9">
        <v>225</v>
      </c>
      <c r="M18" s="31">
        <f t="shared" si="0"/>
        <v>846.22</v>
      </c>
      <c r="N18" s="27">
        <f t="shared" si="1"/>
        <v>216.10000000000002</v>
      </c>
      <c r="O18" s="41">
        <f t="shared" si="2"/>
        <v>8.8999999999999773</v>
      </c>
      <c r="P18" s="28"/>
    </row>
    <row r="19" spans="1:16" ht="15.75" customHeight="1" x14ac:dyDescent="0.35">
      <c r="A19" s="26">
        <v>45187</v>
      </c>
      <c r="B19" s="9">
        <v>521.91</v>
      </c>
      <c r="C19" s="9">
        <v>351.51</v>
      </c>
      <c r="D19" s="9">
        <v>17.2</v>
      </c>
      <c r="E19" s="9"/>
      <c r="F19" s="9"/>
      <c r="G19" s="9"/>
      <c r="H19" s="9"/>
      <c r="I19" s="9"/>
      <c r="J19" s="9"/>
      <c r="K19" s="9"/>
      <c r="L19" s="9">
        <v>155</v>
      </c>
      <c r="M19" s="31">
        <f t="shared" si="0"/>
        <v>523.71</v>
      </c>
      <c r="N19" s="27">
        <f t="shared" si="1"/>
        <v>153.19999999999993</v>
      </c>
      <c r="O19" s="41">
        <f t="shared" si="2"/>
        <v>1.8000000000000682</v>
      </c>
      <c r="P19" s="28"/>
    </row>
    <row r="20" spans="1:16" ht="15.75" customHeight="1" x14ac:dyDescent="0.35">
      <c r="A20" s="26">
        <v>45188</v>
      </c>
      <c r="B20" s="9">
        <v>657.57</v>
      </c>
      <c r="C20" s="9">
        <v>401.66</v>
      </c>
      <c r="D20" s="9">
        <v>25</v>
      </c>
      <c r="E20" s="9"/>
      <c r="F20" s="9"/>
      <c r="G20" s="9">
        <v>36.9</v>
      </c>
      <c r="H20" s="9">
        <v>38.909999999999997</v>
      </c>
      <c r="I20" s="9"/>
      <c r="J20" s="9"/>
      <c r="K20" s="9"/>
      <c r="L20" s="9">
        <v>155</v>
      </c>
      <c r="M20" s="31">
        <f t="shared" si="0"/>
        <v>657.47</v>
      </c>
      <c r="N20" s="27">
        <f t="shared" si="1"/>
        <v>155.10000000000002</v>
      </c>
      <c r="O20" s="41">
        <f t="shared" si="2"/>
        <v>-0.10000000000002274</v>
      </c>
      <c r="P20" s="28"/>
    </row>
    <row r="21" spans="1:16" ht="15.75" customHeight="1" x14ac:dyDescent="0.35">
      <c r="A21" s="26">
        <v>45189</v>
      </c>
      <c r="B21" s="9">
        <v>395.46</v>
      </c>
      <c r="C21" s="9">
        <v>266.76</v>
      </c>
      <c r="D21" s="9">
        <v>11.4</v>
      </c>
      <c r="E21" s="9"/>
      <c r="F21" s="9"/>
      <c r="G21" s="9"/>
      <c r="H21" s="9"/>
      <c r="I21" s="9"/>
      <c r="J21" s="9"/>
      <c r="K21" s="9"/>
      <c r="L21" s="9">
        <v>120</v>
      </c>
      <c r="M21" s="31">
        <f t="shared" si="0"/>
        <v>398.15999999999997</v>
      </c>
      <c r="N21" s="27">
        <f t="shared" si="1"/>
        <v>117.30000000000001</v>
      </c>
      <c r="O21" s="41">
        <f t="shared" si="2"/>
        <v>2.6999999999999886</v>
      </c>
      <c r="P21" s="28"/>
    </row>
    <row r="22" spans="1:16" ht="15.75" customHeight="1" x14ac:dyDescent="0.35">
      <c r="A22" s="26">
        <v>45190</v>
      </c>
      <c r="B22" s="9">
        <v>484.76</v>
      </c>
      <c r="C22" s="9">
        <v>332.36</v>
      </c>
      <c r="D22" s="9">
        <v>17.7</v>
      </c>
      <c r="E22" s="9"/>
      <c r="F22" s="9"/>
      <c r="G22" s="9"/>
      <c r="H22" s="9">
        <v>67.8</v>
      </c>
      <c r="I22" s="9"/>
      <c r="J22" s="9"/>
      <c r="K22" s="9"/>
      <c r="L22" s="9">
        <v>65</v>
      </c>
      <c r="M22" s="31">
        <f t="shared" si="0"/>
        <v>482.86</v>
      </c>
      <c r="N22" s="27">
        <f t="shared" si="1"/>
        <v>66.899999999999977</v>
      </c>
      <c r="O22" s="41">
        <f t="shared" si="2"/>
        <v>-1.8999999999999773</v>
      </c>
      <c r="P22" s="28"/>
    </row>
    <row r="23" spans="1:16" ht="15.75" customHeight="1" x14ac:dyDescent="0.35">
      <c r="A23" s="26">
        <v>45191</v>
      </c>
      <c r="B23" s="9">
        <v>1214.81</v>
      </c>
      <c r="C23" s="9">
        <v>489.76</v>
      </c>
      <c r="D23" s="9">
        <v>37.1</v>
      </c>
      <c r="E23" s="9"/>
      <c r="F23" s="9"/>
      <c r="G23" s="9"/>
      <c r="H23" s="9">
        <v>18.899999999999999</v>
      </c>
      <c r="I23" s="9"/>
      <c r="J23" s="9"/>
      <c r="K23" s="73">
        <f>147.5+73.75+25.08+177.66</f>
        <v>423.99</v>
      </c>
      <c r="L23" s="9">
        <v>245</v>
      </c>
      <c r="M23" s="31">
        <f t="shared" si="0"/>
        <v>1214.75</v>
      </c>
      <c r="N23" s="27">
        <f t="shared" si="1"/>
        <v>245.05999999999995</v>
      </c>
      <c r="O23" s="41">
        <f t="shared" si="2"/>
        <v>-5.999999999994543E-2</v>
      </c>
      <c r="P23" s="28"/>
    </row>
    <row r="24" spans="1:16" ht="15.75" customHeight="1" x14ac:dyDescent="0.35">
      <c r="A24" s="26">
        <v>45192</v>
      </c>
      <c r="B24" s="9">
        <v>1714.11</v>
      </c>
      <c r="C24" s="9">
        <v>1053.75</v>
      </c>
      <c r="D24" s="9">
        <v>161.06</v>
      </c>
      <c r="E24" s="9"/>
      <c r="F24" s="9"/>
      <c r="G24" s="9"/>
      <c r="H24" s="9">
        <v>44.9</v>
      </c>
      <c r="I24" s="9"/>
      <c r="J24" s="9"/>
      <c r="K24" s="9"/>
      <c r="L24" s="9">
        <v>440</v>
      </c>
      <c r="M24" s="31">
        <f t="shared" si="0"/>
        <v>1699.71</v>
      </c>
      <c r="N24" s="27">
        <f t="shared" si="1"/>
        <v>454.39999999999986</v>
      </c>
      <c r="O24" s="41">
        <f t="shared" si="2"/>
        <v>-14.399999999999864</v>
      </c>
      <c r="P24" s="28"/>
    </row>
    <row r="25" spans="1:16" ht="15.75" customHeight="1" x14ac:dyDescent="0.35">
      <c r="A25" s="26">
        <v>45193</v>
      </c>
      <c r="B25" s="9">
        <v>1972.02</v>
      </c>
      <c r="C25" s="9">
        <v>1486.76</v>
      </c>
      <c r="D25" s="9">
        <v>128.52000000000001</v>
      </c>
      <c r="E25" s="9"/>
      <c r="F25" s="9"/>
      <c r="G25" s="9"/>
      <c r="H25" s="9"/>
      <c r="I25" s="9"/>
      <c r="J25" s="9"/>
      <c r="K25" s="9"/>
      <c r="L25" s="9">
        <v>355</v>
      </c>
      <c r="M25" s="31">
        <f t="shared" si="0"/>
        <v>1970.28</v>
      </c>
      <c r="N25" s="27">
        <f t="shared" si="1"/>
        <v>356.74</v>
      </c>
      <c r="O25" s="41">
        <f t="shared" si="2"/>
        <v>-1.7400000000000091</v>
      </c>
      <c r="P25" s="28"/>
    </row>
    <row r="26" spans="1:16" ht="15.75" customHeight="1" x14ac:dyDescent="0.35">
      <c r="A26" s="26">
        <v>45194</v>
      </c>
      <c r="B26" s="9">
        <v>553.91999999999996</v>
      </c>
      <c r="C26" s="9">
        <v>382.82</v>
      </c>
      <c r="D26" s="9">
        <v>57.6</v>
      </c>
      <c r="E26" s="9"/>
      <c r="F26" s="9"/>
      <c r="G26" s="9"/>
      <c r="H26" s="9"/>
      <c r="I26" s="9"/>
      <c r="J26" s="9"/>
      <c r="K26" s="9"/>
      <c r="L26" s="9">
        <v>110</v>
      </c>
      <c r="M26" s="31">
        <f t="shared" si="0"/>
        <v>550.42000000000007</v>
      </c>
      <c r="N26" s="27">
        <f t="shared" si="1"/>
        <v>113.49999999999989</v>
      </c>
      <c r="O26" s="41">
        <f t="shared" si="2"/>
        <v>-3.4999999999998863</v>
      </c>
      <c r="P26" s="28"/>
    </row>
    <row r="27" spans="1:16" ht="15.75" customHeight="1" x14ac:dyDescent="0.35">
      <c r="A27" s="26">
        <v>45195</v>
      </c>
      <c r="B27" s="9">
        <v>1277.7</v>
      </c>
      <c r="C27" s="9">
        <v>181.8</v>
      </c>
      <c r="D27" s="9">
        <v>28.4</v>
      </c>
      <c r="E27" s="9"/>
      <c r="F27" s="9"/>
      <c r="G27" s="9"/>
      <c r="H27" s="9">
        <v>71.7</v>
      </c>
      <c r="I27" s="9"/>
      <c r="J27" s="9"/>
      <c r="K27" s="73">
        <v>858.7</v>
      </c>
      <c r="L27" s="9">
        <v>140</v>
      </c>
      <c r="M27" s="31">
        <f t="shared" si="0"/>
        <v>1280.6000000000001</v>
      </c>
      <c r="N27" s="27">
        <f t="shared" si="1"/>
        <v>137.09999999999991</v>
      </c>
      <c r="O27" s="41">
        <f t="shared" si="2"/>
        <v>2.9000000000000909</v>
      </c>
      <c r="P27" s="28"/>
    </row>
    <row r="28" spans="1:16" ht="15.75" customHeight="1" x14ac:dyDescent="0.35">
      <c r="A28" s="26">
        <v>45196</v>
      </c>
      <c r="B28" s="9">
        <v>842.46</v>
      </c>
      <c r="C28" s="9">
        <v>493.4</v>
      </c>
      <c r="D28" s="9">
        <v>85.02</v>
      </c>
      <c r="E28" s="9"/>
      <c r="F28" s="9"/>
      <c r="G28" s="9"/>
      <c r="H28" s="9">
        <v>37.799999999999997</v>
      </c>
      <c r="I28" s="9"/>
      <c r="J28" s="9"/>
      <c r="K28" s="9"/>
      <c r="L28" s="9">
        <v>230</v>
      </c>
      <c r="M28" s="31">
        <f t="shared" si="0"/>
        <v>846.21999999999991</v>
      </c>
      <c r="N28" s="27">
        <f t="shared" si="1"/>
        <v>226.24000000000012</v>
      </c>
      <c r="O28" s="41">
        <f t="shared" si="2"/>
        <v>3.7599999999998772</v>
      </c>
      <c r="P28" s="28"/>
    </row>
    <row r="29" spans="1:16" ht="15.75" customHeight="1" x14ac:dyDescent="0.35">
      <c r="A29" s="26">
        <v>45197</v>
      </c>
      <c r="B29" s="9">
        <v>751.76</v>
      </c>
      <c r="C29" s="9">
        <v>439.7</v>
      </c>
      <c r="D29" s="9">
        <v>96.56</v>
      </c>
      <c r="E29" s="9"/>
      <c r="F29" s="9"/>
      <c r="G29" s="9"/>
      <c r="H29" s="9">
        <v>32.9</v>
      </c>
      <c r="I29" s="9"/>
      <c r="J29" s="9"/>
      <c r="K29" s="9"/>
      <c r="L29" s="9">
        <v>180</v>
      </c>
      <c r="M29" s="31">
        <f t="shared" si="0"/>
        <v>749.16</v>
      </c>
      <c r="N29" s="27">
        <f t="shared" si="1"/>
        <v>182.60000000000002</v>
      </c>
      <c r="O29" s="41">
        <f t="shared" si="2"/>
        <v>-2.6000000000000227</v>
      </c>
      <c r="P29" s="28"/>
    </row>
    <row r="30" spans="1:16" ht="15.75" customHeight="1" x14ac:dyDescent="0.35">
      <c r="A30" s="26">
        <v>45198</v>
      </c>
      <c r="B30" s="9">
        <v>1076.47</v>
      </c>
      <c r="C30" s="9">
        <v>735.48</v>
      </c>
      <c r="D30" s="9">
        <v>82.1</v>
      </c>
      <c r="E30" s="9"/>
      <c r="F30" s="9"/>
      <c r="G30" s="9"/>
      <c r="H30" s="9">
        <v>72.8</v>
      </c>
      <c r="I30" s="9"/>
      <c r="J30" s="9"/>
      <c r="K30" s="73">
        <v>27.29</v>
      </c>
      <c r="L30" s="9">
        <v>160</v>
      </c>
      <c r="M30" s="31">
        <f t="shared" si="0"/>
        <v>1077.67</v>
      </c>
      <c r="N30" s="27">
        <f t="shared" si="1"/>
        <v>158.79999999999995</v>
      </c>
      <c r="O30" s="41">
        <f t="shared" si="2"/>
        <v>1.2000000000000455</v>
      </c>
      <c r="P30" s="28"/>
    </row>
    <row r="31" spans="1:16" ht="15.75" customHeight="1" x14ac:dyDescent="0.35">
      <c r="A31" s="26">
        <v>45199</v>
      </c>
      <c r="B31" s="9">
        <v>2972.72</v>
      </c>
      <c r="C31" s="9">
        <v>1658.92</v>
      </c>
      <c r="D31" s="9">
        <v>230.6</v>
      </c>
      <c r="E31" s="9"/>
      <c r="F31" s="9"/>
      <c r="G31" s="9">
        <v>18.899999999999999</v>
      </c>
      <c r="H31" s="9">
        <v>88.7</v>
      </c>
      <c r="I31" s="9"/>
      <c r="J31" s="9"/>
      <c r="K31" s="9"/>
      <c r="L31" s="9">
        <v>965</v>
      </c>
      <c r="M31" s="31">
        <f t="shared" si="0"/>
        <v>2962.12</v>
      </c>
      <c r="N31" s="27">
        <f t="shared" si="1"/>
        <v>975.59999999999991</v>
      </c>
      <c r="O31" s="41">
        <f t="shared" si="2"/>
        <v>-10.599999999999909</v>
      </c>
      <c r="P31" s="28"/>
    </row>
    <row r="32" spans="1:16" ht="15.75" customHeight="1" x14ac:dyDescent="0.35">
      <c r="A32" s="26"/>
      <c r="B32" s="44"/>
      <c r="C32" s="44"/>
      <c r="D32" s="44"/>
      <c r="E32" s="9"/>
      <c r="F32" s="9"/>
      <c r="G32" s="9"/>
      <c r="H32" s="44"/>
      <c r="I32" s="9"/>
      <c r="J32" s="9"/>
      <c r="K32" s="55"/>
      <c r="L32" s="44"/>
      <c r="M32" s="31"/>
      <c r="N32" s="27">
        <f t="shared" si="1"/>
        <v>0</v>
      </c>
      <c r="O32" s="41">
        <f t="shared" si="2"/>
        <v>0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35717.000000000007</v>
      </c>
      <c r="N33" s="72">
        <f>M33-O33</f>
        <v>35683.220000000008</v>
      </c>
      <c r="O33" s="49">
        <f>SUM(O2:O32)</f>
        <v>33.780000000000257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62AC-E1B2-429E-8F11-89AA06B598DB}">
  <dimension ref="A1:R1000"/>
  <sheetViews>
    <sheetView workbookViewId="0">
      <pane ySplit="1" topLeftCell="A27" activePane="bottomLeft" state="frozen"/>
      <selection pane="bottomLeft" activeCell="K27" sqref="K27"/>
    </sheetView>
  </sheetViews>
  <sheetFormatPr defaultColWidth="11.25" defaultRowHeight="15" customHeight="1" x14ac:dyDescent="0.35"/>
  <cols>
    <col min="1" max="1" width="10.58203125" customWidth="1"/>
    <col min="2" max="2" width="13.33203125" customWidth="1"/>
    <col min="3" max="3" width="8" customWidth="1"/>
    <col min="4" max="4" width="9.83203125" customWidth="1"/>
    <col min="5" max="5" width="15" customWidth="1"/>
    <col min="6" max="6" width="16" customWidth="1"/>
    <col min="7" max="7" width="8.5" customWidth="1"/>
    <col min="8" max="8" width="10.33203125" customWidth="1"/>
    <col min="9" max="9" width="8.5" customWidth="1"/>
    <col min="10" max="10" width="4.5" customWidth="1"/>
    <col min="11" max="11" width="14.08203125" customWidth="1"/>
    <col min="12" max="12" width="11.58203125" customWidth="1"/>
    <col min="13" max="13" width="13.33203125" customWidth="1"/>
    <col min="14" max="14" width="14.58203125" customWidth="1"/>
    <col min="15" max="15" width="10.58203125" customWidth="1"/>
    <col min="16" max="16" width="12.58203125" customWidth="1"/>
    <col min="17" max="26" width="11" customWidth="1"/>
  </cols>
  <sheetData>
    <row r="1" spans="1:18" ht="15.75" customHeight="1" x14ac:dyDescent="0.35">
      <c r="A1" s="22"/>
      <c r="B1" s="23" t="s">
        <v>2651</v>
      </c>
      <c r="C1" s="23" t="s">
        <v>2652</v>
      </c>
      <c r="D1" s="23" t="s">
        <v>2653</v>
      </c>
      <c r="E1" s="23" t="s">
        <v>2654</v>
      </c>
      <c r="F1" s="23" t="s">
        <v>2655</v>
      </c>
      <c r="G1" s="23" t="s">
        <v>2656</v>
      </c>
      <c r="H1" s="23" t="s">
        <v>2657</v>
      </c>
      <c r="I1" s="23" t="s">
        <v>2658</v>
      </c>
      <c r="J1" s="23" t="s">
        <v>2659</v>
      </c>
      <c r="K1" s="23" t="s">
        <v>2666</v>
      </c>
      <c r="L1" s="23" t="s">
        <v>2660</v>
      </c>
      <c r="M1" s="23" t="s">
        <v>2661</v>
      </c>
      <c r="N1" s="23" t="s">
        <v>2662</v>
      </c>
      <c r="O1" s="24" t="s">
        <v>2663</v>
      </c>
      <c r="P1" s="25" t="s">
        <v>2664</v>
      </c>
      <c r="R1" s="2" t="s">
        <v>2670</v>
      </c>
    </row>
    <row r="2" spans="1:18" ht="15.75" customHeight="1" x14ac:dyDescent="0.35">
      <c r="A2" s="26">
        <v>45200</v>
      </c>
      <c r="B2" s="9">
        <v>2200.94</v>
      </c>
      <c r="C2" s="9">
        <v>1388.26</v>
      </c>
      <c r="D2" s="9">
        <v>237.18</v>
      </c>
      <c r="E2" s="9"/>
      <c r="F2" s="9"/>
      <c r="G2" s="9"/>
      <c r="H2" s="9">
        <v>56.7</v>
      </c>
      <c r="I2" s="9"/>
      <c r="J2" s="9"/>
      <c r="K2" s="9"/>
      <c r="L2" s="9">
        <v>520</v>
      </c>
      <c r="M2" s="31">
        <f t="shared" ref="M2:M32" si="0">C2+D2+E2+F2+G2+H2+I2+J2+L2+K2</f>
        <v>2202.1400000000003</v>
      </c>
      <c r="N2" s="27">
        <f t="shared" ref="N2:N32" si="1">L2-O2</f>
        <v>518.79999999999973</v>
      </c>
      <c r="O2" s="32">
        <f t="shared" ref="O2:O32" si="2">M2-B2-F2</f>
        <v>1.2000000000002728</v>
      </c>
      <c r="P2" s="33"/>
    </row>
    <row r="3" spans="1:18" ht="15.75" customHeight="1" x14ac:dyDescent="0.35">
      <c r="A3" s="26">
        <v>45201</v>
      </c>
      <c r="B3" s="9">
        <v>601.64</v>
      </c>
      <c r="C3" s="9">
        <v>312.7</v>
      </c>
      <c r="D3" s="9">
        <v>110.54</v>
      </c>
      <c r="E3" s="9"/>
      <c r="F3" s="9"/>
      <c r="G3" s="9"/>
      <c r="H3" s="9">
        <v>33</v>
      </c>
      <c r="I3" s="9"/>
      <c r="J3" s="9"/>
      <c r="K3" s="9"/>
      <c r="L3" s="9">
        <v>145</v>
      </c>
      <c r="M3" s="31">
        <f t="shared" si="0"/>
        <v>601.24</v>
      </c>
      <c r="N3" s="27">
        <f t="shared" si="1"/>
        <v>145.39999999999998</v>
      </c>
      <c r="O3" s="70">
        <f t="shared" si="2"/>
        <v>-0.39999999999997726</v>
      </c>
      <c r="P3" s="28"/>
      <c r="Q3" s="56"/>
    </row>
    <row r="4" spans="1:18" ht="15.75" customHeight="1" x14ac:dyDescent="0.35">
      <c r="A4" s="26">
        <v>45202</v>
      </c>
      <c r="B4" s="9">
        <v>501</v>
      </c>
      <c r="C4" s="9">
        <v>296.8</v>
      </c>
      <c r="D4" s="9">
        <v>38.6</v>
      </c>
      <c r="E4" s="9"/>
      <c r="F4" s="9"/>
      <c r="G4" s="9"/>
      <c r="H4" s="9">
        <v>21</v>
      </c>
      <c r="I4" s="9"/>
      <c r="J4" s="9"/>
      <c r="K4" s="9"/>
      <c r="L4" s="9">
        <v>150</v>
      </c>
      <c r="M4" s="31">
        <f t="shared" si="0"/>
        <v>506.40000000000003</v>
      </c>
      <c r="N4" s="27">
        <f t="shared" si="1"/>
        <v>144.59999999999997</v>
      </c>
      <c r="O4" s="41">
        <f t="shared" si="2"/>
        <v>5.4000000000000341</v>
      </c>
      <c r="P4" s="28"/>
    </row>
    <row r="5" spans="1:18" ht="15.75" customHeight="1" x14ac:dyDescent="0.35">
      <c r="A5" s="26">
        <v>45203</v>
      </c>
      <c r="B5" s="9">
        <v>1517.95</v>
      </c>
      <c r="C5" s="9">
        <v>572.48</v>
      </c>
      <c r="D5" s="9">
        <v>54.6</v>
      </c>
      <c r="E5" s="9"/>
      <c r="F5" s="9"/>
      <c r="G5" s="9"/>
      <c r="H5" s="9">
        <v>108.5</v>
      </c>
      <c r="I5" s="9"/>
      <c r="J5" s="9"/>
      <c r="K5" s="73">
        <f>578.29+132.98</f>
        <v>711.27</v>
      </c>
      <c r="L5" s="9">
        <v>70</v>
      </c>
      <c r="M5" s="31">
        <f t="shared" si="0"/>
        <v>1516.85</v>
      </c>
      <c r="N5" s="27">
        <f t="shared" si="1"/>
        <v>71.100000000000136</v>
      </c>
      <c r="O5" s="41">
        <f t="shared" si="2"/>
        <v>-1.1000000000001364</v>
      </c>
      <c r="P5" s="28"/>
    </row>
    <row r="6" spans="1:18" ht="15.75" customHeight="1" x14ac:dyDescent="0.35">
      <c r="A6" s="26">
        <v>45204</v>
      </c>
      <c r="B6" s="9">
        <v>2293.4699999999998</v>
      </c>
      <c r="C6" s="9">
        <v>1552.28</v>
      </c>
      <c r="D6" s="9">
        <v>176.64</v>
      </c>
      <c r="E6" s="9"/>
      <c r="F6" s="9"/>
      <c r="G6" s="9"/>
      <c r="H6" s="9">
        <v>90.6</v>
      </c>
      <c r="I6" s="9"/>
      <c r="J6" s="9"/>
      <c r="K6" s="73">
        <f>85.47+72.28</f>
        <v>157.75</v>
      </c>
      <c r="L6" s="9">
        <v>320</v>
      </c>
      <c r="M6" s="31">
        <f t="shared" si="0"/>
        <v>2297.27</v>
      </c>
      <c r="N6" s="27">
        <f t="shared" si="1"/>
        <v>316.19999999999982</v>
      </c>
      <c r="O6" s="41">
        <f t="shared" si="2"/>
        <v>3.8000000000001819</v>
      </c>
      <c r="P6" s="28"/>
    </row>
    <row r="7" spans="1:18" ht="15.75" customHeight="1" x14ac:dyDescent="0.35">
      <c r="A7" s="26">
        <v>45205</v>
      </c>
      <c r="B7" s="9">
        <v>1443.32</v>
      </c>
      <c r="C7" s="9">
        <v>997.62</v>
      </c>
      <c r="D7" s="9">
        <v>146.6</v>
      </c>
      <c r="E7" s="9"/>
      <c r="F7" s="9"/>
      <c r="G7" s="9"/>
      <c r="H7" s="9"/>
      <c r="I7" s="9"/>
      <c r="J7" s="9"/>
      <c r="K7" s="9"/>
      <c r="L7" s="9">
        <v>305</v>
      </c>
      <c r="M7" s="31">
        <f t="shared" si="0"/>
        <v>1449.22</v>
      </c>
      <c r="N7" s="27">
        <f t="shared" si="1"/>
        <v>299.09999999999991</v>
      </c>
      <c r="O7" s="41">
        <f t="shared" si="2"/>
        <v>5.9000000000000909</v>
      </c>
      <c r="P7" s="28"/>
    </row>
    <row r="8" spans="1:18" ht="15.75" customHeight="1" x14ac:dyDescent="0.35">
      <c r="A8" s="26">
        <v>45206</v>
      </c>
      <c r="B8" s="9">
        <v>2578.48</v>
      </c>
      <c r="C8" s="9">
        <v>1541.98</v>
      </c>
      <c r="D8" s="9">
        <v>251.9</v>
      </c>
      <c r="E8" s="9"/>
      <c r="F8" s="9"/>
      <c r="G8" s="9"/>
      <c r="H8" s="9">
        <v>156.4</v>
      </c>
      <c r="I8" s="9"/>
      <c r="J8" s="9"/>
      <c r="K8" s="9"/>
      <c r="L8" s="9">
        <v>630</v>
      </c>
      <c r="M8" s="31">
        <f t="shared" si="0"/>
        <v>2580.2800000000002</v>
      </c>
      <c r="N8" s="27">
        <f t="shared" si="1"/>
        <v>628.19999999999982</v>
      </c>
      <c r="O8" s="41">
        <f t="shared" si="2"/>
        <v>1.8000000000001819</v>
      </c>
      <c r="P8" s="28"/>
    </row>
    <row r="9" spans="1:18" ht="15.75" customHeight="1" x14ac:dyDescent="0.35">
      <c r="A9" s="26">
        <v>45207</v>
      </c>
      <c r="B9" s="9">
        <v>1834.42</v>
      </c>
      <c r="C9" s="9">
        <v>1234.3800000000001</v>
      </c>
      <c r="D9" s="9">
        <v>165.94</v>
      </c>
      <c r="E9" s="9"/>
      <c r="F9" s="9"/>
      <c r="G9" s="9"/>
      <c r="H9" s="9">
        <v>63.8</v>
      </c>
      <c r="I9" s="9"/>
      <c r="J9" s="9"/>
      <c r="K9" s="9"/>
      <c r="L9" s="9">
        <v>370</v>
      </c>
      <c r="M9" s="31">
        <f t="shared" si="0"/>
        <v>1834.1200000000001</v>
      </c>
      <c r="N9" s="27">
        <f t="shared" si="1"/>
        <v>370.29999999999995</v>
      </c>
      <c r="O9" s="41">
        <f t="shared" si="2"/>
        <v>-0.29999999999995453</v>
      </c>
      <c r="P9" s="28"/>
    </row>
    <row r="10" spans="1:18" ht="15.75" customHeight="1" x14ac:dyDescent="0.35">
      <c r="A10" s="26">
        <v>45208</v>
      </c>
      <c r="B10" s="9">
        <v>992.1</v>
      </c>
      <c r="C10" s="9">
        <v>662.6</v>
      </c>
      <c r="D10" s="9">
        <v>66.2</v>
      </c>
      <c r="E10" s="9"/>
      <c r="F10" s="9"/>
      <c r="G10" s="9"/>
      <c r="H10" s="9">
        <v>18.899999999999999</v>
      </c>
      <c r="I10" s="9"/>
      <c r="J10" s="9"/>
      <c r="K10" s="9"/>
      <c r="L10" s="9">
        <v>250</v>
      </c>
      <c r="M10" s="31">
        <f t="shared" si="0"/>
        <v>997.7</v>
      </c>
      <c r="N10" s="27">
        <f t="shared" si="1"/>
        <v>244.39999999999998</v>
      </c>
      <c r="O10" s="41">
        <f t="shared" si="2"/>
        <v>5.6000000000000227</v>
      </c>
      <c r="P10" s="28"/>
    </row>
    <row r="11" spans="1:18" ht="15.75" customHeight="1" x14ac:dyDescent="0.35">
      <c r="A11" s="26">
        <v>45209</v>
      </c>
      <c r="B11" s="9">
        <v>1419.48</v>
      </c>
      <c r="C11" s="9">
        <v>549.41999999999996</v>
      </c>
      <c r="D11" s="9">
        <v>88.7</v>
      </c>
      <c r="E11" s="9"/>
      <c r="F11" s="9"/>
      <c r="G11" s="9"/>
      <c r="H11" s="9">
        <v>54.8</v>
      </c>
      <c r="I11" s="9"/>
      <c r="J11" s="9"/>
      <c r="K11" s="73">
        <f>507.78+54.58</f>
        <v>562.36</v>
      </c>
      <c r="L11" s="9">
        <v>165</v>
      </c>
      <c r="M11" s="31">
        <f t="shared" si="0"/>
        <v>1420.28</v>
      </c>
      <c r="N11" s="27">
        <f t="shared" si="1"/>
        <v>164.20000000000005</v>
      </c>
      <c r="O11" s="41">
        <f t="shared" si="2"/>
        <v>0.79999999999995453</v>
      </c>
      <c r="P11" s="28"/>
    </row>
    <row r="12" spans="1:18" ht="15.75" customHeight="1" x14ac:dyDescent="0.35">
      <c r="A12" s="26">
        <v>45210</v>
      </c>
      <c r="B12" s="9">
        <v>963.44</v>
      </c>
      <c r="C12" s="9">
        <v>528.33000000000004</v>
      </c>
      <c r="D12" s="9">
        <v>24.8</v>
      </c>
      <c r="E12" s="9"/>
      <c r="F12" s="9"/>
      <c r="G12" s="9"/>
      <c r="H12" s="9"/>
      <c r="I12" s="9"/>
      <c r="J12" s="9"/>
      <c r="K12" s="73">
        <f>180.75</f>
        <v>180.75</v>
      </c>
      <c r="L12" s="9">
        <v>230</v>
      </c>
      <c r="M12" s="31">
        <f>C12+D12+E12+F12+G12+H12+I12+J12+L12+K12</f>
        <v>963.88</v>
      </c>
      <c r="N12" s="27">
        <f t="shared" si="1"/>
        <v>229.56000000000006</v>
      </c>
      <c r="O12" s="41">
        <f t="shared" si="2"/>
        <v>0.43999999999994088</v>
      </c>
      <c r="P12" s="28"/>
      <c r="Q12" s="56"/>
    </row>
    <row r="13" spans="1:18" ht="15.75" customHeight="1" x14ac:dyDescent="0.35">
      <c r="A13" s="26">
        <v>45211</v>
      </c>
      <c r="B13" s="9">
        <v>656.9</v>
      </c>
      <c r="C13" s="9">
        <v>426.1</v>
      </c>
      <c r="D13" s="9">
        <v>45</v>
      </c>
      <c r="E13" s="9"/>
      <c r="F13" s="9"/>
      <c r="G13" s="9"/>
      <c r="H13" s="9"/>
      <c r="I13" s="9"/>
      <c r="J13" s="9"/>
      <c r="K13" s="9"/>
      <c r="L13" s="9">
        <v>185</v>
      </c>
      <c r="M13" s="31">
        <f>C13+D13+E13+F13+G13+H13+I13+J13+L13+K13</f>
        <v>656.1</v>
      </c>
      <c r="N13" s="27">
        <f t="shared" si="1"/>
        <v>185.79999999999995</v>
      </c>
      <c r="O13" s="41">
        <f t="shared" si="2"/>
        <v>-0.79999999999995453</v>
      </c>
      <c r="P13" s="28"/>
    </row>
    <row r="14" spans="1:18" ht="15.75" customHeight="1" x14ac:dyDescent="0.35">
      <c r="A14" s="26">
        <v>45212</v>
      </c>
      <c r="B14" s="9">
        <v>588.75</v>
      </c>
      <c r="C14" s="9">
        <v>257.10000000000002</v>
      </c>
      <c r="D14" s="9">
        <v>0</v>
      </c>
      <c r="E14" s="9"/>
      <c r="F14" s="9"/>
      <c r="G14" s="9"/>
      <c r="H14" s="9">
        <v>74.7</v>
      </c>
      <c r="I14" s="9"/>
      <c r="J14" s="9"/>
      <c r="K14" s="73">
        <v>71.95</v>
      </c>
      <c r="L14" s="9">
        <v>180</v>
      </c>
      <c r="M14" s="31">
        <f t="shared" si="0"/>
        <v>583.75</v>
      </c>
      <c r="N14" s="27">
        <f t="shared" si="1"/>
        <v>185</v>
      </c>
      <c r="O14" s="41">
        <f t="shared" si="2"/>
        <v>-5</v>
      </c>
      <c r="P14" s="28"/>
    </row>
    <row r="15" spans="1:18" ht="15.75" customHeight="1" x14ac:dyDescent="0.35">
      <c r="A15" s="26">
        <v>45213</v>
      </c>
      <c r="B15" s="9">
        <v>1964.78</v>
      </c>
      <c r="C15" s="9">
        <v>1133.78</v>
      </c>
      <c r="D15" s="9">
        <v>158.6</v>
      </c>
      <c r="E15" s="9"/>
      <c r="F15" s="9"/>
      <c r="G15" s="9"/>
      <c r="H15" s="9">
        <v>75.8</v>
      </c>
      <c r="I15" s="9"/>
      <c r="J15" s="9"/>
      <c r="K15" s="9"/>
      <c r="L15" s="9">
        <v>595</v>
      </c>
      <c r="M15" s="31">
        <f t="shared" si="0"/>
        <v>1963.1799999999998</v>
      </c>
      <c r="N15" s="27">
        <f t="shared" si="1"/>
        <v>596.60000000000014</v>
      </c>
      <c r="O15" s="41">
        <f t="shared" si="2"/>
        <v>-1.6000000000001364</v>
      </c>
      <c r="P15" s="28"/>
    </row>
    <row r="16" spans="1:18" ht="15.75" customHeight="1" x14ac:dyDescent="0.35">
      <c r="A16" s="26">
        <v>45214</v>
      </c>
      <c r="B16" s="9">
        <v>568.41999999999996</v>
      </c>
      <c r="C16" s="9">
        <v>313.95999999999998</v>
      </c>
      <c r="D16" s="9">
        <v>68.959999999999994</v>
      </c>
      <c r="E16" s="9"/>
      <c r="F16" s="9"/>
      <c r="G16" s="9"/>
      <c r="H16" s="9">
        <v>89.6</v>
      </c>
      <c r="I16" s="9"/>
      <c r="J16" s="9"/>
      <c r="K16" s="9"/>
      <c r="L16" s="9">
        <v>95</v>
      </c>
      <c r="M16" s="31">
        <f t="shared" si="0"/>
        <v>567.52</v>
      </c>
      <c r="N16" s="27">
        <f t="shared" si="1"/>
        <v>95.899999999999977</v>
      </c>
      <c r="O16" s="41">
        <f t="shared" si="2"/>
        <v>-0.89999999999997726</v>
      </c>
      <c r="P16" s="28"/>
    </row>
    <row r="17" spans="1:16" ht="15.75" customHeight="1" x14ac:dyDescent="0.35">
      <c r="A17" s="26">
        <v>45215</v>
      </c>
      <c r="B17" s="9">
        <v>227.4</v>
      </c>
      <c r="C17" s="9">
        <v>139.69999999999999</v>
      </c>
      <c r="D17" s="9">
        <v>29.2</v>
      </c>
      <c r="E17" s="9"/>
      <c r="F17" s="9"/>
      <c r="G17" s="9"/>
      <c r="H17" s="9"/>
      <c r="I17" s="9"/>
      <c r="J17" s="9"/>
      <c r="K17" s="9"/>
      <c r="L17" s="9">
        <v>60</v>
      </c>
      <c r="M17" s="31">
        <f t="shared" si="0"/>
        <v>228.89999999999998</v>
      </c>
      <c r="N17" s="27">
        <f t="shared" si="1"/>
        <v>58.500000000000028</v>
      </c>
      <c r="O17" s="41">
        <f t="shared" si="2"/>
        <v>1.4999999999999716</v>
      </c>
      <c r="P17" s="28"/>
    </row>
    <row r="18" spans="1:16" ht="15.75" customHeight="1" x14ac:dyDescent="0.35">
      <c r="A18" s="26">
        <v>45216</v>
      </c>
      <c r="B18" s="9">
        <v>118.3</v>
      </c>
      <c r="C18" s="9">
        <v>43.9</v>
      </c>
      <c r="D18" s="9">
        <v>1</v>
      </c>
      <c r="E18" s="9"/>
      <c r="F18" s="9"/>
      <c r="G18" s="9"/>
      <c r="H18" s="9">
        <v>32.9</v>
      </c>
      <c r="I18" s="9"/>
      <c r="J18" s="9"/>
      <c r="K18" s="9"/>
      <c r="L18" s="9">
        <v>40</v>
      </c>
      <c r="M18" s="31">
        <f t="shared" si="0"/>
        <v>117.8</v>
      </c>
      <c r="N18" s="27">
        <f t="shared" si="1"/>
        <v>40.5</v>
      </c>
      <c r="O18" s="41">
        <f t="shared" si="2"/>
        <v>-0.5</v>
      </c>
      <c r="P18" s="28"/>
    </row>
    <row r="19" spans="1:16" ht="15.75" customHeight="1" x14ac:dyDescent="0.35">
      <c r="A19" s="26">
        <v>45217</v>
      </c>
      <c r="B19" s="9">
        <v>94.82</v>
      </c>
      <c r="C19" s="9">
        <v>32.799999999999997</v>
      </c>
      <c r="D19" s="9">
        <v>0</v>
      </c>
      <c r="E19" s="9"/>
      <c r="F19" s="9"/>
      <c r="G19" s="9"/>
      <c r="H19" s="9"/>
      <c r="I19" s="9"/>
      <c r="J19" s="9"/>
      <c r="K19" s="9"/>
      <c r="L19" s="9">
        <v>65</v>
      </c>
      <c r="M19" s="31">
        <f t="shared" si="0"/>
        <v>97.8</v>
      </c>
      <c r="N19" s="27">
        <f t="shared" si="1"/>
        <v>62.019999999999996</v>
      </c>
      <c r="O19" s="41">
        <f t="shared" si="2"/>
        <v>2.980000000000004</v>
      </c>
      <c r="P19" s="28"/>
    </row>
    <row r="20" spans="1:16" ht="15.75" customHeight="1" x14ac:dyDescent="0.35">
      <c r="A20" s="26">
        <v>45218</v>
      </c>
      <c r="B20" s="9">
        <v>191.4</v>
      </c>
      <c r="C20" s="9">
        <v>142.19999999999999</v>
      </c>
      <c r="D20" s="9">
        <v>5.8</v>
      </c>
      <c r="E20" s="9"/>
      <c r="F20" s="9"/>
      <c r="G20" s="9"/>
      <c r="H20" s="9"/>
      <c r="I20" s="9"/>
      <c r="J20" s="9"/>
      <c r="K20" s="9"/>
      <c r="L20" s="9">
        <v>45</v>
      </c>
      <c r="M20" s="31">
        <f t="shared" si="0"/>
        <v>193</v>
      </c>
      <c r="N20" s="27">
        <f t="shared" si="1"/>
        <v>43.400000000000006</v>
      </c>
      <c r="O20" s="41">
        <f t="shared" si="2"/>
        <v>1.5999999999999943</v>
      </c>
      <c r="P20" s="28"/>
    </row>
    <row r="21" spans="1:16" ht="15.75" customHeight="1" x14ac:dyDescent="0.35">
      <c r="A21" s="26">
        <v>45219</v>
      </c>
      <c r="B21" s="9">
        <v>190.38</v>
      </c>
      <c r="C21" s="9">
        <v>139.38</v>
      </c>
      <c r="D21" s="9">
        <v>0</v>
      </c>
      <c r="E21" s="9"/>
      <c r="F21" s="9"/>
      <c r="G21" s="9"/>
      <c r="H21" s="9"/>
      <c r="I21" s="9"/>
      <c r="J21" s="9"/>
      <c r="K21" s="9"/>
      <c r="L21" s="9">
        <v>50</v>
      </c>
      <c r="M21" s="31">
        <f t="shared" si="0"/>
        <v>189.38</v>
      </c>
      <c r="N21" s="27">
        <f t="shared" si="1"/>
        <v>51</v>
      </c>
      <c r="O21" s="41">
        <f t="shared" si="2"/>
        <v>-1</v>
      </c>
      <c r="P21" s="28"/>
    </row>
    <row r="22" spans="1:16" ht="15.75" customHeight="1" x14ac:dyDescent="0.35">
      <c r="A22" s="26">
        <v>45220</v>
      </c>
      <c r="B22" s="9">
        <v>1289</v>
      </c>
      <c r="C22" s="9">
        <v>829.49</v>
      </c>
      <c r="D22" s="9">
        <v>72.400000000000006</v>
      </c>
      <c r="E22" s="9"/>
      <c r="F22" s="9"/>
      <c r="G22" s="9"/>
      <c r="H22" s="9">
        <v>109.5</v>
      </c>
      <c r="I22" s="9"/>
      <c r="J22" s="9"/>
      <c r="K22" s="9"/>
      <c r="L22" s="9">
        <v>280</v>
      </c>
      <c r="M22" s="31">
        <f t="shared" si="0"/>
        <v>1291.3899999999999</v>
      </c>
      <c r="N22" s="27">
        <f t="shared" si="1"/>
        <v>277.61000000000013</v>
      </c>
      <c r="O22" s="41">
        <f t="shared" si="2"/>
        <v>2.3899999999998727</v>
      </c>
      <c r="P22" s="28"/>
    </row>
    <row r="23" spans="1:16" ht="15.75" customHeight="1" x14ac:dyDescent="0.35">
      <c r="A23" s="26">
        <v>45221</v>
      </c>
      <c r="B23" s="9">
        <v>1148.8800000000001</v>
      </c>
      <c r="C23" s="9">
        <v>761.2</v>
      </c>
      <c r="D23" s="9">
        <v>94.9</v>
      </c>
      <c r="E23" s="9"/>
      <c r="F23" s="9"/>
      <c r="G23" s="9"/>
      <c r="H23" s="9">
        <v>37.799999999999997</v>
      </c>
      <c r="I23" s="9"/>
      <c r="J23" s="9"/>
      <c r="K23" s="9"/>
      <c r="L23" s="9">
        <v>260</v>
      </c>
      <c r="M23" s="31">
        <f t="shared" si="0"/>
        <v>1153.9000000000001</v>
      </c>
      <c r="N23" s="27">
        <f t="shared" si="1"/>
        <v>254.98000000000002</v>
      </c>
      <c r="O23" s="41">
        <f t="shared" si="2"/>
        <v>5.0199999999999818</v>
      </c>
      <c r="P23" s="28"/>
    </row>
    <row r="24" spans="1:16" ht="15.75" customHeight="1" x14ac:dyDescent="0.35">
      <c r="A24" s="26">
        <v>45222</v>
      </c>
      <c r="B24" s="9">
        <v>55.49</v>
      </c>
      <c r="C24" s="9">
        <v>55.49</v>
      </c>
      <c r="D24" s="9">
        <v>0</v>
      </c>
      <c r="E24" s="9"/>
      <c r="F24" s="9"/>
      <c r="G24" s="9"/>
      <c r="H24" s="9"/>
      <c r="I24" s="9"/>
      <c r="J24" s="9"/>
      <c r="K24" s="9"/>
      <c r="L24" s="9">
        <v>0</v>
      </c>
      <c r="M24" s="31">
        <f t="shared" si="0"/>
        <v>55.49</v>
      </c>
      <c r="N24" s="27">
        <f t="shared" si="1"/>
        <v>0</v>
      </c>
      <c r="O24" s="41">
        <f t="shared" si="2"/>
        <v>0</v>
      </c>
      <c r="P24" s="28"/>
    </row>
    <row r="25" spans="1:16" ht="15.75" customHeight="1" x14ac:dyDescent="0.35">
      <c r="A25" s="26">
        <v>45223</v>
      </c>
      <c r="B25" s="9">
        <v>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31">
        <f t="shared" si="0"/>
        <v>0</v>
      </c>
      <c r="N25" s="27">
        <f t="shared" si="1"/>
        <v>0</v>
      </c>
      <c r="O25" s="41">
        <f t="shared" si="2"/>
        <v>0</v>
      </c>
      <c r="P25" s="28"/>
    </row>
    <row r="26" spans="1:16" ht="15.75" customHeight="1" x14ac:dyDescent="0.35">
      <c r="A26" s="26">
        <v>45224</v>
      </c>
      <c r="B26" s="9"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31">
        <f t="shared" si="0"/>
        <v>0</v>
      </c>
      <c r="N26" s="27">
        <f t="shared" si="1"/>
        <v>0</v>
      </c>
      <c r="O26" s="41">
        <f t="shared" si="2"/>
        <v>0</v>
      </c>
      <c r="P26" s="28"/>
    </row>
    <row r="27" spans="1:16" ht="15.75" customHeight="1" x14ac:dyDescent="0.35">
      <c r="A27" s="26">
        <v>45225</v>
      </c>
      <c r="B27" s="9">
        <v>383.56</v>
      </c>
      <c r="C27" s="9">
        <v>190.72</v>
      </c>
      <c r="D27" s="9">
        <v>0</v>
      </c>
      <c r="E27" s="9"/>
      <c r="F27" s="9"/>
      <c r="G27" s="9"/>
      <c r="H27" s="9"/>
      <c r="I27" s="9"/>
      <c r="J27" s="9"/>
      <c r="K27" s="73">
        <f>81+33.44</f>
        <v>114.44</v>
      </c>
      <c r="L27" s="9">
        <v>80</v>
      </c>
      <c r="M27" s="31">
        <f t="shared" si="0"/>
        <v>385.16</v>
      </c>
      <c r="N27" s="27">
        <f t="shared" si="1"/>
        <v>78.399999999999977</v>
      </c>
      <c r="O27" s="41">
        <f t="shared" si="2"/>
        <v>1.6000000000000227</v>
      </c>
      <c r="P27" s="28"/>
    </row>
    <row r="28" spans="1:16" ht="15.75" customHeight="1" x14ac:dyDescent="0.35">
      <c r="A28" s="26">
        <v>45226</v>
      </c>
      <c r="B28" s="9">
        <v>426.99</v>
      </c>
      <c r="C28" s="9">
        <v>206.96</v>
      </c>
      <c r="D28" s="9">
        <v>7.8</v>
      </c>
      <c r="E28" s="9"/>
      <c r="F28" s="9"/>
      <c r="G28" s="9"/>
      <c r="H28" s="9">
        <v>52.9</v>
      </c>
      <c r="I28" s="9"/>
      <c r="J28" s="9"/>
      <c r="K28" s="9"/>
      <c r="L28" s="9">
        <v>160</v>
      </c>
      <c r="M28" s="31">
        <f t="shared" si="0"/>
        <v>427.66</v>
      </c>
      <c r="N28" s="27">
        <f t="shared" si="1"/>
        <v>159.32999999999998</v>
      </c>
      <c r="O28" s="41">
        <f t="shared" si="2"/>
        <v>0.67000000000001592</v>
      </c>
      <c r="P28" s="28"/>
    </row>
    <row r="29" spans="1:16" ht="15.75" customHeight="1" x14ac:dyDescent="0.35">
      <c r="A29" s="26">
        <v>45227</v>
      </c>
      <c r="B29" s="9">
        <v>538.22</v>
      </c>
      <c r="C29" s="9">
        <v>426.82</v>
      </c>
      <c r="D29" s="9">
        <v>34.299999999999997</v>
      </c>
      <c r="E29" s="9"/>
      <c r="F29" s="9"/>
      <c r="G29" s="9"/>
      <c r="H29" s="9">
        <v>51.8</v>
      </c>
      <c r="I29" s="9"/>
      <c r="J29" s="9"/>
      <c r="K29" s="9"/>
      <c r="L29" s="9">
        <v>30</v>
      </c>
      <c r="M29" s="31">
        <f>C29+D29+E29+F29+G29+H29+I29+J29+L29+K29</f>
        <v>542.91999999999996</v>
      </c>
      <c r="N29" s="27">
        <f t="shared" si="1"/>
        <v>25.300000000000068</v>
      </c>
      <c r="O29" s="41">
        <f t="shared" si="2"/>
        <v>4.6999999999999318</v>
      </c>
      <c r="P29" s="28"/>
    </row>
    <row r="30" spans="1:16" ht="15.75" customHeight="1" x14ac:dyDescent="0.35">
      <c r="A30" s="26">
        <v>45228</v>
      </c>
      <c r="B30" s="9">
        <v>523.79</v>
      </c>
      <c r="C30" s="9">
        <v>362.33</v>
      </c>
      <c r="D30" s="9">
        <v>24.68</v>
      </c>
      <c r="E30" s="9"/>
      <c r="F30" s="9"/>
      <c r="G30" s="9"/>
      <c r="H30" s="9">
        <v>37.799999999999997</v>
      </c>
      <c r="I30" s="9"/>
      <c r="J30" s="9"/>
      <c r="K30" s="9"/>
      <c r="L30" s="9">
        <v>100</v>
      </c>
      <c r="M30" s="31">
        <f t="shared" si="0"/>
        <v>524.80999999999995</v>
      </c>
      <c r="N30" s="27">
        <f t="shared" si="1"/>
        <v>98.980000000000018</v>
      </c>
      <c r="O30" s="41">
        <f t="shared" si="2"/>
        <v>1.0199999999999818</v>
      </c>
      <c r="P30" s="28"/>
    </row>
    <row r="31" spans="1:16" ht="15.75" customHeight="1" x14ac:dyDescent="0.35">
      <c r="A31" s="26">
        <v>45229</v>
      </c>
      <c r="B31" s="9">
        <v>202.4</v>
      </c>
      <c r="C31" s="9">
        <v>144.5</v>
      </c>
      <c r="D31" s="9">
        <v>17.8</v>
      </c>
      <c r="E31" s="9"/>
      <c r="F31" s="9"/>
      <c r="G31" s="9"/>
      <c r="H31" s="9"/>
      <c r="I31" s="9"/>
      <c r="J31" s="9"/>
      <c r="K31" s="9"/>
      <c r="L31" s="9">
        <v>40</v>
      </c>
      <c r="M31" s="31">
        <f t="shared" si="0"/>
        <v>202.3</v>
      </c>
      <c r="N31" s="27">
        <f t="shared" si="1"/>
        <v>40.099999999999994</v>
      </c>
      <c r="O31" s="41">
        <f t="shared" si="2"/>
        <v>-9.9999999999994316E-2</v>
      </c>
      <c r="P31" s="28"/>
    </row>
    <row r="32" spans="1:16" ht="15.75" customHeight="1" x14ac:dyDescent="0.35">
      <c r="A32" s="26">
        <v>45230</v>
      </c>
      <c r="B32" s="44">
        <v>346.05</v>
      </c>
      <c r="C32" s="44">
        <v>262.05</v>
      </c>
      <c r="D32" s="44">
        <v>14.4</v>
      </c>
      <c r="E32" s="9"/>
      <c r="F32" s="9"/>
      <c r="G32" s="9"/>
      <c r="H32" s="44"/>
      <c r="I32" s="9"/>
      <c r="J32" s="9"/>
      <c r="K32" s="55"/>
      <c r="L32" s="44">
        <v>70</v>
      </c>
      <c r="M32" s="31">
        <f t="shared" si="0"/>
        <v>346.45</v>
      </c>
      <c r="N32" s="27">
        <f t="shared" si="1"/>
        <v>69.600000000000023</v>
      </c>
      <c r="O32" s="41">
        <f t="shared" si="2"/>
        <v>0.39999999999997726</v>
      </c>
      <c r="P32" s="28"/>
    </row>
    <row r="33" spans="1:18" ht="15.75" customHeight="1" x14ac:dyDescent="0.35">
      <c r="A33" s="270" t="s">
        <v>2661</v>
      </c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2"/>
      <c r="M33" s="48">
        <f>SUM(M2:M32)</f>
        <v>25896.890000000003</v>
      </c>
      <c r="N33" s="72">
        <f>M33-O33</f>
        <v>25861.770000000004</v>
      </c>
      <c r="O33" s="49">
        <f>SUM(O2:O32)</f>
        <v>35.120000000000303</v>
      </c>
      <c r="P33" s="50"/>
      <c r="R33" s="51"/>
    </row>
    <row r="34" spans="1:18" ht="15.75" customHeight="1" x14ac:dyDescent="0.35"/>
    <row r="35" spans="1:18" ht="15.75" customHeight="1" x14ac:dyDescent="0.35"/>
    <row r="36" spans="1:18" ht="15.75" customHeight="1" x14ac:dyDescent="0.35"/>
    <row r="37" spans="1:18" ht="15.75" customHeight="1" x14ac:dyDescent="0.35"/>
    <row r="38" spans="1:18" ht="15.75" customHeight="1" x14ac:dyDescent="0.35"/>
    <row r="39" spans="1:18" ht="15.75" customHeight="1" x14ac:dyDescent="0.35"/>
    <row r="40" spans="1:18" ht="15.75" customHeight="1" x14ac:dyDescent="0.35"/>
    <row r="41" spans="1:18" ht="15.75" customHeight="1" x14ac:dyDescent="0.35"/>
    <row r="42" spans="1:18" ht="15.75" customHeight="1" x14ac:dyDescent="0.35"/>
    <row r="43" spans="1:18" ht="15.75" customHeight="1" x14ac:dyDescent="0.35"/>
    <row r="44" spans="1:18" ht="15.75" customHeight="1" x14ac:dyDescent="0.35"/>
    <row r="45" spans="1:18" ht="15.75" customHeight="1" x14ac:dyDescent="0.35"/>
    <row r="46" spans="1:18" ht="15.75" customHeight="1" x14ac:dyDescent="0.35"/>
    <row r="47" spans="1:18" ht="15.75" customHeight="1" x14ac:dyDescent="0.35"/>
    <row r="48" spans="1:1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33:L33"/>
  </mergeCells>
  <pageMargins left="0.75" right="0.75" top="1" bottom="1" header="0" footer="0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C4AB-9D53-467A-9C3A-A7896BC0FC66}">
  <dimension ref="A2:S1001"/>
  <sheetViews>
    <sheetView workbookViewId="0">
      <pane ySplit="2" topLeftCell="A3" activePane="bottomLeft" state="frozen"/>
      <selection pane="bottomLeft" activeCell="C3" sqref="C3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45536</v>
      </c>
      <c r="B3" s="95" t="s">
        <v>2688</v>
      </c>
      <c r="C3" s="9">
        <f>D3+N3</f>
        <v>4214.6100000000006</v>
      </c>
      <c r="D3" s="9">
        <v>3774.01</v>
      </c>
      <c r="E3" s="9">
        <v>1563.52</v>
      </c>
      <c r="F3" s="9">
        <v>150.4</v>
      </c>
      <c r="G3" s="9"/>
      <c r="H3" s="9"/>
      <c r="I3" s="9"/>
      <c r="J3" s="9">
        <v>136.5</v>
      </c>
      <c r="K3" s="9"/>
      <c r="L3" s="9"/>
      <c r="M3" s="73">
        <f>732+816.39</f>
        <v>1548.3899999999999</v>
      </c>
      <c r="N3" s="97">
        <v>440.6</v>
      </c>
      <c r="O3" s="9">
        <v>380</v>
      </c>
      <c r="P3" s="99">
        <f t="shared" ref="P3:P14" si="0">E3+F3+G3+H3+I3+J3+K3+L3+O3+M3+N3</f>
        <v>4219.41</v>
      </c>
      <c r="Q3" s="27">
        <f t="shared" ref="Q3:Q33" si="1">O3-R3</f>
        <v>375.20000000000073</v>
      </c>
      <c r="R3" s="70">
        <f>P3-C3-H3</f>
        <v>4.7999999999992724</v>
      </c>
      <c r="S3" s="28"/>
    </row>
    <row r="4" spans="1:19" ht="15.75" customHeight="1" x14ac:dyDescent="0.35">
      <c r="A4" s="26">
        <v>45537</v>
      </c>
      <c r="B4" s="95" t="s">
        <v>119</v>
      </c>
      <c r="C4" s="9">
        <f>D4+N4</f>
        <v>1254.3399999999999</v>
      </c>
      <c r="D4" s="9">
        <v>943.8</v>
      </c>
      <c r="E4" s="9">
        <v>509.8</v>
      </c>
      <c r="F4" s="9">
        <v>142.9</v>
      </c>
      <c r="G4" s="9"/>
      <c r="H4" s="9"/>
      <c r="I4" s="9"/>
      <c r="J4" s="9">
        <v>51.8</v>
      </c>
      <c r="K4" s="9"/>
      <c r="L4" s="9"/>
      <c r="M4" s="9"/>
      <c r="N4" s="97">
        <v>310.54000000000002</v>
      </c>
      <c r="O4" s="9">
        <v>240</v>
      </c>
      <c r="P4" s="99">
        <f t="shared" si="0"/>
        <v>1255.04</v>
      </c>
      <c r="Q4" s="27">
        <f t="shared" si="1"/>
        <v>239.29999999999995</v>
      </c>
      <c r="R4" s="70">
        <f t="shared" ref="R4:R14" si="2">P4-C4-H4</f>
        <v>0.70000000000004547</v>
      </c>
      <c r="S4" s="28"/>
    </row>
    <row r="5" spans="1:19" ht="15.75" customHeight="1" x14ac:dyDescent="0.35">
      <c r="A5" s="26">
        <v>45538</v>
      </c>
      <c r="B5" s="95" t="s">
        <v>119</v>
      </c>
      <c r="C5" s="9">
        <f t="shared" ref="C5:C32" si="3">D5+N5</f>
        <v>1276.96</v>
      </c>
      <c r="D5" s="9">
        <v>891.76</v>
      </c>
      <c r="E5" s="9">
        <v>555.78</v>
      </c>
      <c r="F5" s="9">
        <v>86.4</v>
      </c>
      <c r="G5" s="9"/>
      <c r="H5" s="9"/>
      <c r="I5" s="9"/>
      <c r="J5" s="9">
        <v>32.9</v>
      </c>
      <c r="K5" s="9"/>
      <c r="L5" s="9"/>
      <c r="M5" s="9"/>
      <c r="N5" s="97">
        <v>385.2</v>
      </c>
      <c r="O5" s="9">
        <v>215</v>
      </c>
      <c r="P5" s="99">
        <f t="shared" si="0"/>
        <v>1275.28</v>
      </c>
      <c r="Q5" s="27">
        <f t="shared" si="1"/>
        <v>216.68000000000006</v>
      </c>
      <c r="R5" s="41">
        <f t="shared" si="2"/>
        <v>-1.6800000000000637</v>
      </c>
      <c r="S5" s="28"/>
    </row>
    <row r="6" spans="1:19" ht="15.75" customHeight="1" x14ac:dyDescent="0.35">
      <c r="A6" s="26">
        <v>45539</v>
      </c>
      <c r="B6" s="95" t="s">
        <v>119</v>
      </c>
      <c r="C6" s="9">
        <f t="shared" si="3"/>
        <v>1603.7</v>
      </c>
      <c r="D6" s="9">
        <v>1104.5</v>
      </c>
      <c r="E6" s="9">
        <v>760.22</v>
      </c>
      <c r="F6" s="9">
        <v>98.3</v>
      </c>
      <c r="G6" s="9"/>
      <c r="H6" s="9"/>
      <c r="I6" s="9"/>
      <c r="J6" s="9"/>
      <c r="K6" s="9"/>
      <c r="L6" s="9"/>
      <c r="M6" s="9"/>
      <c r="N6" s="97">
        <v>499.2</v>
      </c>
      <c r="O6" s="9">
        <v>245</v>
      </c>
      <c r="P6" s="99">
        <f t="shared" si="0"/>
        <v>1602.72</v>
      </c>
      <c r="Q6" s="27">
        <f>O6-R6</f>
        <v>245.98000000000002</v>
      </c>
      <c r="R6" s="41">
        <f t="shared" si="2"/>
        <v>-0.98000000000001819</v>
      </c>
      <c r="S6" s="28"/>
    </row>
    <row r="7" spans="1:19" ht="15.75" customHeight="1" x14ac:dyDescent="0.35">
      <c r="A7" s="26">
        <v>45540</v>
      </c>
      <c r="B7" s="95" t="s">
        <v>119</v>
      </c>
      <c r="C7" s="9">
        <f t="shared" si="3"/>
        <v>1407.62</v>
      </c>
      <c r="D7" s="9">
        <v>1150.22</v>
      </c>
      <c r="E7" s="9">
        <v>481.52</v>
      </c>
      <c r="F7" s="83">
        <v>100.09</v>
      </c>
      <c r="G7" s="9"/>
      <c r="H7" s="9"/>
      <c r="I7" s="9"/>
      <c r="J7" s="9">
        <v>159.4</v>
      </c>
      <c r="K7" s="9"/>
      <c r="L7" s="9"/>
      <c r="M7" s="73">
        <f>128.63+91.81+27.7</f>
        <v>248.14</v>
      </c>
      <c r="N7" s="97">
        <v>257.39999999999998</v>
      </c>
      <c r="O7" s="9">
        <v>160</v>
      </c>
      <c r="P7" s="99">
        <f t="shared" si="0"/>
        <v>1406.5500000000002</v>
      </c>
      <c r="Q7" s="27">
        <f t="shared" si="1"/>
        <v>161.06999999999971</v>
      </c>
      <c r="R7" s="41">
        <f t="shared" si="2"/>
        <v>-1.069999999999709</v>
      </c>
      <c r="S7" s="28"/>
    </row>
    <row r="8" spans="1:19" ht="15.75" customHeight="1" x14ac:dyDescent="0.35">
      <c r="A8" s="26">
        <v>45541</v>
      </c>
      <c r="B8" s="95" t="s">
        <v>119</v>
      </c>
      <c r="C8" s="9">
        <f t="shared" si="3"/>
        <v>1353.6</v>
      </c>
      <c r="D8" s="9">
        <v>859.21</v>
      </c>
      <c r="E8" s="9">
        <v>466.85</v>
      </c>
      <c r="F8" s="9">
        <v>73.459999999999994</v>
      </c>
      <c r="G8" s="9"/>
      <c r="H8" s="9"/>
      <c r="I8" s="9"/>
      <c r="J8" s="9">
        <v>70.7</v>
      </c>
      <c r="K8" s="9"/>
      <c r="L8" s="9"/>
      <c r="M8" s="9"/>
      <c r="N8" s="97">
        <v>494.39</v>
      </c>
      <c r="O8" s="9">
        <v>250</v>
      </c>
      <c r="P8" s="99">
        <f t="shared" si="0"/>
        <v>1355.4</v>
      </c>
      <c r="Q8" s="27">
        <f t="shared" si="1"/>
        <v>248.19999999999982</v>
      </c>
      <c r="R8" s="41">
        <f t="shared" si="2"/>
        <v>1.8000000000001819</v>
      </c>
      <c r="S8" s="28"/>
    </row>
    <row r="9" spans="1:19" ht="15.75" customHeight="1" x14ac:dyDescent="0.35">
      <c r="A9" s="26">
        <v>45542</v>
      </c>
      <c r="B9" s="95"/>
      <c r="C9" s="9">
        <f t="shared" si="3"/>
        <v>2660.24</v>
      </c>
      <c r="D9" s="9">
        <v>1772.44</v>
      </c>
      <c r="E9" s="9">
        <v>1189.17</v>
      </c>
      <c r="F9" s="9">
        <v>233.74</v>
      </c>
      <c r="G9" s="9"/>
      <c r="H9" s="9"/>
      <c r="I9" s="9"/>
      <c r="J9" s="9">
        <v>51.8</v>
      </c>
      <c r="K9" s="9"/>
      <c r="L9" s="9"/>
      <c r="M9" s="9"/>
      <c r="N9" s="97">
        <v>887.8</v>
      </c>
      <c r="O9" s="9">
        <v>280</v>
      </c>
      <c r="P9" s="99">
        <f t="shared" si="0"/>
        <v>2642.51</v>
      </c>
      <c r="Q9" s="27">
        <f t="shared" si="1"/>
        <v>297.72999999999956</v>
      </c>
      <c r="R9" s="41">
        <f t="shared" si="2"/>
        <v>-17.729999999999563</v>
      </c>
      <c r="S9" s="28"/>
    </row>
    <row r="10" spans="1:19" ht="15.75" customHeight="1" x14ac:dyDescent="0.35">
      <c r="A10" s="26">
        <v>45543</v>
      </c>
      <c r="B10" s="95"/>
      <c r="C10" s="9">
        <f t="shared" si="3"/>
        <v>2254.8000000000002</v>
      </c>
      <c r="D10" s="9">
        <v>1778</v>
      </c>
      <c r="E10" s="9">
        <v>1233.5</v>
      </c>
      <c r="F10" s="9">
        <v>184.3</v>
      </c>
      <c r="G10" s="9"/>
      <c r="H10" s="9"/>
      <c r="I10" s="9"/>
      <c r="J10" s="9">
        <v>70.7</v>
      </c>
      <c r="K10" s="9"/>
      <c r="L10" s="9"/>
      <c r="M10" s="9"/>
      <c r="N10" s="97">
        <v>476.8</v>
      </c>
      <c r="O10" s="9">
        <v>270</v>
      </c>
      <c r="P10" s="99">
        <f t="shared" si="0"/>
        <v>2235.3000000000002</v>
      </c>
      <c r="Q10" s="27">
        <f t="shared" si="1"/>
        <v>289.5</v>
      </c>
      <c r="R10" s="41">
        <f t="shared" si="2"/>
        <v>-19.5</v>
      </c>
      <c r="S10" s="28"/>
    </row>
    <row r="11" spans="1:19" ht="15.75" customHeight="1" x14ac:dyDescent="0.35">
      <c r="A11" s="26">
        <v>45544</v>
      </c>
      <c r="B11" s="95"/>
      <c r="C11" s="9">
        <f t="shared" si="3"/>
        <v>1151.54</v>
      </c>
      <c r="D11" s="9">
        <v>843.54</v>
      </c>
      <c r="E11" s="9">
        <v>578.34</v>
      </c>
      <c r="F11" s="9">
        <v>69.5</v>
      </c>
      <c r="G11" s="9"/>
      <c r="H11" s="9"/>
      <c r="I11" s="9"/>
      <c r="J11" s="9"/>
      <c r="K11" s="9"/>
      <c r="L11" s="9"/>
      <c r="M11" s="9"/>
      <c r="N11" s="97">
        <v>308</v>
      </c>
      <c r="O11" s="9">
        <v>195</v>
      </c>
      <c r="P11" s="99">
        <f t="shared" si="0"/>
        <v>1150.8400000000001</v>
      </c>
      <c r="Q11" s="27">
        <f t="shared" si="1"/>
        <v>195.69999999999982</v>
      </c>
      <c r="R11" s="41">
        <f t="shared" si="2"/>
        <v>-0.6999999999998181</v>
      </c>
      <c r="S11" s="28"/>
    </row>
    <row r="12" spans="1:19" ht="15.75" customHeight="1" x14ac:dyDescent="0.35">
      <c r="A12" s="26">
        <v>45545</v>
      </c>
      <c r="B12" s="95"/>
      <c r="C12" s="9">
        <f t="shared" si="3"/>
        <v>984.73</v>
      </c>
      <c r="D12" s="9">
        <v>739.53</v>
      </c>
      <c r="E12" s="9">
        <v>550.23</v>
      </c>
      <c r="F12" s="9">
        <v>39.200000000000003</v>
      </c>
      <c r="G12" s="9"/>
      <c r="H12" s="9"/>
      <c r="I12" s="9"/>
      <c r="J12" s="9">
        <v>32.9</v>
      </c>
      <c r="K12" s="9"/>
      <c r="L12" s="9"/>
      <c r="M12" s="9"/>
      <c r="N12" s="97">
        <v>245.2</v>
      </c>
      <c r="O12" s="9">
        <v>120</v>
      </c>
      <c r="P12" s="99">
        <f t="shared" si="0"/>
        <v>987.53</v>
      </c>
      <c r="Q12" s="27">
        <f t="shared" si="1"/>
        <v>117.20000000000005</v>
      </c>
      <c r="R12" s="41">
        <f t="shared" si="2"/>
        <v>2.7999999999999545</v>
      </c>
      <c r="S12" s="28"/>
    </row>
    <row r="13" spans="1:19" ht="15.75" customHeight="1" x14ac:dyDescent="0.35">
      <c r="A13" s="26">
        <v>45546</v>
      </c>
      <c r="B13" s="95"/>
      <c r="C13" s="9">
        <f t="shared" si="3"/>
        <v>1625.1999999999998</v>
      </c>
      <c r="D13" s="9">
        <v>1269.8</v>
      </c>
      <c r="E13" s="9">
        <v>572.34</v>
      </c>
      <c r="F13" s="9">
        <v>79.099999999999994</v>
      </c>
      <c r="G13" s="9"/>
      <c r="H13" s="9"/>
      <c r="I13" s="9"/>
      <c r="J13" s="9">
        <v>51.8</v>
      </c>
      <c r="K13" s="9"/>
      <c r="L13" s="9"/>
      <c r="M13" s="73">
        <v>441.76</v>
      </c>
      <c r="N13" s="97">
        <v>355.4</v>
      </c>
      <c r="O13" s="9">
        <v>130</v>
      </c>
      <c r="P13" s="99">
        <f t="shared" si="0"/>
        <v>1630.4</v>
      </c>
      <c r="Q13" s="27">
        <f t="shared" si="1"/>
        <v>124.79999999999973</v>
      </c>
      <c r="R13" s="41">
        <f t="shared" si="2"/>
        <v>5.2000000000002728</v>
      </c>
      <c r="S13" s="28"/>
    </row>
    <row r="14" spans="1:19" ht="15.75" customHeight="1" x14ac:dyDescent="0.35">
      <c r="A14" s="26">
        <v>45547</v>
      </c>
      <c r="B14" s="95"/>
      <c r="C14" s="9">
        <f t="shared" si="3"/>
        <v>2002.7199999999998</v>
      </c>
      <c r="D14" s="9">
        <v>1745.32</v>
      </c>
      <c r="E14" s="9">
        <v>464.38</v>
      </c>
      <c r="F14" s="9">
        <v>132.9</v>
      </c>
      <c r="G14" s="9"/>
      <c r="H14" s="9"/>
      <c r="I14" s="9"/>
      <c r="J14" s="9">
        <v>32.9</v>
      </c>
      <c r="K14" s="9"/>
      <c r="L14" s="9"/>
      <c r="M14" s="73">
        <v>1006.14</v>
      </c>
      <c r="N14" s="97">
        <v>257.39999999999998</v>
      </c>
      <c r="O14" s="9">
        <v>100</v>
      </c>
      <c r="P14" s="99">
        <f t="shared" si="0"/>
        <v>1993.7199999999998</v>
      </c>
      <c r="Q14" s="27">
        <f t="shared" si="1"/>
        <v>109</v>
      </c>
      <c r="R14" s="41">
        <f t="shared" si="2"/>
        <v>-9</v>
      </c>
      <c r="S14" s="28"/>
    </row>
    <row r="15" spans="1:19" ht="15.75" customHeight="1" x14ac:dyDescent="0.35">
      <c r="A15" s="26">
        <v>45548</v>
      </c>
      <c r="B15" s="95"/>
      <c r="C15" s="9">
        <f t="shared" si="3"/>
        <v>2126.06</v>
      </c>
      <c r="D15" s="9">
        <v>1665.06</v>
      </c>
      <c r="E15" s="9">
        <v>1068.3599999999999</v>
      </c>
      <c r="F15" s="9">
        <v>132.69999999999999</v>
      </c>
      <c r="G15" s="9"/>
      <c r="H15" s="9"/>
      <c r="I15" s="9"/>
      <c r="J15" s="9">
        <v>67.8</v>
      </c>
      <c r="K15" s="9"/>
      <c r="L15" s="9"/>
      <c r="M15" s="73">
        <v>55.68</v>
      </c>
      <c r="N15" s="97">
        <v>461</v>
      </c>
      <c r="O15" s="9">
        <v>310</v>
      </c>
      <c r="P15" s="99">
        <f t="shared" ref="P15:P33" si="4">E15+F15+G15+H15+I15+J15+K15+L15+O15+M15+N15</f>
        <v>2095.54</v>
      </c>
      <c r="Q15" s="27">
        <f t="shared" si="1"/>
        <v>340.52</v>
      </c>
      <c r="R15" s="41">
        <f t="shared" ref="R15:R33" si="5">P15-C15-H15</f>
        <v>-30.519999999999982</v>
      </c>
      <c r="S15" s="28"/>
    </row>
    <row r="16" spans="1:19" ht="15.75" customHeight="1" x14ac:dyDescent="0.35">
      <c r="A16" s="26">
        <v>45549</v>
      </c>
      <c r="B16" s="95"/>
      <c r="C16" s="9">
        <f t="shared" si="3"/>
        <v>3399.5299999999997</v>
      </c>
      <c r="D16" s="9">
        <v>2886.73</v>
      </c>
      <c r="E16" s="9">
        <v>1473.17</v>
      </c>
      <c r="F16" s="9">
        <v>334.37</v>
      </c>
      <c r="G16" s="9"/>
      <c r="H16" s="9"/>
      <c r="I16" s="9">
        <v>18.899999999999999</v>
      </c>
      <c r="J16" s="9">
        <v>122.5</v>
      </c>
      <c r="K16" s="9"/>
      <c r="L16" s="9"/>
      <c r="M16" s="73">
        <v>473.14</v>
      </c>
      <c r="N16" s="97">
        <v>512.79999999999995</v>
      </c>
      <c r="O16" s="9">
        <v>450</v>
      </c>
      <c r="P16" s="99">
        <f t="shared" si="4"/>
        <v>3384.88</v>
      </c>
      <c r="Q16" s="27">
        <f t="shared" si="1"/>
        <v>464.64999999999964</v>
      </c>
      <c r="R16" s="41">
        <f t="shared" si="5"/>
        <v>-14.649999999999636</v>
      </c>
      <c r="S16" s="28"/>
    </row>
    <row r="17" spans="1:19" ht="15.75" customHeight="1" x14ac:dyDescent="0.35">
      <c r="A17" s="26">
        <v>45550</v>
      </c>
      <c r="B17" s="95"/>
      <c r="C17" s="9">
        <f t="shared" si="3"/>
        <v>2815.62</v>
      </c>
      <c r="D17" s="9">
        <v>2272.02</v>
      </c>
      <c r="E17" s="9">
        <v>1649.22</v>
      </c>
      <c r="F17" s="9">
        <v>152.57</v>
      </c>
      <c r="G17" s="9"/>
      <c r="H17" s="9"/>
      <c r="I17" s="9"/>
      <c r="J17" s="9">
        <v>65.8</v>
      </c>
      <c r="K17" s="9"/>
      <c r="L17" s="9"/>
      <c r="M17" s="9"/>
      <c r="N17" s="97">
        <v>543.6</v>
      </c>
      <c r="O17" s="9">
        <v>400</v>
      </c>
      <c r="P17" s="99">
        <f t="shared" si="4"/>
        <v>2811.19</v>
      </c>
      <c r="Q17" s="27">
        <f t="shared" si="1"/>
        <v>404.42999999999984</v>
      </c>
      <c r="R17" s="41">
        <f t="shared" si="5"/>
        <v>-4.4299999999998363</v>
      </c>
      <c r="S17" s="28"/>
    </row>
    <row r="18" spans="1:19" ht="15.75" customHeight="1" x14ac:dyDescent="0.35">
      <c r="A18" s="26">
        <v>45551</v>
      </c>
      <c r="B18" s="95"/>
      <c r="C18" s="9">
        <f t="shared" si="3"/>
        <v>1494.9699999999998</v>
      </c>
      <c r="D18" s="9">
        <v>1051.3699999999999</v>
      </c>
      <c r="E18" s="9">
        <v>753.37</v>
      </c>
      <c r="F18" s="9">
        <v>81.2</v>
      </c>
      <c r="G18" s="9"/>
      <c r="H18" s="9"/>
      <c r="I18" s="9"/>
      <c r="J18" s="9"/>
      <c r="K18" s="9"/>
      <c r="L18" s="9"/>
      <c r="M18" s="9"/>
      <c r="N18" s="97">
        <v>443.6</v>
      </c>
      <c r="O18" s="9">
        <v>235</v>
      </c>
      <c r="P18" s="99">
        <f t="shared" si="4"/>
        <v>1513.17</v>
      </c>
      <c r="Q18" s="27">
        <f t="shared" si="1"/>
        <v>216.79999999999973</v>
      </c>
      <c r="R18" s="41">
        <f t="shared" si="5"/>
        <v>18.200000000000273</v>
      </c>
      <c r="S18" s="28"/>
    </row>
    <row r="19" spans="1:19" ht="15.75" customHeight="1" x14ac:dyDescent="0.35">
      <c r="A19" s="26">
        <v>45552</v>
      </c>
      <c r="B19" s="95"/>
      <c r="C19" s="9">
        <f t="shared" si="3"/>
        <v>1372.3</v>
      </c>
      <c r="D19" s="9">
        <v>1003.1</v>
      </c>
      <c r="E19" s="9">
        <v>657.44</v>
      </c>
      <c r="F19" s="9">
        <f>45.7+30</f>
        <v>75.7</v>
      </c>
      <c r="G19" s="9"/>
      <c r="H19" s="9"/>
      <c r="I19" s="9"/>
      <c r="J19" s="9">
        <v>38.799999999999997</v>
      </c>
      <c r="K19" s="9"/>
      <c r="L19" s="9"/>
      <c r="M19" s="73"/>
      <c r="N19" s="97">
        <v>369.2</v>
      </c>
      <c r="O19" s="9">
        <v>230</v>
      </c>
      <c r="P19" s="99">
        <f t="shared" si="4"/>
        <v>1371.14</v>
      </c>
      <c r="Q19" s="27">
        <f t="shared" si="1"/>
        <v>231.15999999999985</v>
      </c>
      <c r="R19" s="41">
        <f t="shared" si="5"/>
        <v>-1.1599999999998545</v>
      </c>
      <c r="S19" s="28"/>
    </row>
    <row r="20" spans="1:19" ht="15.75" customHeight="1" x14ac:dyDescent="0.35">
      <c r="A20" s="26">
        <v>45553</v>
      </c>
      <c r="B20" s="95"/>
      <c r="C20" s="9">
        <f t="shared" si="3"/>
        <v>1047.9000000000001</v>
      </c>
      <c r="D20" s="9">
        <v>717.3</v>
      </c>
      <c r="E20" s="9">
        <v>529.79999999999995</v>
      </c>
      <c r="F20" s="9">
        <v>64.239999999999995</v>
      </c>
      <c r="G20" s="9"/>
      <c r="H20" s="9"/>
      <c r="I20" s="9"/>
      <c r="J20" s="9">
        <v>18.899999999999999</v>
      </c>
      <c r="K20" s="9"/>
      <c r="L20" s="9"/>
      <c r="M20" s="9"/>
      <c r="N20" s="97">
        <v>330.6</v>
      </c>
      <c r="O20" s="9">
        <v>105</v>
      </c>
      <c r="P20" s="99">
        <f t="shared" si="4"/>
        <v>1048.54</v>
      </c>
      <c r="Q20" s="27">
        <f t="shared" si="1"/>
        <v>104.36000000000013</v>
      </c>
      <c r="R20" s="41">
        <f t="shared" si="5"/>
        <v>0.63999999999987267</v>
      </c>
      <c r="S20" s="28"/>
    </row>
    <row r="21" spans="1:19" ht="15.75" customHeight="1" x14ac:dyDescent="0.35">
      <c r="A21" s="26">
        <v>45554</v>
      </c>
      <c r="B21" s="95"/>
      <c r="C21" s="9">
        <f t="shared" si="3"/>
        <v>962.77</v>
      </c>
      <c r="D21" s="9">
        <v>611.57000000000005</v>
      </c>
      <c r="E21" s="9">
        <v>451.57</v>
      </c>
      <c r="F21" s="9">
        <v>32.1</v>
      </c>
      <c r="G21" s="9"/>
      <c r="H21" s="9"/>
      <c r="I21" s="9"/>
      <c r="J21" s="9"/>
      <c r="K21" s="9"/>
      <c r="L21" s="9"/>
      <c r="M21" s="9"/>
      <c r="N21" s="97">
        <v>351.2</v>
      </c>
      <c r="O21" s="9">
        <v>140</v>
      </c>
      <c r="P21" s="99">
        <f t="shared" si="4"/>
        <v>974.87000000000012</v>
      </c>
      <c r="Q21" s="27">
        <f>O21-R21</f>
        <v>127.89999999999986</v>
      </c>
      <c r="R21" s="41">
        <f>P21-C21-H21</f>
        <v>12.100000000000136</v>
      </c>
      <c r="S21" s="28"/>
    </row>
    <row r="22" spans="1:19" ht="15.75" customHeight="1" x14ac:dyDescent="0.35">
      <c r="A22" s="26">
        <v>45555</v>
      </c>
      <c r="B22" s="95"/>
      <c r="C22" s="9">
        <f t="shared" si="3"/>
        <v>1646.67</v>
      </c>
      <c r="D22" s="9">
        <v>1252.67</v>
      </c>
      <c r="E22" s="9">
        <v>790.37</v>
      </c>
      <c r="F22" s="9">
        <v>108.1</v>
      </c>
      <c r="G22" s="9"/>
      <c r="H22" s="9"/>
      <c r="I22" s="9"/>
      <c r="J22" s="9">
        <v>18.899999999999999</v>
      </c>
      <c r="K22" s="9"/>
      <c r="L22" s="9"/>
      <c r="M22" s="73">
        <v>108.7</v>
      </c>
      <c r="N22" s="97">
        <v>394</v>
      </c>
      <c r="O22" s="9">
        <v>230</v>
      </c>
      <c r="P22" s="99">
        <f t="shared" si="4"/>
        <v>1650.07</v>
      </c>
      <c r="Q22" s="27">
        <f t="shared" si="1"/>
        <v>226.60000000000014</v>
      </c>
      <c r="R22" s="41">
        <f t="shared" si="5"/>
        <v>3.3999999999998636</v>
      </c>
      <c r="S22" s="28"/>
    </row>
    <row r="23" spans="1:19" ht="15.75" customHeight="1" x14ac:dyDescent="0.35">
      <c r="A23" s="26">
        <v>45556</v>
      </c>
      <c r="B23" s="95"/>
      <c r="C23" s="9">
        <f t="shared" si="3"/>
        <v>2424.89</v>
      </c>
      <c r="D23" s="9">
        <v>1855.09</v>
      </c>
      <c r="E23" s="9">
        <v>1380.3</v>
      </c>
      <c r="F23" s="9">
        <v>126.9</v>
      </c>
      <c r="G23" s="9"/>
      <c r="H23" s="9"/>
      <c r="I23" s="9"/>
      <c r="J23" s="9">
        <v>56.7</v>
      </c>
      <c r="K23" s="9"/>
      <c r="L23" s="9"/>
      <c r="M23" s="9"/>
      <c r="N23" s="97">
        <v>569.79999999999995</v>
      </c>
      <c r="O23" s="9">
        <v>285</v>
      </c>
      <c r="P23" s="99">
        <f t="shared" si="4"/>
        <v>2418.6999999999998</v>
      </c>
      <c r="Q23" s="27">
        <f t="shared" si="1"/>
        <v>291.19000000000005</v>
      </c>
      <c r="R23" s="41">
        <f t="shared" si="5"/>
        <v>-6.1900000000000546</v>
      </c>
      <c r="S23" s="28"/>
    </row>
    <row r="24" spans="1:19" ht="15.75" customHeight="1" x14ac:dyDescent="0.35">
      <c r="A24" s="26">
        <v>45557</v>
      </c>
      <c r="B24" s="95"/>
      <c r="C24" s="9">
        <f t="shared" si="3"/>
        <v>1684.67</v>
      </c>
      <c r="D24" s="9">
        <v>1301.67</v>
      </c>
      <c r="E24" s="9">
        <v>800.67</v>
      </c>
      <c r="F24" s="9">
        <v>117.6</v>
      </c>
      <c r="G24" s="9"/>
      <c r="H24" s="9"/>
      <c r="I24" s="9">
        <v>44.9</v>
      </c>
      <c r="J24" s="9">
        <v>84.7</v>
      </c>
      <c r="K24" s="9"/>
      <c r="L24" s="9"/>
      <c r="M24" s="9"/>
      <c r="N24" s="97">
        <v>383</v>
      </c>
      <c r="O24" s="9">
        <v>230</v>
      </c>
      <c r="P24" s="99">
        <f>E24+F24+G24+H24+I24+J24+K24+L24+O24+M24+N24</f>
        <v>1660.87</v>
      </c>
      <c r="Q24" s="27">
        <f t="shared" si="1"/>
        <v>253.80000000000018</v>
      </c>
      <c r="R24" s="41">
        <f t="shared" si="5"/>
        <v>-23.800000000000182</v>
      </c>
      <c r="S24" s="28"/>
    </row>
    <row r="25" spans="1:19" ht="15.75" customHeight="1" x14ac:dyDescent="0.35">
      <c r="A25" s="26">
        <v>45558</v>
      </c>
      <c r="B25" s="95"/>
      <c r="C25" s="9">
        <f t="shared" si="3"/>
        <v>1944.2800000000002</v>
      </c>
      <c r="D25" s="17">
        <f>1708.88-100</f>
        <v>1608.88</v>
      </c>
      <c r="E25" s="9">
        <v>431</v>
      </c>
      <c r="F25" s="9">
        <v>30.97</v>
      </c>
      <c r="G25" s="9"/>
      <c r="H25" s="9"/>
      <c r="I25" s="9"/>
      <c r="J25" s="9"/>
      <c r="K25" s="9"/>
      <c r="L25" s="9"/>
      <c r="M25" s="73">
        <v>993.38</v>
      </c>
      <c r="N25" s="97">
        <v>335.4</v>
      </c>
      <c r="O25" s="9">
        <v>160</v>
      </c>
      <c r="P25" s="99">
        <f t="shared" si="4"/>
        <v>1950.75</v>
      </c>
      <c r="Q25" s="27">
        <f>O25-R25</f>
        <v>153.5300000000002</v>
      </c>
      <c r="R25" s="41">
        <f t="shared" si="5"/>
        <v>6.4699999999997999</v>
      </c>
      <c r="S25" s="28"/>
    </row>
    <row r="26" spans="1:19" ht="15.75" customHeight="1" x14ac:dyDescent="0.35">
      <c r="A26" s="26">
        <v>45559</v>
      </c>
      <c r="B26" s="95"/>
      <c r="C26" s="9">
        <f t="shared" si="3"/>
        <v>647.82999999999993</v>
      </c>
      <c r="D26" s="17">
        <f>286.28+100</f>
        <v>386.28</v>
      </c>
      <c r="E26" s="9">
        <v>266.3</v>
      </c>
      <c r="F26" s="9"/>
      <c r="G26" s="9"/>
      <c r="H26" s="9"/>
      <c r="I26" s="9"/>
      <c r="J26" s="9">
        <v>18.899999999999999</v>
      </c>
      <c r="K26" s="9"/>
      <c r="L26" s="9"/>
      <c r="M26" s="73">
        <v>24.78</v>
      </c>
      <c r="N26" s="97">
        <v>261.55</v>
      </c>
      <c r="O26" s="9">
        <v>70</v>
      </c>
      <c r="P26" s="99">
        <f>E26+F26+G26+H26+I26+J26+K26+L26+O26+M26+N26</f>
        <v>641.53</v>
      </c>
      <c r="Q26" s="27">
        <f>O26-R26</f>
        <v>76.299999999999955</v>
      </c>
      <c r="R26" s="41">
        <f>P26-C26-H26</f>
        <v>-6.2999999999999545</v>
      </c>
      <c r="S26" s="28"/>
    </row>
    <row r="27" spans="1:19" ht="15.75" customHeight="1" x14ac:dyDescent="0.35">
      <c r="A27" s="26">
        <v>45560</v>
      </c>
      <c r="B27" s="95"/>
      <c r="C27" s="9">
        <f t="shared" si="3"/>
        <v>648.54</v>
      </c>
      <c r="D27" s="9">
        <v>507.34</v>
      </c>
      <c r="E27" s="9">
        <v>76.900000000000006</v>
      </c>
      <c r="F27" s="9">
        <v>4.08</v>
      </c>
      <c r="G27" s="9"/>
      <c r="H27" s="9"/>
      <c r="I27" s="9"/>
      <c r="J27" s="9">
        <v>18.899999999999999</v>
      </c>
      <c r="K27" s="9"/>
      <c r="L27" s="9"/>
      <c r="M27" s="73">
        <v>380.94</v>
      </c>
      <c r="N27" s="97">
        <v>141.19999999999999</v>
      </c>
      <c r="O27" s="9">
        <v>25</v>
      </c>
      <c r="P27" s="99">
        <f t="shared" si="4"/>
        <v>647.02</v>
      </c>
      <c r="Q27" s="27">
        <f>O27-R27</f>
        <v>26.519999999999982</v>
      </c>
      <c r="R27" s="41">
        <f t="shared" si="5"/>
        <v>-1.5199999999999818</v>
      </c>
      <c r="S27" s="28"/>
    </row>
    <row r="28" spans="1:19" ht="15.75" customHeight="1" x14ac:dyDescent="0.35">
      <c r="A28" s="26">
        <v>45561</v>
      </c>
      <c r="B28" s="95"/>
      <c r="C28" s="9">
        <f t="shared" si="3"/>
        <v>937.77</v>
      </c>
      <c r="D28" s="9">
        <v>564.77</v>
      </c>
      <c r="E28" s="9">
        <v>318.42</v>
      </c>
      <c r="F28" s="9">
        <v>57.45</v>
      </c>
      <c r="G28" s="9"/>
      <c r="H28" s="9"/>
      <c r="I28" s="9"/>
      <c r="J28" s="9">
        <v>51.8</v>
      </c>
      <c r="K28" s="9"/>
      <c r="L28" s="9"/>
      <c r="M28" s="9"/>
      <c r="N28" s="97">
        <v>373</v>
      </c>
      <c r="O28" s="9">
        <v>140</v>
      </c>
      <c r="P28" s="99">
        <f t="shared" si="4"/>
        <v>940.67000000000007</v>
      </c>
      <c r="Q28" s="27">
        <f t="shared" si="1"/>
        <v>137.09999999999991</v>
      </c>
      <c r="R28" s="41">
        <f t="shared" si="5"/>
        <v>2.9000000000000909</v>
      </c>
      <c r="S28" s="28"/>
    </row>
    <row r="29" spans="1:19" ht="15.75" customHeight="1" x14ac:dyDescent="0.35">
      <c r="A29" s="26">
        <v>45562</v>
      </c>
      <c r="B29" s="95"/>
      <c r="C29" s="9">
        <f t="shared" si="3"/>
        <v>1145.48</v>
      </c>
      <c r="D29" s="9">
        <v>850.88</v>
      </c>
      <c r="E29" s="9">
        <v>587.65</v>
      </c>
      <c r="F29" s="9">
        <v>91.53</v>
      </c>
      <c r="G29" s="9"/>
      <c r="H29" s="9"/>
      <c r="I29" s="9"/>
      <c r="J29" s="9">
        <v>53.9</v>
      </c>
      <c r="K29" s="9"/>
      <c r="L29" s="9"/>
      <c r="M29" s="9"/>
      <c r="N29" s="97">
        <v>294.60000000000002</v>
      </c>
      <c r="O29" s="9">
        <v>110</v>
      </c>
      <c r="P29" s="99">
        <f t="shared" si="4"/>
        <v>1137.6799999999998</v>
      </c>
      <c r="Q29" s="27">
        <f t="shared" si="1"/>
        <v>117.80000000000018</v>
      </c>
      <c r="R29" s="41">
        <f t="shared" si="5"/>
        <v>-7.8000000000001819</v>
      </c>
      <c r="S29" s="28"/>
    </row>
    <row r="30" spans="1:19" ht="15.75" customHeight="1" x14ac:dyDescent="0.35">
      <c r="A30" s="26">
        <v>45563</v>
      </c>
      <c r="B30" s="95"/>
      <c r="C30" s="9">
        <f t="shared" si="3"/>
        <v>2517.69</v>
      </c>
      <c r="D30" s="9">
        <v>2003.29</v>
      </c>
      <c r="E30" s="9">
        <v>1377.99</v>
      </c>
      <c r="F30" s="9">
        <v>244.4</v>
      </c>
      <c r="G30" s="9"/>
      <c r="H30" s="9"/>
      <c r="I30" s="9"/>
      <c r="J30" s="9">
        <v>84.7</v>
      </c>
      <c r="K30" s="9"/>
      <c r="L30" s="9"/>
      <c r="M30" s="9"/>
      <c r="N30" s="97">
        <v>514.4</v>
      </c>
      <c r="O30" s="9">
        <v>300</v>
      </c>
      <c r="P30" s="99">
        <f t="shared" si="4"/>
        <v>2521.4900000000002</v>
      </c>
      <c r="Q30" s="27">
        <f t="shared" si="1"/>
        <v>296.19999999999982</v>
      </c>
      <c r="R30" s="41">
        <f t="shared" si="5"/>
        <v>3.8000000000001819</v>
      </c>
      <c r="S30" s="28"/>
    </row>
    <row r="31" spans="1:19" ht="15.75" customHeight="1" x14ac:dyDescent="0.35">
      <c r="A31" s="26">
        <v>45564</v>
      </c>
      <c r="B31" s="95"/>
      <c r="C31" s="9">
        <f t="shared" si="3"/>
        <v>2726.17</v>
      </c>
      <c r="D31" s="9">
        <v>2116.77</v>
      </c>
      <c r="E31" s="9">
        <v>1453.337</v>
      </c>
      <c r="F31" s="9">
        <v>216.7</v>
      </c>
      <c r="G31" s="9"/>
      <c r="H31" s="9"/>
      <c r="I31" s="9"/>
      <c r="J31" s="9">
        <v>117.6</v>
      </c>
      <c r="K31" s="9"/>
      <c r="L31" s="9"/>
      <c r="M31" s="9"/>
      <c r="N31" s="97">
        <v>609.4</v>
      </c>
      <c r="O31" s="9">
        <v>320</v>
      </c>
      <c r="P31" s="99">
        <f t="shared" si="4"/>
        <v>2717.0369999999998</v>
      </c>
      <c r="Q31" s="27">
        <f t="shared" si="1"/>
        <v>329.13300000000027</v>
      </c>
      <c r="R31" s="41">
        <f t="shared" si="5"/>
        <v>-9.1330000000002656</v>
      </c>
      <c r="S31" s="28"/>
    </row>
    <row r="32" spans="1:19" ht="15.75" customHeight="1" x14ac:dyDescent="0.35">
      <c r="A32" s="26">
        <v>45565</v>
      </c>
      <c r="B32" s="95"/>
      <c r="C32" s="9">
        <f t="shared" si="3"/>
        <v>1251.78</v>
      </c>
      <c r="D32" s="9">
        <v>824.98</v>
      </c>
      <c r="E32" s="9">
        <v>534.77</v>
      </c>
      <c r="F32" s="9">
        <v>45</v>
      </c>
      <c r="G32" s="9"/>
      <c r="H32" s="9"/>
      <c r="I32" s="9"/>
      <c r="J32" s="9">
        <v>18</v>
      </c>
      <c r="K32" s="9"/>
      <c r="L32" s="9"/>
      <c r="M32" s="9"/>
      <c r="N32" s="97">
        <v>426.8</v>
      </c>
      <c r="O32" s="9">
        <v>225</v>
      </c>
      <c r="P32" s="99">
        <f t="shared" si="4"/>
        <v>1249.57</v>
      </c>
      <c r="Q32" s="27">
        <f t="shared" si="1"/>
        <v>227.21000000000004</v>
      </c>
      <c r="R32" s="41">
        <f t="shared" si="5"/>
        <v>-2.2100000000000364</v>
      </c>
      <c r="S32" s="28"/>
    </row>
    <row r="33" spans="1:19" ht="15.75" customHeight="1" x14ac:dyDescent="0.35">
      <c r="A33" s="26"/>
      <c r="B33" s="96"/>
      <c r="C33" s="9"/>
      <c r="D33" s="44"/>
      <c r="E33" s="44"/>
      <c r="F33" s="44"/>
      <c r="G33" s="9"/>
      <c r="H33" s="9"/>
      <c r="I33" s="9"/>
      <c r="J33" s="44"/>
      <c r="K33" s="9"/>
      <c r="L33" s="9"/>
      <c r="M33" s="55"/>
      <c r="N33" s="98"/>
      <c r="O33" s="44"/>
      <c r="P33" s="99">
        <f t="shared" si="4"/>
        <v>0</v>
      </c>
      <c r="Q33" s="27">
        <f t="shared" si="1"/>
        <v>0</v>
      </c>
      <c r="R33" s="41">
        <f t="shared" si="5"/>
        <v>0</v>
      </c>
      <c r="S33" s="28"/>
    </row>
    <row r="34" spans="1:19" ht="15.75" customHeight="1" x14ac:dyDescent="0.35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52489.416999999994</v>
      </c>
      <c r="Q34" s="72">
        <f>P34-R34</f>
        <v>52584.979999999996</v>
      </c>
      <c r="R34" s="49">
        <f>SUM(R3:R33)</f>
        <v>-95.562999999999192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2">
    <dataValidation type="list" allowBlank="1" showInputMessage="1" showErrorMessage="1" sqref="B3:B32" xr:uid="{1DDEE68C-BE44-4E07-A154-B5FE15DC3874}">
      <formula1>"Matosinhos;TimeOut;Bolhão"</formula1>
    </dataValidation>
    <dataValidation type="list" allowBlank="1" showInputMessage="1" showErrorMessage="1" sqref="B33" xr:uid="{FA4A3C05-6D90-4B08-A430-E4C9680E9675}">
      <formula1>"Matosinhos,Timeout,Bolhão"</formula1>
    </dataValidation>
  </dataValidations>
  <pageMargins left="0.75" right="0.75" top="1" bottom="1" header="0" footer="0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E439-7030-46D1-9312-3E1F8F2526F0}">
  <dimension ref="A2:S988"/>
  <sheetViews>
    <sheetView workbookViewId="0">
      <pane ySplit="2" topLeftCell="A3" activePane="bottomLeft" state="frozen"/>
      <selection pane="bottomLeft" activeCell="H12" sqref="H12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2" spans="1:19" ht="15.75" customHeight="1" x14ac:dyDescent="0.35">
      <c r="A2" s="22"/>
      <c r="B2" s="23" t="s">
        <v>2684</v>
      </c>
      <c r="C2" s="23" t="s">
        <v>2685</v>
      </c>
      <c r="D2" s="23" t="s">
        <v>2689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45548</v>
      </c>
      <c r="B3" s="95" t="s">
        <v>2688</v>
      </c>
      <c r="C3" s="9">
        <f>D3+N3</f>
        <v>464.1</v>
      </c>
      <c r="D3" s="9">
        <v>464.1</v>
      </c>
      <c r="E3" s="9">
        <v>311.39999999999998</v>
      </c>
      <c r="F3" s="9">
        <v>0</v>
      </c>
      <c r="G3" s="9"/>
      <c r="H3" s="9"/>
      <c r="I3" s="9"/>
      <c r="J3" s="9"/>
      <c r="K3" s="9"/>
      <c r="L3" s="9"/>
      <c r="M3" s="9"/>
      <c r="N3" s="97"/>
      <c r="O3" s="9">
        <v>150</v>
      </c>
      <c r="P3" s="99">
        <f t="shared" ref="P3:P14" si="0">E3+F3+G3+H3+I3+J3+K3+L3+O3+M3+N3</f>
        <v>461.4</v>
      </c>
      <c r="Q3" s="27">
        <f t="shared" ref="Q3:Q20" si="1">O3-R3</f>
        <v>152.70000000000005</v>
      </c>
      <c r="R3" s="70">
        <f t="shared" ref="R3:R20" si="2">P3-C3-H3</f>
        <v>-2.7000000000000455</v>
      </c>
      <c r="S3" s="28"/>
    </row>
    <row r="4" spans="1:19" ht="15.75" customHeight="1" x14ac:dyDescent="0.35">
      <c r="A4" s="26">
        <v>45549</v>
      </c>
      <c r="B4" s="95" t="s">
        <v>119</v>
      </c>
      <c r="C4" s="9">
        <f>D4+N4</f>
        <v>674.7</v>
      </c>
      <c r="D4" s="9">
        <v>674.7</v>
      </c>
      <c r="E4" s="9">
        <v>486.4</v>
      </c>
      <c r="F4" s="9">
        <v>0</v>
      </c>
      <c r="G4" s="9"/>
      <c r="H4" s="9"/>
      <c r="I4" s="9"/>
      <c r="J4" s="9"/>
      <c r="K4" s="9"/>
      <c r="L4" s="9"/>
      <c r="M4" s="9"/>
      <c r="N4" s="97"/>
      <c r="O4" s="9">
        <v>190</v>
      </c>
      <c r="P4" s="99">
        <f t="shared" si="0"/>
        <v>676.4</v>
      </c>
      <c r="Q4" s="27">
        <f t="shared" si="1"/>
        <v>188.30000000000007</v>
      </c>
      <c r="R4" s="70">
        <f t="shared" si="2"/>
        <v>1.6999999999999318</v>
      </c>
      <c r="S4" s="28"/>
    </row>
    <row r="5" spans="1:19" ht="15.75" customHeight="1" x14ac:dyDescent="0.35">
      <c r="A5" s="26">
        <v>45550</v>
      </c>
      <c r="B5" s="95" t="s">
        <v>119</v>
      </c>
      <c r="C5" s="9">
        <f t="shared" ref="C5:C20" si="3">D5+N5</f>
        <v>643.79999999999995</v>
      </c>
      <c r="D5" s="9">
        <v>643.79999999999995</v>
      </c>
      <c r="E5" s="9">
        <v>483.9</v>
      </c>
      <c r="F5" s="9">
        <v>0</v>
      </c>
      <c r="G5" s="9"/>
      <c r="H5" s="9"/>
      <c r="I5" s="9"/>
      <c r="J5" s="9"/>
      <c r="K5" s="9"/>
      <c r="L5" s="9"/>
      <c r="M5" s="9"/>
      <c r="N5" s="97"/>
      <c r="O5" s="9">
        <v>160</v>
      </c>
      <c r="P5" s="99">
        <f t="shared" si="0"/>
        <v>643.9</v>
      </c>
      <c r="Q5" s="27">
        <f t="shared" si="1"/>
        <v>159.89999999999998</v>
      </c>
      <c r="R5" s="41">
        <f t="shared" si="2"/>
        <v>0.10000000000002274</v>
      </c>
      <c r="S5" s="28"/>
    </row>
    <row r="6" spans="1:19" ht="15.75" customHeight="1" x14ac:dyDescent="0.35">
      <c r="A6" s="26">
        <v>45551</v>
      </c>
      <c r="B6" s="95" t="s">
        <v>119</v>
      </c>
      <c r="C6" s="9">
        <f t="shared" si="3"/>
        <v>514.70000000000005</v>
      </c>
      <c r="D6" s="9">
        <v>514.70000000000005</v>
      </c>
      <c r="E6" s="9">
        <v>362.4</v>
      </c>
      <c r="F6" s="9">
        <v>0</v>
      </c>
      <c r="G6" s="9"/>
      <c r="H6" s="9"/>
      <c r="I6" s="9"/>
      <c r="J6" s="9"/>
      <c r="K6" s="9"/>
      <c r="L6" s="9"/>
      <c r="M6" s="9"/>
      <c r="N6" s="97"/>
      <c r="O6" s="9">
        <v>150</v>
      </c>
      <c r="P6" s="99">
        <f t="shared" si="0"/>
        <v>512.4</v>
      </c>
      <c r="Q6" s="27">
        <f>O6-R6</f>
        <v>152.30000000000007</v>
      </c>
      <c r="R6" s="41">
        <f t="shared" si="2"/>
        <v>-2.3000000000000682</v>
      </c>
      <c r="S6" s="28"/>
    </row>
    <row r="7" spans="1:19" ht="15.75" customHeight="1" x14ac:dyDescent="0.35">
      <c r="A7" s="26">
        <v>45552</v>
      </c>
      <c r="B7" s="95" t="s">
        <v>119</v>
      </c>
      <c r="C7" s="9">
        <f t="shared" si="3"/>
        <v>544.70000000000005</v>
      </c>
      <c r="D7" s="9">
        <v>544.70000000000005</v>
      </c>
      <c r="E7" s="9">
        <v>319.7</v>
      </c>
      <c r="F7" s="83">
        <v>0</v>
      </c>
      <c r="G7" s="9"/>
      <c r="H7" s="9"/>
      <c r="I7" s="9"/>
      <c r="J7" s="9"/>
      <c r="K7" s="9"/>
      <c r="L7" s="9"/>
      <c r="M7" s="9"/>
      <c r="N7" s="97"/>
      <c r="O7" s="9">
        <v>225</v>
      </c>
      <c r="P7" s="99">
        <f t="shared" si="0"/>
        <v>544.70000000000005</v>
      </c>
      <c r="Q7" s="27">
        <f t="shared" si="1"/>
        <v>225</v>
      </c>
      <c r="R7" s="41">
        <f t="shared" si="2"/>
        <v>0</v>
      </c>
      <c r="S7" s="28"/>
    </row>
    <row r="8" spans="1:19" ht="15.75" customHeight="1" x14ac:dyDescent="0.35">
      <c r="A8" s="26">
        <v>45553</v>
      </c>
      <c r="B8" s="95" t="s">
        <v>119</v>
      </c>
      <c r="C8" s="9">
        <f t="shared" si="3"/>
        <v>361</v>
      </c>
      <c r="D8" s="9">
        <v>361</v>
      </c>
      <c r="E8" s="9">
        <v>265</v>
      </c>
      <c r="F8" s="9">
        <v>0</v>
      </c>
      <c r="G8" s="9"/>
      <c r="H8" s="9"/>
      <c r="I8" s="9"/>
      <c r="J8" s="9"/>
      <c r="K8" s="9"/>
      <c r="L8" s="9"/>
      <c r="M8" s="9"/>
      <c r="N8" s="97"/>
      <c r="O8" s="9">
        <v>95</v>
      </c>
      <c r="P8" s="99">
        <f t="shared" si="0"/>
        <v>360</v>
      </c>
      <c r="Q8" s="27">
        <f t="shared" si="1"/>
        <v>96</v>
      </c>
      <c r="R8" s="41">
        <f t="shared" si="2"/>
        <v>-1</v>
      </c>
      <c r="S8" s="28"/>
    </row>
    <row r="9" spans="1:19" ht="15.75" customHeight="1" x14ac:dyDescent="0.35">
      <c r="A9" s="26">
        <v>45554</v>
      </c>
      <c r="B9" s="95"/>
      <c r="C9" s="9">
        <f t="shared" si="3"/>
        <v>640.26</v>
      </c>
      <c r="D9" s="9">
        <v>640.26</v>
      </c>
      <c r="E9" s="9">
        <v>467.16</v>
      </c>
      <c r="F9" s="9">
        <v>0</v>
      </c>
      <c r="G9" s="9"/>
      <c r="H9" s="9"/>
      <c r="I9" s="9"/>
      <c r="J9" s="9"/>
      <c r="K9" s="9"/>
      <c r="L9" s="9"/>
      <c r="M9" s="9"/>
      <c r="N9" s="97"/>
      <c r="O9" s="9">
        <v>170</v>
      </c>
      <c r="P9" s="99">
        <f t="shared" si="0"/>
        <v>637.16000000000008</v>
      </c>
      <c r="Q9" s="27">
        <f t="shared" si="1"/>
        <v>173.09999999999991</v>
      </c>
      <c r="R9" s="41">
        <f t="shared" si="2"/>
        <v>-3.0999999999999091</v>
      </c>
      <c r="S9" s="28"/>
    </row>
    <row r="10" spans="1:19" ht="15.75" customHeight="1" x14ac:dyDescent="0.35">
      <c r="A10" s="26">
        <v>45555</v>
      </c>
      <c r="B10" s="95"/>
      <c r="C10" s="9">
        <f t="shared" si="3"/>
        <v>548.29999999999995</v>
      </c>
      <c r="D10" s="9">
        <v>548.29999999999995</v>
      </c>
      <c r="E10" s="9">
        <v>311</v>
      </c>
      <c r="F10" s="9">
        <v>0</v>
      </c>
      <c r="G10" s="9"/>
      <c r="H10" s="9"/>
      <c r="I10" s="9"/>
      <c r="J10" s="9"/>
      <c r="K10" s="9"/>
      <c r="L10" s="9"/>
      <c r="M10" s="9"/>
      <c r="N10" s="97"/>
      <c r="O10" s="9">
        <v>240</v>
      </c>
      <c r="P10" s="99">
        <f t="shared" si="0"/>
        <v>551</v>
      </c>
      <c r="Q10" s="27">
        <f t="shared" si="1"/>
        <v>237.29999999999995</v>
      </c>
      <c r="R10" s="41">
        <f t="shared" si="2"/>
        <v>2.7000000000000455</v>
      </c>
      <c r="S10" s="28"/>
    </row>
    <row r="11" spans="1:19" ht="15.75" customHeight="1" x14ac:dyDescent="0.35">
      <c r="A11" s="26">
        <v>45556</v>
      </c>
      <c r="B11" s="95"/>
      <c r="C11" s="9">
        <f t="shared" si="3"/>
        <v>796.6</v>
      </c>
      <c r="D11" s="9">
        <v>796.6</v>
      </c>
      <c r="E11" s="9">
        <v>487</v>
      </c>
      <c r="F11" s="9">
        <v>0</v>
      </c>
      <c r="G11" s="9"/>
      <c r="H11" s="9"/>
      <c r="I11" s="9"/>
      <c r="J11" s="9"/>
      <c r="K11" s="9"/>
      <c r="L11" s="9"/>
      <c r="M11" s="9"/>
      <c r="N11" s="97"/>
      <c r="O11" s="9">
        <v>310</v>
      </c>
      <c r="P11" s="99">
        <f t="shared" si="0"/>
        <v>797</v>
      </c>
      <c r="Q11" s="27">
        <f t="shared" si="1"/>
        <v>309.60000000000002</v>
      </c>
      <c r="R11" s="41">
        <f t="shared" si="2"/>
        <v>0.39999999999997726</v>
      </c>
      <c r="S11" s="28"/>
    </row>
    <row r="12" spans="1:19" ht="15.75" customHeight="1" x14ac:dyDescent="0.35">
      <c r="A12" s="26">
        <v>45557</v>
      </c>
      <c r="B12" s="95"/>
      <c r="C12" s="9">
        <f t="shared" si="3"/>
        <v>520.70000000000005</v>
      </c>
      <c r="D12" s="9">
        <v>520.70000000000005</v>
      </c>
      <c r="E12" s="9">
        <v>325.60000000000002</v>
      </c>
      <c r="F12" s="9">
        <v>0</v>
      </c>
      <c r="G12" s="9"/>
      <c r="H12" s="9"/>
      <c r="I12" s="9"/>
      <c r="J12" s="9"/>
      <c r="K12" s="9"/>
      <c r="L12" s="9"/>
      <c r="M12" s="9"/>
      <c r="N12" s="97"/>
      <c r="O12" s="9">
        <v>195</v>
      </c>
      <c r="P12" s="99">
        <f t="shared" si="0"/>
        <v>520.6</v>
      </c>
      <c r="Q12" s="27">
        <f t="shared" si="1"/>
        <v>195.10000000000002</v>
      </c>
      <c r="R12" s="41">
        <f t="shared" si="2"/>
        <v>-0.10000000000002274</v>
      </c>
      <c r="S12" s="28"/>
    </row>
    <row r="13" spans="1:19" ht="15.75" customHeight="1" x14ac:dyDescent="0.35">
      <c r="A13" s="26">
        <v>45558</v>
      </c>
      <c r="B13" s="95"/>
      <c r="C13" s="9">
        <f t="shared" si="3"/>
        <v>0</v>
      </c>
      <c r="D13" s="9">
        <v>0</v>
      </c>
      <c r="E13" s="9">
        <v>0</v>
      </c>
      <c r="F13" s="9">
        <v>0</v>
      </c>
      <c r="G13" s="9"/>
      <c r="H13" s="9"/>
      <c r="I13" s="9"/>
      <c r="J13" s="9"/>
      <c r="K13" s="9"/>
      <c r="L13" s="9"/>
      <c r="M13" s="9"/>
      <c r="N13" s="97"/>
      <c r="O13" s="9">
        <v>0</v>
      </c>
      <c r="P13" s="99">
        <f t="shared" si="0"/>
        <v>0</v>
      </c>
      <c r="Q13" s="27">
        <f t="shared" si="1"/>
        <v>0</v>
      </c>
      <c r="R13" s="41">
        <f t="shared" si="2"/>
        <v>0</v>
      </c>
      <c r="S13" s="28"/>
    </row>
    <row r="14" spans="1:19" ht="15.75" customHeight="1" x14ac:dyDescent="0.35">
      <c r="A14" s="26">
        <v>45559</v>
      </c>
      <c r="B14" s="95"/>
      <c r="C14" s="9">
        <f t="shared" si="3"/>
        <v>294.5</v>
      </c>
      <c r="D14" s="9">
        <v>294.5</v>
      </c>
      <c r="E14" s="9">
        <v>198.1</v>
      </c>
      <c r="F14" s="9">
        <v>0</v>
      </c>
      <c r="G14" s="9"/>
      <c r="H14" s="9"/>
      <c r="I14" s="9"/>
      <c r="J14" s="9"/>
      <c r="K14" s="9"/>
      <c r="L14" s="9"/>
      <c r="M14" s="9"/>
      <c r="N14" s="97"/>
      <c r="O14" s="9">
        <v>95</v>
      </c>
      <c r="P14" s="99">
        <f t="shared" si="0"/>
        <v>293.10000000000002</v>
      </c>
      <c r="Q14" s="27">
        <f t="shared" si="1"/>
        <v>96.399999999999977</v>
      </c>
      <c r="R14" s="41">
        <f t="shared" si="2"/>
        <v>-1.3999999999999773</v>
      </c>
      <c r="S14" s="28"/>
    </row>
    <row r="15" spans="1:19" ht="15.75" customHeight="1" x14ac:dyDescent="0.35">
      <c r="A15" s="26">
        <v>45560</v>
      </c>
      <c r="B15" s="95"/>
      <c r="C15" s="9">
        <f t="shared" si="3"/>
        <v>219.8</v>
      </c>
      <c r="D15" s="9">
        <v>219.8</v>
      </c>
      <c r="E15" s="9">
        <v>186</v>
      </c>
      <c r="F15" s="9">
        <v>0</v>
      </c>
      <c r="G15" s="9"/>
      <c r="H15" s="9"/>
      <c r="I15" s="9"/>
      <c r="J15" s="9"/>
      <c r="K15" s="9"/>
      <c r="L15" s="9"/>
      <c r="M15" s="9"/>
      <c r="N15" s="97"/>
      <c r="O15" s="9">
        <v>35</v>
      </c>
      <c r="P15" s="99">
        <f t="shared" ref="P15:P20" si="4">E15+F15+G15+H15+I15+J15+K15+L15+O15+M15+N15</f>
        <v>221</v>
      </c>
      <c r="Q15" s="27">
        <f t="shared" si="1"/>
        <v>33.800000000000011</v>
      </c>
      <c r="R15" s="41">
        <f t="shared" si="2"/>
        <v>1.1999999999999886</v>
      </c>
      <c r="S15" s="28"/>
    </row>
    <row r="16" spans="1:19" ht="15.75" customHeight="1" x14ac:dyDescent="0.35">
      <c r="A16" s="26">
        <v>45561</v>
      </c>
      <c r="B16" s="95"/>
      <c r="C16" s="9">
        <f t="shared" si="3"/>
        <v>493.4</v>
      </c>
      <c r="D16" s="9">
        <v>493.4</v>
      </c>
      <c r="E16" s="9">
        <v>385</v>
      </c>
      <c r="F16" s="9">
        <v>0</v>
      </c>
      <c r="G16" s="9"/>
      <c r="H16" s="9"/>
      <c r="I16" s="9"/>
      <c r="J16" s="9"/>
      <c r="K16" s="9"/>
      <c r="L16" s="9"/>
      <c r="M16" s="9"/>
      <c r="N16" s="97"/>
      <c r="O16" s="9">
        <v>110</v>
      </c>
      <c r="P16" s="99">
        <f t="shared" si="4"/>
        <v>495</v>
      </c>
      <c r="Q16" s="27">
        <f t="shared" si="1"/>
        <v>108.39999999999998</v>
      </c>
      <c r="R16" s="41">
        <f t="shared" si="2"/>
        <v>1.6000000000000227</v>
      </c>
      <c r="S16" s="28"/>
    </row>
    <row r="17" spans="1:19" ht="15.75" customHeight="1" x14ac:dyDescent="0.35">
      <c r="A17" s="26">
        <v>45562</v>
      </c>
      <c r="B17" s="95"/>
      <c r="C17" s="9">
        <f t="shared" si="3"/>
        <v>434.6</v>
      </c>
      <c r="D17" s="9">
        <v>434.6</v>
      </c>
      <c r="E17" s="9">
        <v>302.3</v>
      </c>
      <c r="F17" s="9">
        <v>0</v>
      </c>
      <c r="G17" s="9"/>
      <c r="H17" s="9"/>
      <c r="I17" s="9"/>
      <c r="J17" s="9"/>
      <c r="K17" s="9"/>
      <c r="L17" s="9"/>
      <c r="M17" s="9"/>
      <c r="N17" s="97"/>
      <c r="O17" s="9">
        <v>130</v>
      </c>
      <c r="P17" s="99">
        <f t="shared" si="4"/>
        <v>432.3</v>
      </c>
      <c r="Q17" s="27">
        <f t="shared" si="1"/>
        <v>132.30000000000001</v>
      </c>
      <c r="R17" s="41">
        <f t="shared" si="2"/>
        <v>-2.3000000000000114</v>
      </c>
      <c r="S17" s="28"/>
    </row>
    <row r="18" spans="1:19" ht="15.75" customHeight="1" x14ac:dyDescent="0.35">
      <c r="A18" s="26">
        <v>45563</v>
      </c>
      <c r="B18" s="95"/>
      <c r="C18" s="9">
        <f t="shared" si="3"/>
        <v>604</v>
      </c>
      <c r="D18" s="9">
        <v>604</v>
      </c>
      <c r="E18" s="9">
        <v>426.2</v>
      </c>
      <c r="F18" s="9">
        <v>0</v>
      </c>
      <c r="G18" s="9"/>
      <c r="H18" s="9"/>
      <c r="I18" s="9"/>
      <c r="J18" s="9"/>
      <c r="K18" s="9"/>
      <c r="L18" s="9"/>
      <c r="M18" s="9"/>
      <c r="N18" s="97"/>
      <c r="O18" s="9">
        <v>180</v>
      </c>
      <c r="P18" s="99">
        <f t="shared" si="4"/>
        <v>606.20000000000005</v>
      </c>
      <c r="Q18" s="27">
        <f t="shared" si="1"/>
        <v>177.79999999999995</v>
      </c>
      <c r="R18" s="41">
        <f t="shared" si="2"/>
        <v>2.2000000000000455</v>
      </c>
      <c r="S18" s="28"/>
    </row>
    <row r="19" spans="1:19" ht="15.75" customHeight="1" x14ac:dyDescent="0.35">
      <c r="A19" s="26">
        <v>45564</v>
      </c>
      <c r="B19" s="95"/>
      <c r="C19" s="9">
        <f t="shared" si="3"/>
        <v>654.5</v>
      </c>
      <c r="D19" s="9">
        <v>654.5</v>
      </c>
      <c r="E19" s="9">
        <v>464.7</v>
      </c>
      <c r="F19" s="9">
        <v>0</v>
      </c>
      <c r="G19" s="9"/>
      <c r="H19" s="9"/>
      <c r="I19" s="9"/>
      <c r="J19" s="9"/>
      <c r="K19" s="9"/>
      <c r="L19" s="9"/>
      <c r="M19" s="9"/>
      <c r="N19" s="97"/>
      <c r="O19" s="9">
        <v>190</v>
      </c>
      <c r="P19" s="99">
        <f t="shared" si="4"/>
        <v>654.70000000000005</v>
      </c>
      <c r="Q19" s="27">
        <f t="shared" si="1"/>
        <v>189.79999999999995</v>
      </c>
      <c r="R19" s="41">
        <f t="shared" si="2"/>
        <v>0.20000000000004547</v>
      </c>
      <c r="S19" s="28"/>
    </row>
    <row r="20" spans="1:19" ht="15.75" customHeight="1" x14ac:dyDescent="0.35">
      <c r="A20" s="26">
        <v>45565</v>
      </c>
      <c r="B20" s="95"/>
      <c r="C20" s="9">
        <f t="shared" si="3"/>
        <v>0</v>
      </c>
      <c r="D20" s="9">
        <v>0</v>
      </c>
      <c r="E20" s="9">
        <v>0</v>
      </c>
      <c r="F20" s="9">
        <v>0</v>
      </c>
      <c r="G20" s="9"/>
      <c r="H20" s="9"/>
      <c r="I20" s="9"/>
      <c r="J20" s="9"/>
      <c r="K20" s="9"/>
      <c r="L20" s="9"/>
      <c r="M20" s="9"/>
      <c r="N20" s="97"/>
      <c r="O20" s="9">
        <v>0</v>
      </c>
      <c r="P20" s="99">
        <f t="shared" si="4"/>
        <v>0</v>
      </c>
      <c r="Q20" s="27">
        <f t="shared" si="1"/>
        <v>0</v>
      </c>
      <c r="R20" s="41">
        <f t="shared" si="2"/>
        <v>0</v>
      </c>
      <c r="S20" s="28"/>
    </row>
    <row r="21" spans="1:19" ht="15.75" customHeight="1" x14ac:dyDescent="0.35">
      <c r="A21" s="270" t="s">
        <v>2661</v>
      </c>
      <c r="B21" s="273"/>
      <c r="C21" s="273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2"/>
      <c r="P21" s="48">
        <f>SUM(P3:P20)</f>
        <v>8406.86</v>
      </c>
      <c r="Q21" s="72">
        <f>P21-R21</f>
        <v>8409.66</v>
      </c>
      <c r="R21" s="49">
        <f>SUM(R3:R20)</f>
        <v>-2.7999999999999545</v>
      </c>
      <c r="S21" s="50"/>
    </row>
    <row r="22" spans="1:19" ht="15.75" customHeight="1" x14ac:dyDescent="0.35"/>
    <row r="23" spans="1:19" ht="15.75" customHeight="1" x14ac:dyDescent="0.35"/>
    <row r="24" spans="1:19" ht="15.75" customHeight="1" x14ac:dyDescent="0.35"/>
    <row r="25" spans="1:19" ht="15.75" customHeight="1" x14ac:dyDescent="0.35"/>
    <row r="26" spans="1:19" ht="15.75" customHeight="1" x14ac:dyDescent="0.35"/>
    <row r="27" spans="1:19" ht="15.75" customHeight="1" x14ac:dyDescent="0.35"/>
    <row r="28" spans="1:19" ht="15.75" customHeight="1" x14ac:dyDescent="0.35"/>
    <row r="29" spans="1:19" ht="15.75" customHeight="1" x14ac:dyDescent="0.35"/>
    <row r="30" spans="1:19" ht="15.75" customHeight="1" x14ac:dyDescent="0.35"/>
    <row r="31" spans="1:19" ht="15.75" customHeight="1" x14ac:dyDescent="0.35"/>
    <row r="32" spans="1:1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</sheetData>
  <mergeCells count="1">
    <mergeCell ref="A21:O21"/>
  </mergeCells>
  <dataValidations count="1">
    <dataValidation type="list" allowBlank="1" showInputMessage="1" showErrorMessage="1" sqref="B3:B20" xr:uid="{BB390A0A-1BEA-47D6-9B92-7B9CDCA49E1C}">
      <formula1>"Matosinhos;TimeOut;Bolhão"</formula1>
    </dataValidation>
  </dataValidations>
  <pageMargins left="0.75" right="0.75" top="1" bottom="1" header="0" footer="0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A71E-AEE5-495D-A9A5-CF7E60FFF09B}">
  <dimension ref="A1:S1001"/>
  <sheetViews>
    <sheetView zoomScale="85" zoomScaleNormal="85" workbookViewId="0">
      <pane ySplit="2" topLeftCell="A3" activePane="bottomLeft" state="frozen"/>
      <selection activeCell="O1" sqref="O1"/>
      <selection pane="bottomLeft" activeCell="O1" sqref="O1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1" spans="1:19" ht="15" customHeight="1" thickBot="1" x14ac:dyDescent="0.4"/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128">
        <v>45658</v>
      </c>
      <c r="B3" s="95" t="s">
        <v>2688</v>
      </c>
      <c r="C3" s="9">
        <f t="shared" ref="C3:C33" si="0">D3</f>
        <v>0</v>
      </c>
      <c r="D3" s="9"/>
      <c r="E3" s="9"/>
      <c r="F3" s="9"/>
      <c r="G3" s="9"/>
      <c r="H3" s="9"/>
      <c r="I3" s="9"/>
      <c r="J3" s="9"/>
      <c r="K3" s="9"/>
      <c r="L3" s="9"/>
      <c r="M3" s="9"/>
      <c r="N3" s="97"/>
      <c r="O3" s="114"/>
      <c r="P3" s="99">
        <f t="shared" ref="P3:P33" si="1">E3+F3+G3+H3+I3+J3+K3+L3+O3+M3+N3</f>
        <v>0</v>
      </c>
      <c r="Q3" s="27">
        <f t="shared" ref="Q3:Q33" si="2">O3-R3</f>
        <v>0</v>
      </c>
      <c r="R3" s="70">
        <f t="shared" ref="R3:R33" si="3">P3-C3-H3</f>
        <v>0</v>
      </c>
      <c r="S3" s="28"/>
    </row>
    <row r="4" spans="1:19" ht="15.75" customHeight="1" x14ac:dyDescent="0.35">
      <c r="A4" s="128">
        <v>45659</v>
      </c>
      <c r="B4" s="95" t="s">
        <v>119</v>
      </c>
      <c r="C4" s="9">
        <f t="shared" si="0"/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7"/>
      <c r="O4" s="114"/>
      <c r="P4" s="99">
        <f t="shared" si="1"/>
        <v>0</v>
      </c>
      <c r="Q4" s="27">
        <f t="shared" si="2"/>
        <v>0</v>
      </c>
      <c r="R4" s="70">
        <f t="shared" si="3"/>
        <v>0</v>
      </c>
      <c r="S4" s="28"/>
    </row>
    <row r="5" spans="1:19" ht="15.75" customHeight="1" x14ac:dyDescent="0.35">
      <c r="A5" s="128">
        <v>45660</v>
      </c>
      <c r="B5" s="95" t="s">
        <v>119</v>
      </c>
      <c r="C5" s="9">
        <f t="shared" si="0"/>
        <v>0</v>
      </c>
      <c r="D5" s="9"/>
      <c r="E5" s="9"/>
      <c r="F5" s="9"/>
      <c r="G5" s="9"/>
      <c r="H5" s="9"/>
      <c r="I5" s="9"/>
      <c r="J5" s="9"/>
      <c r="K5" s="9"/>
      <c r="L5" s="9"/>
      <c r="M5" s="9"/>
      <c r="N5" s="97"/>
      <c r="O5" s="114"/>
      <c r="P5" s="99">
        <f t="shared" si="1"/>
        <v>0</v>
      </c>
      <c r="Q5" s="27">
        <f t="shared" si="2"/>
        <v>0</v>
      </c>
      <c r="R5" s="41">
        <f t="shared" si="3"/>
        <v>0</v>
      </c>
      <c r="S5" s="28"/>
    </row>
    <row r="6" spans="1:19" ht="15.75" customHeight="1" x14ac:dyDescent="0.35">
      <c r="A6" s="128">
        <v>45661</v>
      </c>
      <c r="B6" s="95" t="s">
        <v>119</v>
      </c>
      <c r="C6" s="9">
        <f t="shared" si="0"/>
        <v>0</v>
      </c>
      <c r="D6" s="9"/>
      <c r="E6" s="9"/>
      <c r="F6" s="9"/>
      <c r="G6" s="9"/>
      <c r="H6" s="9"/>
      <c r="I6" s="9"/>
      <c r="J6" s="9"/>
      <c r="K6" s="9"/>
      <c r="L6" s="9"/>
      <c r="M6" s="9"/>
      <c r="N6" s="97"/>
      <c r="O6" s="114"/>
      <c r="P6" s="99">
        <f t="shared" si="1"/>
        <v>0</v>
      </c>
      <c r="Q6" s="27">
        <f t="shared" si="2"/>
        <v>0</v>
      </c>
      <c r="R6" s="41">
        <f t="shared" si="3"/>
        <v>0</v>
      </c>
      <c r="S6" s="28"/>
    </row>
    <row r="7" spans="1:19" ht="15.75" customHeight="1" x14ac:dyDescent="0.35">
      <c r="A7" s="128">
        <v>45662</v>
      </c>
      <c r="B7" s="95" t="s">
        <v>119</v>
      </c>
      <c r="C7" s="9">
        <f t="shared" si="0"/>
        <v>0</v>
      </c>
      <c r="D7" s="9"/>
      <c r="E7" s="9"/>
      <c r="F7" s="83"/>
      <c r="G7" s="9"/>
      <c r="H7" s="9"/>
      <c r="I7" s="9"/>
      <c r="J7" s="9"/>
      <c r="K7" s="9"/>
      <c r="L7" s="9"/>
      <c r="M7" s="9"/>
      <c r="N7" s="97"/>
      <c r="O7" s="114"/>
      <c r="P7" s="99">
        <f t="shared" si="1"/>
        <v>0</v>
      </c>
      <c r="Q7" s="27">
        <f t="shared" si="2"/>
        <v>0</v>
      </c>
      <c r="R7" s="41">
        <f t="shared" si="3"/>
        <v>0</v>
      </c>
      <c r="S7" s="28"/>
    </row>
    <row r="8" spans="1:19" ht="15.75" customHeight="1" x14ac:dyDescent="0.35">
      <c r="A8" s="128">
        <v>45663</v>
      </c>
      <c r="B8" s="95" t="s">
        <v>119</v>
      </c>
      <c r="C8" s="9">
        <f t="shared" si="0"/>
        <v>0</v>
      </c>
      <c r="D8" s="9"/>
      <c r="E8" s="9"/>
      <c r="F8" s="9"/>
      <c r="G8" s="9"/>
      <c r="H8" s="9"/>
      <c r="I8" s="9"/>
      <c r="J8" s="9"/>
      <c r="K8" s="9"/>
      <c r="L8" s="9"/>
      <c r="M8" s="9"/>
      <c r="N8" s="97"/>
      <c r="O8" s="114"/>
      <c r="P8" s="99">
        <f t="shared" si="1"/>
        <v>0</v>
      </c>
      <c r="Q8" s="27">
        <f t="shared" si="2"/>
        <v>0</v>
      </c>
      <c r="R8" s="41">
        <f t="shared" si="3"/>
        <v>0</v>
      </c>
      <c r="S8" s="28"/>
    </row>
    <row r="9" spans="1:19" ht="15.75" customHeight="1" x14ac:dyDescent="0.35">
      <c r="A9" s="128">
        <v>45664</v>
      </c>
      <c r="B9" s="95"/>
      <c r="C9" s="9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9"/>
      <c r="N9" s="97"/>
      <c r="O9" s="114"/>
      <c r="P9" s="99">
        <f t="shared" si="1"/>
        <v>0</v>
      </c>
      <c r="Q9" s="27">
        <f t="shared" si="2"/>
        <v>0</v>
      </c>
      <c r="R9" s="41">
        <f t="shared" si="3"/>
        <v>0</v>
      </c>
      <c r="S9" s="28"/>
    </row>
    <row r="10" spans="1:19" ht="15.75" customHeight="1" x14ac:dyDescent="0.35">
      <c r="A10" s="128">
        <v>45665</v>
      </c>
      <c r="B10" s="95"/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7"/>
      <c r="O10" s="114"/>
      <c r="P10" s="99">
        <f t="shared" si="1"/>
        <v>0</v>
      </c>
      <c r="Q10" s="27">
        <f t="shared" si="2"/>
        <v>0</v>
      </c>
      <c r="R10" s="41">
        <f t="shared" si="3"/>
        <v>0</v>
      </c>
      <c r="S10" s="28"/>
    </row>
    <row r="11" spans="1:19" ht="15.75" customHeight="1" x14ac:dyDescent="0.35">
      <c r="A11" s="128">
        <v>45666</v>
      </c>
      <c r="B11" s="95"/>
      <c r="C11" s="9">
        <f t="shared" si="0"/>
        <v>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7"/>
      <c r="O11" s="114"/>
      <c r="P11" s="99">
        <f t="shared" si="1"/>
        <v>0</v>
      </c>
      <c r="Q11" s="27">
        <f t="shared" si="2"/>
        <v>0</v>
      </c>
      <c r="R11" s="41">
        <f t="shared" si="3"/>
        <v>0</v>
      </c>
      <c r="S11" s="28"/>
    </row>
    <row r="12" spans="1:19" ht="15.75" customHeight="1" x14ac:dyDescent="0.35">
      <c r="A12" s="128">
        <v>45667</v>
      </c>
      <c r="B12" s="95"/>
      <c r="C12" s="9">
        <f t="shared" si="0"/>
        <v>0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7"/>
      <c r="O12" s="114"/>
      <c r="P12" s="99">
        <f t="shared" si="1"/>
        <v>0</v>
      </c>
      <c r="Q12" s="27">
        <f t="shared" si="2"/>
        <v>0</v>
      </c>
      <c r="R12" s="41">
        <f t="shared" si="3"/>
        <v>0</v>
      </c>
      <c r="S12" s="28"/>
    </row>
    <row r="13" spans="1:19" ht="15.75" customHeight="1" x14ac:dyDescent="0.35">
      <c r="A13" s="128">
        <v>45668</v>
      </c>
      <c r="B13" s="95"/>
      <c r="C13" s="9">
        <f t="shared" si="0"/>
        <v>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7"/>
      <c r="O13" s="114"/>
      <c r="P13" s="99">
        <f t="shared" si="1"/>
        <v>0</v>
      </c>
      <c r="Q13" s="27">
        <f t="shared" si="2"/>
        <v>0</v>
      </c>
      <c r="R13" s="41">
        <f t="shared" si="3"/>
        <v>0</v>
      </c>
      <c r="S13" s="28"/>
    </row>
    <row r="14" spans="1:19" ht="15.75" customHeight="1" x14ac:dyDescent="0.35">
      <c r="A14" s="128">
        <v>45669</v>
      </c>
      <c r="B14" s="95"/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7"/>
      <c r="O14" s="114"/>
      <c r="P14" s="99">
        <f t="shared" si="1"/>
        <v>0</v>
      </c>
      <c r="Q14" s="27">
        <f t="shared" si="2"/>
        <v>0</v>
      </c>
      <c r="R14" s="41">
        <f t="shared" si="3"/>
        <v>0</v>
      </c>
      <c r="S14" s="28"/>
    </row>
    <row r="15" spans="1:19" ht="15.75" customHeight="1" x14ac:dyDescent="0.35">
      <c r="A15" s="128">
        <v>45670</v>
      </c>
      <c r="B15" s="95"/>
      <c r="C15" s="9">
        <f t="shared" si="0"/>
        <v>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7"/>
      <c r="O15" s="114"/>
      <c r="P15" s="99">
        <f t="shared" si="1"/>
        <v>0</v>
      </c>
      <c r="Q15" s="27">
        <f t="shared" si="2"/>
        <v>0</v>
      </c>
      <c r="R15" s="41">
        <f t="shared" si="3"/>
        <v>0</v>
      </c>
      <c r="S15" s="28"/>
    </row>
    <row r="16" spans="1:19" ht="15.75" customHeight="1" x14ac:dyDescent="0.35">
      <c r="A16" s="128">
        <v>45671</v>
      </c>
      <c r="B16" s="95"/>
      <c r="C16" s="9">
        <f t="shared" si="0"/>
        <v>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7"/>
      <c r="O16" s="114"/>
      <c r="P16" s="99">
        <f t="shared" si="1"/>
        <v>0</v>
      </c>
      <c r="Q16" s="27">
        <f t="shared" si="2"/>
        <v>0</v>
      </c>
      <c r="R16" s="41">
        <f t="shared" si="3"/>
        <v>0</v>
      </c>
      <c r="S16" s="28"/>
    </row>
    <row r="17" spans="1:19" ht="15.75" customHeight="1" x14ac:dyDescent="0.35">
      <c r="A17" s="128">
        <v>45672</v>
      </c>
      <c r="B17" s="95"/>
      <c r="C17" s="9">
        <f t="shared" si="0"/>
        <v>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7"/>
      <c r="O17" s="114"/>
      <c r="P17" s="99">
        <f t="shared" si="1"/>
        <v>0</v>
      </c>
      <c r="Q17" s="27">
        <f t="shared" si="2"/>
        <v>0</v>
      </c>
      <c r="R17" s="41">
        <f t="shared" si="3"/>
        <v>0</v>
      </c>
      <c r="S17" s="28"/>
    </row>
    <row r="18" spans="1:19" ht="15.75" customHeight="1" x14ac:dyDescent="0.35">
      <c r="A18" s="128">
        <v>45673</v>
      </c>
      <c r="B18" s="95"/>
      <c r="C18" s="9">
        <f t="shared" si="0"/>
        <v>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7"/>
      <c r="O18" s="114"/>
      <c r="P18" s="99">
        <f t="shared" si="1"/>
        <v>0</v>
      </c>
      <c r="Q18" s="27">
        <f t="shared" si="2"/>
        <v>0</v>
      </c>
      <c r="R18" s="41">
        <f t="shared" si="3"/>
        <v>0</v>
      </c>
      <c r="S18" s="28"/>
    </row>
    <row r="19" spans="1:19" ht="15.75" customHeight="1" x14ac:dyDescent="0.35">
      <c r="A19" s="128">
        <v>45674</v>
      </c>
      <c r="B19" s="95"/>
      <c r="C19" s="9">
        <f t="shared" si="0"/>
        <v>0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7"/>
      <c r="O19" s="114"/>
      <c r="P19" s="99">
        <f t="shared" si="1"/>
        <v>0</v>
      </c>
      <c r="Q19" s="27">
        <f t="shared" si="2"/>
        <v>0</v>
      </c>
      <c r="R19" s="41">
        <f t="shared" si="3"/>
        <v>0</v>
      </c>
      <c r="S19" s="28"/>
    </row>
    <row r="20" spans="1:19" ht="15.75" customHeight="1" x14ac:dyDescent="0.35">
      <c r="A20" s="128">
        <v>45675</v>
      </c>
      <c r="B20" s="95"/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7"/>
      <c r="O20" s="114"/>
      <c r="P20" s="99">
        <f t="shared" si="1"/>
        <v>0</v>
      </c>
      <c r="Q20" s="27">
        <f t="shared" si="2"/>
        <v>0</v>
      </c>
      <c r="R20" s="41">
        <f t="shared" si="3"/>
        <v>0</v>
      </c>
      <c r="S20" s="28"/>
    </row>
    <row r="21" spans="1:19" ht="15.75" customHeight="1" x14ac:dyDescent="0.35">
      <c r="A21" s="128">
        <v>45676</v>
      </c>
      <c r="B21" s="95"/>
      <c r="C21" s="9">
        <f t="shared" si="0"/>
        <v>0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7"/>
      <c r="O21" s="114"/>
      <c r="P21" s="99">
        <f t="shared" si="1"/>
        <v>0</v>
      </c>
      <c r="Q21" s="27">
        <f t="shared" si="2"/>
        <v>0</v>
      </c>
      <c r="R21" s="41">
        <f t="shared" si="3"/>
        <v>0</v>
      </c>
      <c r="S21" s="28"/>
    </row>
    <row r="22" spans="1:19" ht="15.75" customHeight="1" x14ac:dyDescent="0.35">
      <c r="A22" s="128">
        <v>45677</v>
      </c>
      <c r="B22" s="95"/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7"/>
      <c r="O22" s="114"/>
      <c r="P22" s="99">
        <f t="shared" si="1"/>
        <v>0</v>
      </c>
      <c r="Q22" s="27">
        <f t="shared" si="2"/>
        <v>0</v>
      </c>
      <c r="R22" s="41">
        <f t="shared" si="3"/>
        <v>0</v>
      </c>
      <c r="S22" s="28"/>
    </row>
    <row r="23" spans="1:19" ht="15.75" customHeight="1" x14ac:dyDescent="0.35">
      <c r="A23" s="128">
        <v>45678</v>
      </c>
      <c r="B23" s="95"/>
      <c r="C23" s="9">
        <f t="shared" si="0"/>
        <v>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7"/>
      <c r="O23" s="114"/>
      <c r="P23" s="99">
        <f t="shared" si="1"/>
        <v>0</v>
      </c>
      <c r="Q23" s="27">
        <f t="shared" si="2"/>
        <v>0</v>
      </c>
      <c r="R23" s="41">
        <f t="shared" si="3"/>
        <v>0</v>
      </c>
      <c r="S23" s="28"/>
    </row>
    <row r="24" spans="1:19" ht="15.75" customHeight="1" x14ac:dyDescent="0.35">
      <c r="A24" s="128">
        <v>45679</v>
      </c>
      <c r="B24" s="95"/>
      <c r="C24" s="9">
        <f t="shared" si="0"/>
        <v>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7"/>
      <c r="O24" s="114"/>
      <c r="P24" s="99">
        <f t="shared" si="1"/>
        <v>0</v>
      </c>
      <c r="Q24" s="27">
        <f t="shared" si="2"/>
        <v>0</v>
      </c>
      <c r="R24" s="41">
        <f t="shared" si="3"/>
        <v>0</v>
      </c>
      <c r="S24" s="28"/>
    </row>
    <row r="25" spans="1:19" ht="15.75" customHeight="1" x14ac:dyDescent="0.35">
      <c r="A25" s="128">
        <v>45680</v>
      </c>
      <c r="B25" s="95"/>
      <c r="C25" s="9">
        <f t="shared" si="0"/>
        <v>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7"/>
      <c r="O25" s="114"/>
      <c r="P25" s="99">
        <f t="shared" si="1"/>
        <v>0</v>
      </c>
      <c r="Q25" s="27">
        <f t="shared" si="2"/>
        <v>0</v>
      </c>
      <c r="R25" s="41">
        <f t="shared" si="3"/>
        <v>0</v>
      </c>
      <c r="S25" s="28"/>
    </row>
    <row r="26" spans="1:19" ht="15.75" customHeight="1" x14ac:dyDescent="0.35">
      <c r="A26" s="128">
        <v>45681</v>
      </c>
      <c r="B26" s="95"/>
      <c r="C26" s="9">
        <f t="shared" si="0"/>
        <v>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7"/>
      <c r="O26" s="114"/>
      <c r="P26" s="99">
        <f t="shared" si="1"/>
        <v>0</v>
      </c>
      <c r="Q26" s="27">
        <f t="shared" si="2"/>
        <v>0</v>
      </c>
      <c r="R26" s="41">
        <f t="shared" si="3"/>
        <v>0</v>
      </c>
      <c r="S26" s="28"/>
    </row>
    <row r="27" spans="1:19" ht="15.75" customHeight="1" x14ac:dyDescent="0.35">
      <c r="A27" s="128">
        <v>45682</v>
      </c>
      <c r="B27" s="95"/>
      <c r="C27" s="9">
        <f t="shared" si="0"/>
        <v>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7"/>
      <c r="O27" s="114"/>
      <c r="P27" s="99">
        <f t="shared" si="1"/>
        <v>0</v>
      </c>
      <c r="Q27" s="27">
        <f t="shared" si="2"/>
        <v>0</v>
      </c>
      <c r="R27" s="41">
        <f t="shared" si="3"/>
        <v>0</v>
      </c>
      <c r="S27" s="28"/>
    </row>
    <row r="28" spans="1:19" ht="15.75" customHeight="1" x14ac:dyDescent="0.35">
      <c r="A28" s="128">
        <v>45683</v>
      </c>
      <c r="B28" s="95"/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7"/>
      <c r="O28" s="114"/>
      <c r="P28" s="99">
        <f t="shared" si="1"/>
        <v>0</v>
      </c>
      <c r="Q28" s="27">
        <f t="shared" si="2"/>
        <v>0</v>
      </c>
      <c r="R28" s="41">
        <f t="shared" si="3"/>
        <v>0</v>
      </c>
      <c r="S28" s="28"/>
    </row>
    <row r="29" spans="1:19" ht="15.75" customHeight="1" x14ac:dyDescent="0.35">
      <c r="A29" s="128">
        <v>45684</v>
      </c>
      <c r="B29" s="95"/>
      <c r="C29" s="9">
        <f t="shared" si="0"/>
        <v>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7"/>
      <c r="O29" s="114"/>
      <c r="P29" s="99">
        <f t="shared" si="1"/>
        <v>0</v>
      </c>
      <c r="Q29" s="27">
        <f t="shared" si="2"/>
        <v>0</v>
      </c>
      <c r="R29" s="41">
        <f t="shared" si="3"/>
        <v>0</v>
      </c>
      <c r="S29" s="28"/>
    </row>
    <row r="30" spans="1:19" ht="15.75" customHeight="1" x14ac:dyDescent="0.35">
      <c r="A30" s="128">
        <v>45685</v>
      </c>
      <c r="B30" s="95"/>
      <c r="C30" s="9">
        <f t="shared" si="0"/>
        <v>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7"/>
      <c r="O30" s="114"/>
      <c r="P30" s="99">
        <f t="shared" si="1"/>
        <v>0</v>
      </c>
      <c r="Q30" s="27">
        <f t="shared" si="2"/>
        <v>0</v>
      </c>
      <c r="R30" s="41">
        <f t="shared" si="3"/>
        <v>0</v>
      </c>
      <c r="S30" s="28"/>
    </row>
    <row r="31" spans="1:19" ht="15.75" customHeight="1" x14ac:dyDescent="0.35">
      <c r="A31" s="128">
        <v>45686</v>
      </c>
      <c r="B31" s="95"/>
      <c r="C31" s="9">
        <f t="shared" si="0"/>
        <v>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7"/>
      <c r="O31" s="114"/>
      <c r="P31" s="99">
        <f t="shared" si="1"/>
        <v>0</v>
      </c>
      <c r="Q31" s="27">
        <f t="shared" si="2"/>
        <v>0</v>
      </c>
      <c r="R31" s="41">
        <f t="shared" si="3"/>
        <v>0</v>
      </c>
      <c r="S31" s="28"/>
    </row>
    <row r="32" spans="1:19" ht="15.75" customHeight="1" x14ac:dyDescent="0.35">
      <c r="A32" s="128">
        <v>45687</v>
      </c>
      <c r="B32" s="95"/>
      <c r="C32" s="9">
        <f t="shared" si="0"/>
        <v>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7"/>
      <c r="O32" s="114"/>
      <c r="P32" s="99">
        <f t="shared" si="1"/>
        <v>0</v>
      </c>
      <c r="Q32" s="27">
        <f t="shared" si="2"/>
        <v>0</v>
      </c>
      <c r="R32" s="41">
        <f t="shared" si="3"/>
        <v>0</v>
      </c>
      <c r="S32" s="28"/>
    </row>
    <row r="33" spans="1:19" ht="15.75" customHeight="1" thickBot="1" x14ac:dyDescent="0.4">
      <c r="A33" s="128">
        <v>45688</v>
      </c>
      <c r="B33" s="96"/>
      <c r="C33" s="9">
        <f t="shared" si="0"/>
        <v>0</v>
      </c>
      <c r="D33" s="44"/>
      <c r="E33" s="44"/>
      <c r="F33" s="44"/>
      <c r="G33" s="9"/>
      <c r="H33" s="9"/>
      <c r="I33" s="9"/>
      <c r="J33" s="44"/>
      <c r="K33" s="9"/>
      <c r="L33" s="9"/>
      <c r="M33" s="9"/>
      <c r="N33" s="98"/>
      <c r="O33" s="115"/>
      <c r="P33" s="99">
        <f t="shared" si="1"/>
        <v>0</v>
      </c>
      <c r="Q33" s="27">
        <f t="shared" si="2"/>
        <v>0</v>
      </c>
      <c r="R33" s="41">
        <f t="shared" si="3"/>
        <v>0</v>
      </c>
      <c r="S33" s="28"/>
    </row>
    <row r="34" spans="1:19" ht="15.75" customHeight="1" thickBot="1" x14ac:dyDescent="0.4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0</v>
      </c>
      <c r="Q34" s="72">
        <f>P34-R34</f>
        <v>0</v>
      </c>
      <c r="R34" s="49">
        <f>SUM(R3:R33)</f>
        <v>0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2">
    <dataValidation type="list" allowBlank="1" showInputMessage="1" showErrorMessage="1" sqref="B33" xr:uid="{5851CCE5-A9EE-48C0-8D19-81DD8F1AFE89}">
      <formula1>"Matosinhos,Timeout,Bolhão"</formula1>
    </dataValidation>
    <dataValidation type="list" allowBlank="1" showInputMessage="1" showErrorMessage="1" sqref="B3:B32" xr:uid="{D16A8A10-FD63-46A5-BFF1-64C4101569C8}">
      <formula1>"Matosinhos;TimeOut;Bolhão"</formula1>
    </dataValidation>
  </dataValidations>
  <pageMargins left="0.75" right="0.75" top="1" bottom="1" header="0" footer="0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7F81-C9BC-4E38-B91B-291D9DD22CFA}">
  <dimension ref="A1:S1001"/>
  <sheetViews>
    <sheetView zoomScale="85" zoomScaleNormal="85" workbookViewId="0">
      <pane ySplit="2" topLeftCell="A3" activePane="bottomLeft" state="frozen"/>
      <selection activeCell="O1" sqref="O1"/>
      <selection pane="bottomLeft" activeCell="O1" sqref="O1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1" spans="1:19" ht="15" customHeight="1" thickBot="1" x14ac:dyDescent="0.4"/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45658</v>
      </c>
      <c r="B3" s="95" t="s">
        <v>2688</v>
      </c>
      <c r="C3" s="9">
        <f t="shared" ref="C3:C33" si="0">D3</f>
        <v>0</v>
      </c>
      <c r="D3" s="9"/>
      <c r="E3" s="9"/>
      <c r="F3" s="9"/>
      <c r="G3" s="9"/>
      <c r="H3" s="9"/>
      <c r="I3" s="9"/>
      <c r="J3" s="9"/>
      <c r="K3" s="9"/>
      <c r="L3" s="9"/>
      <c r="M3" s="9"/>
      <c r="N3" s="97"/>
      <c r="O3" s="9"/>
      <c r="P3" s="99">
        <f t="shared" ref="P3:P33" si="1">E3+F3+G3+H3+I3+J3+K3+L3+O3+M3+N3</f>
        <v>0</v>
      </c>
      <c r="Q3" s="27">
        <f t="shared" ref="Q3:Q33" si="2">O3-R3</f>
        <v>0</v>
      </c>
      <c r="R3" s="70">
        <f t="shared" ref="R3:R33" si="3">P3-C3-H3</f>
        <v>0</v>
      </c>
      <c r="S3" s="28"/>
    </row>
    <row r="4" spans="1:19" ht="15.75" customHeight="1" x14ac:dyDescent="0.35">
      <c r="A4" s="26">
        <v>45659</v>
      </c>
      <c r="B4" s="95" t="s">
        <v>119</v>
      </c>
      <c r="C4" s="9">
        <f t="shared" si="0"/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7"/>
      <c r="O4" s="9"/>
      <c r="P4" s="99">
        <f t="shared" si="1"/>
        <v>0</v>
      </c>
      <c r="Q4" s="27">
        <f t="shared" si="2"/>
        <v>0</v>
      </c>
      <c r="R4" s="70">
        <f t="shared" si="3"/>
        <v>0</v>
      </c>
      <c r="S4" s="28"/>
    </row>
    <row r="5" spans="1:19" ht="15.75" customHeight="1" x14ac:dyDescent="0.35">
      <c r="A5" s="26">
        <v>45660</v>
      </c>
      <c r="B5" s="95" t="s">
        <v>119</v>
      </c>
      <c r="C5" s="9">
        <f t="shared" si="0"/>
        <v>0</v>
      </c>
      <c r="D5" s="9"/>
      <c r="E5" s="9"/>
      <c r="F5" s="9"/>
      <c r="G5" s="9"/>
      <c r="H5" s="9"/>
      <c r="I5" s="9"/>
      <c r="J5" s="9"/>
      <c r="K5" s="9"/>
      <c r="L5" s="9"/>
      <c r="M5" s="129"/>
      <c r="N5" s="97"/>
      <c r="O5" s="9"/>
      <c r="P5" s="99">
        <f t="shared" si="1"/>
        <v>0</v>
      </c>
      <c r="Q5" s="27">
        <f t="shared" si="2"/>
        <v>0</v>
      </c>
      <c r="R5" s="41">
        <f t="shared" si="3"/>
        <v>0</v>
      </c>
      <c r="S5" s="28"/>
    </row>
    <row r="6" spans="1:19" ht="15.75" customHeight="1" x14ac:dyDescent="0.35">
      <c r="A6" s="26">
        <v>45661</v>
      </c>
      <c r="B6" s="95" t="s">
        <v>119</v>
      </c>
      <c r="C6" s="9">
        <f t="shared" si="0"/>
        <v>0</v>
      </c>
      <c r="D6" s="9"/>
      <c r="E6" s="9"/>
      <c r="F6" s="9"/>
      <c r="G6" s="9"/>
      <c r="H6" s="9"/>
      <c r="I6" s="9"/>
      <c r="J6" s="9"/>
      <c r="K6" s="9"/>
      <c r="L6" s="9"/>
      <c r="M6" s="129"/>
      <c r="N6" s="97"/>
      <c r="O6" s="9"/>
      <c r="P6" s="99">
        <f t="shared" si="1"/>
        <v>0</v>
      </c>
      <c r="Q6" s="27">
        <f t="shared" si="2"/>
        <v>0</v>
      </c>
      <c r="R6" s="41">
        <f t="shared" si="3"/>
        <v>0</v>
      </c>
      <c r="S6" s="28"/>
    </row>
    <row r="7" spans="1:19" ht="15.75" customHeight="1" x14ac:dyDescent="0.35">
      <c r="A7" s="26">
        <v>45662</v>
      </c>
      <c r="B7" s="95" t="s">
        <v>119</v>
      </c>
      <c r="C7" s="9">
        <f t="shared" si="0"/>
        <v>0</v>
      </c>
      <c r="D7" s="9"/>
      <c r="E7" s="9"/>
      <c r="F7" s="83"/>
      <c r="G7" s="9"/>
      <c r="H7" s="9"/>
      <c r="I7" s="9"/>
      <c r="J7" s="9"/>
      <c r="K7" s="9"/>
      <c r="L7" s="9"/>
      <c r="M7" s="129"/>
      <c r="N7" s="97"/>
      <c r="O7" s="9"/>
      <c r="P7" s="99">
        <f t="shared" si="1"/>
        <v>0</v>
      </c>
      <c r="Q7" s="27">
        <f t="shared" si="2"/>
        <v>0</v>
      </c>
      <c r="R7" s="41">
        <f t="shared" si="3"/>
        <v>0</v>
      </c>
      <c r="S7" s="28"/>
    </row>
    <row r="8" spans="1:19" ht="15.75" customHeight="1" x14ac:dyDescent="0.35">
      <c r="A8" s="26">
        <v>45663</v>
      </c>
      <c r="B8" s="95" t="s">
        <v>119</v>
      </c>
      <c r="C8" s="9">
        <f t="shared" si="0"/>
        <v>0</v>
      </c>
      <c r="D8" s="9"/>
      <c r="E8" s="9"/>
      <c r="F8" s="9"/>
      <c r="G8" s="9"/>
      <c r="H8" s="9"/>
      <c r="I8" s="9"/>
      <c r="J8" s="9"/>
      <c r="K8" s="9"/>
      <c r="L8" s="9"/>
      <c r="M8" s="129"/>
      <c r="N8" s="97"/>
      <c r="O8" s="9"/>
      <c r="P8" s="99">
        <f t="shared" si="1"/>
        <v>0</v>
      </c>
      <c r="Q8" s="27">
        <f t="shared" si="2"/>
        <v>0</v>
      </c>
      <c r="R8" s="41">
        <f t="shared" si="3"/>
        <v>0</v>
      </c>
      <c r="S8" s="28"/>
    </row>
    <row r="9" spans="1:19" ht="15.75" customHeight="1" x14ac:dyDescent="0.35">
      <c r="A9" s="26">
        <v>45664</v>
      </c>
      <c r="B9" s="95"/>
      <c r="C9" s="9">
        <f t="shared" si="0"/>
        <v>0</v>
      </c>
      <c r="D9" s="9"/>
      <c r="E9" s="9"/>
      <c r="F9" s="9"/>
      <c r="G9" s="9"/>
      <c r="H9" s="9"/>
      <c r="I9" s="9"/>
      <c r="J9" s="9"/>
      <c r="K9" s="9"/>
      <c r="L9" s="9"/>
      <c r="M9" s="129"/>
      <c r="N9" s="97"/>
      <c r="O9" s="9"/>
      <c r="P9" s="99">
        <f t="shared" si="1"/>
        <v>0</v>
      </c>
      <c r="Q9" s="27">
        <f t="shared" si="2"/>
        <v>0</v>
      </c>
      <c r="R9" s="41">
        <f t="shared" si="3"/>
        <v>0</v>
      </c>
      <c r="S9" s="28"/>
    </row>
    <row r="10" spans="1:19" ht="15.75" customHeight="1" x14ac:dyDescent="0.35">
      <c r="A10" s="26">
        <v>45665</v>
      </c>
      <c r="B10" s="95"/>
      <c r="C10" s="9">
        <f t="shared" si="0"/>
        <v>0</v>
      </c>
      <c r="D10" s="9"/>
      <c r="E10" s="9"/>
      <c r="F10" s="9"/>
      <c r="G10" s="9"/>
      <c r="H10" s="9"/>
      <c r="I10" s="9"/>
      <c r="J10" s="9"/>
      <c r="K10" s="9"/>
      <c r="L10" s="9"/>
      <c r="M10" s="129"/>
      <c r="N10" s="97"/>
      <c r="O10" s="9"/>
      <c r="P10" s="99">
        <f t="shared" si="1"/>
        <v>0</v>
      </c>
      <c r="Q10" s="27">
        <f t="shared" si="2"/>
        <v>0</v>
      </c>
      <c r="R10" s="41">
        <f t="shared" si="3"/>
        <v>0</v>
      </c>
      <c r="S10" s="28"/>
    </row>
    <row r="11" spans="1:19" ht="15.75" customHeight="1" x14ac:dyDescent="0.35">
      <c r="A11" s="26">
        <v>45666</v>
      </c>
      <c r="B11" s="95"/>
      <c r="C11" s="9">
        <f t="shared" si="0"/>
        <v>0</v>
      </c>
      <c r="D11" s="9"/>
      <c r="E11" s="9"/>
      <c r="F11" s="9"/>
      <c r="G11" s="9"/>
      <c r="H11" s="9"/>
      <c r="I11" s="9"/>
      <c r="J11" s="9"/>
      <c r="K11" s="9"/>
      <c r="L11" s="9"/>
      <c r="M11" s="129"/>
      <c r="N11" s="97"/>
      <c r="O11" s="9"/>
      <c r="P11" s="99">
        <f t="shared" si="1"/>
        <v>0</v>
      </c>
      <c r="Q11" s="27">
        <f t="shared" si="2"/>
        <v>0</v>
      </c>
      <c r="R11" s="41">
        <f t="shared" si="3"/>
        <v>0</v>
      </c>
      <c r="S11" s="28"/>
    </row>
    <row r="12" spans="1:19" ht="15.75" customHeight="1" x14ac:dyDescent="0.35">
      <c r="A12" s="26">
        <v>45667</v>
      </c>
      <c r="B12" s="95"/>
      <c r="C12" s="9">
        <f t="shared" si="0"/>
        <v>0</v>
      </c>
      <c r="D12" s="9"/>
      <c r="E12" s="9"/>
      <c r="F12" s="9"/>
      <c r="G12" s="9"/>
      <c r="H12" s="9"/>
      <c r="I12" s="9"/>
      <c r="J12" s="9"/>
      <c r="K12" s="9"/>
      <c r="L12" s="9"/>
      <c r="M12" s="129"/>
      <c r="N12" s="97"/>
      <c r="O12" s="9"/>
      <c r="P12" s="99">
        <f t="shared" si="1"/>
        <v>0</v>
      </c>
      <c r="Q12" s="27">
        <f t="shared" si="2"/>
        <v>0</v>
      </c>
      <c r="R12" s="41">
        <f t="shared" si="3"/>
        <v>0</v>
      </c>
      <c r="S12" s="28"/>
    </row>
    <row r="13" spans="1:19" ht="15.75" customHeight="1" x14ac:dyDescent="0.35">
      <c r="A13" s="26">
        <v>45668</v>
      </c>
      <c r="B13" s="95"/>
      <c r="C13" s="9">
        <f t="shared" si="0"/>
        <v>0</v>
      </c>
      <c r="D13" s="9"/>
      <c r="E13" s="9"/>
      <c r="F13" s="9"/>
      <c r="G13" s="9"/>
      <c r="H13" s="9"/>
      <c r="I13" s="9"/>
      <c r="J13" s="9"/>
      <c r="K13" s="9"/>
      <c r="L13" s="9"/>
      <c r="M13" s="129"/>
      <c r="N13" s="97"/>
      <c r="O13" s="9"/>
      <c r="P13" s="99">
        <f t="shared" si="1"/>
        <v>0</v>
      </c>
      <c r="Q13" s="27">
        <f t="shared" si="2"/>
        <v>0</v>
      </c>
      <c r="R13" s="41">
        <f t="shared" si="3"/>
        <v>0</v>
      </c>
      <c r="S13" s="28"/>
    </row>
    <row r="14" spans="1:19" ht="15.75" customHeight="1" x14ac:dyDescent="0.35">
      <c r="A14" s="26">
        <v>45669</v>
      </c>
      <c r="B14" s="95"/>
      <c r="C14" s="9">
        <f t="shared" si="0"/>
        <v>0</v>
      </c>
      <c r="D14" s="9"/>
      <c r="E14" s="9"/>
      <c r="F14" s="9"/>
      <c r="G14" s="9"/>
      <c r="H14" s="9"/>
      <c r="I14" s="9"/>
      <c r="J14" s="9"/>
      <c r="K14" s="9"/>
      <c r="L14" s="9"/>
      <c r="M14" s="129"/>
      <c r="N14" s="97"/>
      <c r="O14" s="9"/>
      <c r="P14" s="99">
        <f t="shared" si="1"/>
        <v>0</v>
      </c>
      <c r="Q14" s="27">
        <f t="shared" si="2"/>
        <v>0</v>
      </c>
      <c r="R14" s="41">
        <f t="shared" si="3"/>
        <v>0</v>
      </c>
      <c r="S14" s="28"/>
    </row>
    <row r="15" spans="1:19" ht="15.75" customHeight="1" x14ac:dyDescent="0.35">
      <c r="A15" s="26">
        <v>45670</v>
      </c>
      <c r="B15" s="95"/>
      <c r="C15" s="9">
        <f t="shared" si="0"/>
        <v>0</v>
      </c>
      <c r="D15" s="9"/>
      <c r="E15" s="9"/>
      <c r="F15" s="9"/>
      <c r="G15" s="9"/>
      <c r="H15" s="9"/>
      <c r="I15" s="9"/>
      <c r="J15" s="9"/>
      <c r="K15" s="9"/>
      <c r="L15" s="9"/>
      <c r="M15" s="129"/>
      <c r="N15" s="97"/>
      <c r="O15" s="9"/>
      <c r="P15" s="99">
        <f t="shared" si="1"/>
        <v>0</v>
      </c>
      <c r="Q15" s="27">
        <f t="shared" si="2"/>
        <v>0</v>
      </c>
      <c r="R15" s="41">
        <f t="shared" si="3"/>
        <v>0</v>
      </c>
      <c r="S15" s="28"/>
    </row>
    <row r="16" spans="1:19" ht="15.75" customHeight="1" x14ac:dyDescent="0.35">
      <c r="A16" s="26">
        <v>45671</v>
      </c>
      <c r="B16" s="95"/>
      <c r="C16" s="9">
        <f t="shared" si="0"/>
        <v>0</v>
      </c>
      <c r="D16" s="9"/>
      <c r="E16" s="9"/>
      <c r="F16" s="9"/>
      <c r="G16" s="9"/>
      <c r="H16" s="9"/>
      <c r="I16" s="9"/>
      <c r="J16" s="9"/>
      <c r="K16" s="9"/>
      <c r="L16" s="9"/>
      <c r="M16" s="129"/>
      <c r="N16" s="97"/>
      <c r="O16" s="129"/>
      <c r="P16" s="99">
        <f t="shared" si="1"/>
        <v>0</v>
      </c>
      <c r="Q16" s="27">
        <f t="shared" si="2"/>
        <v>0</v>
      </c>
      <c r="R16" s="41">
        <f t="shared" si="3"/>
        <v>0</v>
      </c>
      <c r="S16" s="28"/>
    </row>
    <row r="17" spans="1:19" ht="15.75" customHeight="1" x14ac:dyDescent="0.35">
      <c r="A17" s="26">
        <v>45672</v>
      </c>
      <c r="B17" s="95"/>
      <c r="C17" s="9">
        <f t="shared" si="0"/>
        <v>0</v>
      </c>
      <c r="D17" s="9"/>
      <c r="E17" s="9"/>
      <c r="F17" s="9"/>
      <c r="G17" s="9"/>
      <c r="H17" s="9"/>
      <c r="I17" s="9"/>
      <c r="J17" s="9"/>
      <c r="K17" s="9"/>
      <c r="L17" s="9"/>
      <c r="M17" s="129"/>
      <c r="N17" s="97"/>
      <c r="O17" s="129"/>
      <c r="P17" s="99">
        <f t="shared" si="1"/>
        <v>0</v>
      </c>
      <c r="Q17" s="27">
        <f t="shared" si="2"/>
        <v>0</v>
      </c>
      <c r="R17" s="41">
        <f t="shared" si="3"/>
        <v>0</v>
      </c>
      <c r="S17" s="28"/>
    </row>
    <row r="18" spans="1:19" ht="15.75" customHeight="1" x14ac:dyDescent="0.35">
      <c r="A18" s="26">
        <v>45673</v>
      </c>
      <c r="B18" s="95"/>
      <c r="C18" s="9">
        <f t="shared" si="0"/>
        <v>0</v>
      </c>
      <c r="D18" s="9"/>
      <c r="E18" s="9"/>
      <c r="F18" s="9"/>
      <c r="G18" s="9"/>
      <c r="H18" s="9"/>
      <c r="I18" s="9"/>
      <c r="J18" s="9"/>
      <c r="K18" s="9"/>
      <c r="L18" s="9"/>
      <c r="M18" s="129"/>
      <c r="N18" s="97"/>
      <c r="O18" s="129"/>
      <c r="P18" s="99">
        <f t="shared" si="1"/>
        <v>0</v>
      </c>
      <c r="Q18" s="27">
        <f t="shared" si="2"/>
        <v>0</v>
      </c>
      <c r="R18" s="41">
        <f t="shared" si="3"/>
        <v>0</v>
      </c>
      <c r="S18" s="28"/>
    </row>
    <row r="19" spans="1:19" ht="15.75" customHeight="1" x14ac:dyDescent="0.35">
      <c r="A19" s="26">
        <v>45674</v>
      </c>
      <c r="B19" s="95"/>
      <c r="C19" s="9">
        <f t="shared" si="0"/>
        <v>0</v>
      </c>
      <c r="D19" s="9"/>
      <c r="E19" s="9"/>
      <c r="F19" s="9"/>
      <c r="G19" s="9"/>
      <c r="H19" s="9"/>
      <c r="I19" s="9"/>
      <c r="J19" s="9"/>
      <c r="K19" s="9"/>
      <c r="L19" s="9"/>
      <c r="M19" s="129"/>
      <c r="N19" s="97"/>
      <c r="O19" s="129"/>
      <c r="P19" s="99">
        <f t="shared" si="1"/>
        <v>0</v>
      </c>
      <c r="Q19" s="27">
        <f t="shared" si="2"/>
        <v>0</v>
      </c>
      <c r="R19" s="41">
        <f t="shared" si="3"/>
        <v>0</v>
      </c>
      <c r="S19" s="28"/>
    </row>
    <row r="20" spans="1:19" ht="15.75" customHeight="1" x14ac:dyDescent="0.35">
      <c r="A20" s="26">
        <v>45675</v>
      </c>
      <c r="B20" s="95"/>
      <c r="C20" s="9">
        <f t="shared" si="0"/>
        <v>0</v>
      </c>
      <c r="D20" s="9"/>
      <c r="E20" s="9"/>
      <c r="F20" s="9"/>
      <c r="G20" s="9"/>
      <c r="H20" s="9"/>
      <c r="I20" s="9"/>
      <c r="J20" s="9"/>
      <c r="K20" s="9"/>
      <c r="L20" s="9"/>
      <c r="M20" s="129"/>
      <c r="N20" s="97"/>
      <c r="O20" s="129"/>
      <c r="P20" s="99">
        <f t="shared" si="1"/>
        <v>0</v>
      </c>
      <c r="Q20" s="27">
        <f t="shared" si="2"/>
        <v>0</v>
      </c>
      <c r="R20" s="41">
        <f t="shared" si="3"/>
        <v>0</v>
      </c>
      <c r="S20" s="28"/>
    </row>
    <row r="21" spans="1:19" ht="15.75" customHeight="1" x14ac:dyDescent="0.35">
      <c r="A21" s="26">
        <v>45676</v>
      </c>
      <c r="B21" s="95"/>
      <c r="C21" s="9">
        <f t="shared" si="0"/>
        <v>0</v>
      </c>
      <c r="D21" s="9"/>
      <c r="E21" s="9"/>
      <c r="F21" s="9"/>
      <c r="G21" s="9"/>
      <c r="H21" s="9"/>
      <c r="I21" s="9"/>
      <c r="J21" s="9"/>
      <c r="K21" s="9"/>
      <c r="L21" s="9"/>
      <c r="M21" s="129"/>
      <c r="N21" s="97"/>
      <c r="O21" s="129"/>
      <c r="P21" s="99">
        <f t="shared" si="1"/>
        <v>0</v>
      </c>
      <c r="Q21" s="27">
        <f t="shared" si="2"/>
        <v>0</v>
      </c>
      <c r="R21" s="41">
        <f t="shared" si="3"/>
        <v>0</v>
      </c>
      <c r="S21" s="28"/>
    </row>
    <row r="22" spans="1:19" ht="15.75" customHeight="1" x14ac:dyDescent="0.35">
      <c r="A22" s="26">
        <v>45677</v>
      </c>
      <c r="B22" s="95"/>
      <c r="C22" s="9">
        <f t="shared" si="0"/>
        <v>0</v>
      </c>
      <c r="D22" s="9"/>
      <c r="E22" s="9"/>
      <c r="F22" s="9"/>
      <c r="G22" s="9"/>
      <c r="H22" s="9"/>
      <c r="I22" s="9"/>
      <c r="J22" s="9"/>
      <c r="K22" s="9"/>
      <c r="L22" s="9"/>
      <c r="M22" s="129"/>
      <c r="N22" s="97"/>
      <c r="O22" s="129"/>
      <c r="P22" s="99">
        <f t="shared" si="1"/>
        <v>0</v>
      </c>
      <c r="Q22" s="27">
        <f t="shared" si="2"/>
        <v>0</v>
      </c>
      <c r="R22" s="41">
        <f t="shared" si="3"/>
        <v>0</v>
      </c>
      <c r="S22" s="28"/>
    </row>
    <row r="23" spans="1:19" ht="15.75" customHeight="1" x14ac:dyDescent="0.35">
      <c r="A23" s="26">
        <v>45678</v>
      </c>
      <c r="B23" s="95"/>
      <c r="C23" s="9">
        <f t="shared" si="0"/>
        <v>0</v>
      </c>
      <c r="D23" s="9"/>
      <c r="E23" s="9"/>
      <c r="F23" s="9"/>
      <c r="G23" s="9"/>
      <c r="H23" s="9"/>
      <c r="I23" s="9"/>
      <c r="J23" s="9"/>
      <c r="K23" s="9"/>
      <c r="L23" s="9"/>
      <c r="M23" s="129"/>
      <c r="N23" s="97"/>
      <c r="O23" s="9"/>
      <c r="P23" s="99">
        <f t="shared" si="1"/>
        <v>0</v>
      </c>
      <c r="Q23" s="27">
        <f t="shared" si="2"/>
        <v>0</v>
      </c>
      <c r="R23" s="41">
        <f t="shared" si="3"/>
        <v>0</v>
      </c>
      <c r="S23" s="28"/>
    </row>
    <row r="24" spans="1:19" ht="15.75" customHeight="1" x14ac:dyDescent="0.35">
      <c r="A24" s="26">
        <v>45679</v>
      </c>
      <c r="B24" s="95"/>
      <c r="C24" s="9">
        <f t="shared" si="0"/>
        <v>0</v>
      </c>
      <c r="D24" s="9"/>
      <c r="E24" s="9"/>
      <c r="F24" s="9"/>
      <c r="G24" s="9"/>
      <c r="H24" s="9"/>
      <c r="I24" s="9"/>
      <c r="J24" s="9"/>
      <c r="K24" s="9"/>
      <c r="L24" s="9"/>
      <c r="M24" s="129"/>
      <c r="N24" s="97"/>
      <c r="O24" s="9"/>
      <c r="P24" s="99">
        <f t="shared" si="1"/>
        <v>0</v>
      </c>
      <c r="Q24" s="27">
        <f t="shared" si="2"/>
        <v>0</v>
      </c>
      <c r="R24" s="41">
        <f t="shared" si="3"/>
        <v>0</v>
      </c>
      <c r="S24" s="28"/>
    </row>
    <row r="25" spans="1:19" ht="15.75" customHeight="1" x14ac:dyDescent="0.35">
      <c r="A25" s="26">
        <v>45680</v>
      </c>
      <c r="B25" s="95"/>
      <c r="C25" s="9">
        <f t="shared" si="0"/>
        <v>0</v>
      </c>
      <c r="D25" s="9"/>
      <c r="E25" s="9"/>
      <c r="F25" s="9"/>
      <c r="G25" s="9"/>
      <c r="H25" s="9"/>
      <c r="I25" s="9"/>
      <c r="J25" s="9"/>
      <c r="K25" s="9"/>
      <c r="L25" s="9"/>
      <c r="M25" s="129"/>
      <c r="N25" s="97"/>
      <c r="O25" s="9"/>
      <c r="P25" s="99">
        <f t="shared" si="1"/>
        <v>0</v>
      </c>
      <c r="Q25" s="27">
        <f t="shared" si="2"/>
        <v>0</v>
      </c>
      <c r="R25" s="41">
        <f t="shared" si="3"/>
        <v>0</v>
      </c>
      <c r="S25" s="28"/>
    </row>
    <row r="26" spans="1:19" ht="15.75" customHeight="1" x14ac:dyDescent="0.35">
      <c r="A26" s="26">
        <v>45681</v>
      </c>
      <c r="B26" s="95"/>
      <c r="C26" s="9">
        <f t="shared" si="0"/>
        <v>0</v>
      </c>
      <c r="D26" s="9"/>
      <c r="E26" s="9"/>
      <c r="F26" s="9"/>
      <c r="G26" s="9"/>
      <c r="H26" s="9"/>
      <c r="I26" s="9"/>
      <c r="J26" s="9"/>
      <c r="K26" s="9"/>
      <c r="L26" s="9"/>
      <c r="M26" s="129"/>
      <c r="N26" s="97"/>
      <c r="O26" s="9"/>
      <c r="P26" s="99">
        <f t="shared" si="1"/>
        <v>0</v>
      </c>
      <c r="Q26" s="27">
        <f t="shared" si="2"/>
        <v>0</v>
      </c>
      <c r="R26" s="41">
        <f t="shared" si="3"/>
        <v>0</v>
      </c>
      <c r="S26" s="28"/>
    </row>
    <row r="27" spans="1:19" ht="15.75" customHeight="1" x14ac:dyDescent="0.35">
      <c r="A27" s="26">
        <v>45682</v>
      </c>
      <c r="B27" s="95"/>
      <c r="C27" s="9">
        <f t="shared" si="0"/>
        <v>0</v>
      </c>
      <c r="D27" s="9"/>
      <c r="E27" s="9"/>
      <c r="F27" s="9"/>
      <c r="G27" s="9"/>
      <c r="H27" s="9"/>
      <c r="I27" s="9"/>
      <c r="J27" s="9"/>
      <c r="K27" s="9"/>
      <c r="L27" s="9"/>
      <c r="M27" s="129"/>
      <c r="N27" s="97"/>
      <c r="O27" s="9"/>
      <c r="P27" s="99">
        <f t="shared" si="1"/>
        <v>0</v>
      </c>
      <c r="Q27" s="27">
        <f t="shared" si="2"/>
        <v>0</v>
      </c>
      <c r="R27" s="41">
        <f t="shared" si="3"/>
        <v>0</v>
      </c>
      <c r="S27" s="28"/>
    </row>
    <row r="28" spans="1:19" ht="15.75" customHeight="1" x14ac:dyDescent="0.35">
      <c r="A28" s="26">
        <v>45683</v>
      </c>
      <c r="B28" s="95"/>
      <c r="C28" s="9">
        <f t="shared" si="0"/>
        <v>0</v>
      </c>
      <c r="D28" s="9"/>
      <c r="E28" s="9"/>
      <c r="F28" s="9"/>
      <c r="G28" s="9"/>
      <c r="H28" s="9"/>
      <c r="I28" s="9"/>
      <c r="J28" s="9"/>
      <c r="K28" s="9"/>
      <c r="L28" s="9"/>
      <c r="M28" s="129"/>
      <c r="N28" s="97"/>
      <c r="O28" s="9"/>
      <c r="P28" s="99">
        <f t="shared" si="1"/>
        <v>0</v>
      </c>
      <c r="Q28" s="27">
        <f t="shared" si="2"/>
        <v>0</v>
      </c>
      <c r="R28" s="41">
        <f t="shared" si="3"/>
        <v>0</v>
      </c>
      <c r="S28" s="28"/>
    </row>
    <row r="29" spans="1:19" ht="15.75" customHeight="1" x14ac:dyDescent="0.35">
      <c r="A29" s="26">
        <v>45684</v>
      </c>
      <c r="B29" s="95"/>
      <c r="C29" s="9">
        <f t="shared" si="0"/>
        <v>0</v>
      </c>
      <c r="D29" s="9"/>
      <c r="E29" s="9"/>
      <c r="F29" s="9"/>
      <c r="G29" s="9"/>
      <c r="H29" s="9"/>
      <c r="I29" s="9"/>
      <c r="J29" s="9"/>
      <c r="K29" s="9"/>
      <c r="L29" s="9"/>
      <c r="M29" s="129"/>
      <c r="N29" s="97"/>
      <c r="O29" s="9"/>
      <c r="P29" s="99">
        <f t="shared" si="1"/>
        <v>0</v>
      </c>
      <c r="Q29" s="27">
        <f t="shared" si="2"/>
        <v>0</v>
      </c>
      <c r="R29" s="41">
        <f t="shared" si="3"/>
        <v>0</v>
      </c>
      <c r="S29" s="28"/>
    </row>
    <row r="30" spans="1:19" ht="15.75" customHeight="1" x14ac:dyDescent="0.35">
      <c r="A30" s="26">
        <v>45685</v>
      </c>
      <c r="B30" s="95"/>
      <c r="C30" s="9">
        <f t="shared" si="0"/>
        <v>0</v>
      </c>
      <c r="D30" s="9"/>
      <c r="E30" s="9"/>
      <c r="F30" s="9"/>
      <c r="G30" s="9"/>
      <c r="H30" s="9"/>
      <c r="I30" s="9"/>
      <c r="J30" s="9"/>
      <c r="K30" s="9"/>
      <c r="L30" s="9"/>
      <c r="M30" s="129"/>
      <c r="N30" s="97"/>
      <c r="O30" s="9"/>
      <c r="P30" s="99">
        <f t="shared" si="1"/>
        <v>0</v>
      </c>
      <c r="Q30" s="27">
        <f t="shared" si="2"/>
        <v>0</v>
      </c>
      <c r="R30" s="41">
        <f t="shared" si="3"/>
        <v>0</v>
      </c>
      <c r="S30" s="28"/>
    </row>
    <row r="31" spans="1:19" ht="15.75" customHeight="1" x14ac:dyDescent="0.35">
      <c r="A31" s="26">
        <v>45686</v>
      </c>
      <c r="B31" s="95"/>
      <c r="C31" s="9">
        <f t="shared" si="0"/>
        <v>0</v>
      </c>
      <c r="D31" s="9"/>
      <c r="E31" s="9"/>
      <c r="F31" s="9"/>
      <c r="G31" s="9"/>
      <c r="H31" s="9"/>
      <c r="I31" s="9"/>
      <c r="J31" s="9"/>
      <c r="K31" s="9"/>
      <c r="L31" s="9"/>
      <c r="M31" s="129"/>
      <c r="N31" s="97"/>
      <c r="O31" s="9"/>
      <c r="P31" s="99">
        <f t="shared" si="1"/>
        <v>0</v>
      </c>
      <c r="Q31" s="27">
        <f t="shared" si="2"/>
        <v>0</v>
      </c>
      <c r="R31" s="41">
        <f t="shared" si="3"/>
        <v>0</v>
      </c>
      <c r="S31" s="28"/>
    </row>
    <row r="32" spans="1:19" ht="15.75" customHeight="1" x14ac:dyDescent="0.35">
      <c r="A32" s="26">
        <v>45687</v>
      </c>
      <c r="B32" s="95"/>
      <c r="C32" s="9">
        <f t="shared" si="0"/>
        <v>0</v>
      </c>
      <c r="D32" s="9"/>
      <c r="E32" s="9"/>
      <c r="F32" s="9"/>
      <c r="G32" s="9"/>
      <c r="H32" s="9"/>
      <c r="I32" s="9"/>
      <c r="J32" s="9"/>
      <c r="K32" s="9"/>
      <c r="L32" s="9"/>
      <c r="M32" s="129"/>
      <c r="N32" s="97"/>
      <c r="O32" s="9"/>
      <c r="P32" s="99">
        <f t="shared" si="1"/>
        <v>0</v>
      </c>
      <c r="Q32" s="27">
        <f t="shared" si="2"/>
        <v>0</v>
      </c>
      <c r="R32" s="41">
        <f t="shared" si="3"/>
        <v>0</v>
      </c>
      <c r="S32" s="28"/>
    </row>
    <row r="33" spans="1:19" ht="15.75" customHeight="1" thickBot="1" x14ac:dyDescent="0.4">
      <c r="A33" s="26">
        <v>45688</v>
      </c>
      <c r="B33" s="96"/>
      <c r="C33" s="9">
        <f t="shared" si="0"/>
        <v>0</v>
      </c>
      <c r="D33" s="44"/>
      <c r="E33" s="44"/>
      <c r="F33" s="44"/>
      <c r="G33" s="9"/>
      <c r="H33" s="9"/>
      <c r="I33" s="9"/>
      <c r="J33" s="44"/>
      <c r="K33" s="9"/>
      <c r="L33" s="9"/>
      <c r="M33" s="129"/>
      <c r="N33" s="98"/>
      <c r="O33" s="44"/>
      <c r="P33" s="99">
        <f t="shared" si="1"/>
        <v>0</v>
      </c>
      <c r="Q33" s="27">
        <f t="shared" si="2"/>
        <v>0</v>
      </c>
      <c r="R33" s="41">
        <f t="shared" si="3"/>
        <v>0</v>
      </c>
      <c r="S33" s="28"/>
    </row>
    <row r="34" spans="1:19" ht="15.75" customHeight="1" thickBot="1" x14ac:dyDescent="0.4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0</v>
      </c>
      <c r="Q34" s="72">
        <f>P34-R34</f>
        <v>0</v>
      </c>
      <c r="R34" s="49">
        <f>SUM(R3:R33)</f>
        <v>0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2">
    <dataValidation type="list" allowBlank="1" showInputMessage="1" showErrorMessage="1" sqref="B3:B32" xr:uid="{4E9A0599-ED20-4E4D-9F64-6027A5BF81C0}">
      <formula1>"Matosinhos;TimeOut;Bolhão"</formula1>
    </dataValidation>
    <dataValidation type="list" allowBlank="1" showInputMessage="1" showErrorMessage="1" sqref="B33" xr:uid="{6C1D669B-7F40-49CD-B7CE-2C2FA1F9EBF3}">
      <formula1>"Matosinhos,Timeout,Bolhão"</formula1>
    </dataValidation>
  </dataValidations>
  <pageMargins left="0.75" right="0.75" top="1" bottom="1" header="0" footer="0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0F9D-EADD-4E44-BD0A-0682AB11E303}">
  <dimension ref="A1:S1001"/>
  <sheetViews>
    <sheetView zoomScale="85" zoomScaleNormal="85" workbookViewId="0">
      <pane ySplit="2" topLeftCell="A3" activePane="bottomLeft" state="frozen"/>
      <selection activeCell="O1" sqref="O1"/>
      <selection pane="bottomLeft" activeCell="O1" sqref="O1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1" spans="1:19" ht="15" customHeight="1" thickBot="1" x14ac:dyDescent="0.4"/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45627</v>
      </c>
      <c r="B3" s="95" t="s">
        <v>2688</v>
      </c>
      <c r="C3" s="9">
        <f>D3</f>
        <v>322</v>
      </c>
      <c r="D3" s="9">
        <v>322</v>
      </c>
      <c r="E3" s="9">
        <v>225.4</v>
      </c>
      <c r="F3" s="9"/>
      <c r="G3" s="9"/>
      <c r="H3" s="9"/>
      <c r="I3" s="9"/>
      <c r="J3" s="9"/>
      <c r="K3" s="9"/>
      <c r="L3" s="9"/>
      <c r="M3" s="9"/>
      <c r="N3" s="97"/>
      <c r="O3" s="114">
        <v>95</v>
      </c>
      <c r="P3" s="99">
        <f t="shared" ref="P3:P33" si="0">E3+F3+G3+H3+I3+J3+K3+L3+O3+M3+N3</f>
        <v>320.39999999999998</v>
      </c>
      <c r="Q3" s="27">
        <f t="shared" ref="Q3:Q33" si="1">O3-R3</f>
        <v>96.600000000000023</v>
      </c>
      <c r="R3" s="70">
        <f t="shared" ref="R3:R33" si="2">P3-C3-H3</f>
        <v>-1.6000000000000227</v>
      </c>
      <c r="S3" s="28"/>
    </row>
    <row r="4" spans="1:19" ht="15.75" customHeight="1" x14ac:dyDescent="0.35">
      <c r="A4" s="118">
        <v>45628</v>
      </c>
      <c r="B4" s="95" t="s">
        <v>119</v>
      </c>
      <c r="C4" s="9">
        <f t="shared" ref="C4:C5" si="3">D4</f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7"/>
      <c r="O4" s="114"/>
      <c r="P4" s="99">
        <f t="shared" si="0"/>
        <v>0</v>
      </c>
      <c r="Q4" s="27">
        <f t="shared" si="1"/>
        <v>0</v>
      </c>
      <c r="R4" s="70">
        <f t="shared" si="2"/>
        <v>0</v>
      </c>
      <c r="S4" s="28"/>
    </row>
    <row r="5" spans="1:19" ht="15.75" customHeight="1" x14ac:dyDescent="0.35">
      <c r="A5" s="26">
        <v>45629</v>
      </c>
      <c r="B5" s="95" t="s">
        <v>119</v>
      </c>
      <c r="C5" s="9">
        <f t="shared" si="3"/>
        <v>189.65</v>
      </c>
      <c r="D5" s="9">
        <v>189.65</v>
      </c>
      <c r="E5" s="9">
        <v>148.25</v>
      </c>
      <c r="F5" s="9"/>
      <c r="G5" s="9"/>
      <c r="H5" s="9"/>
      <c r="I5" s="9"/>
      <c r="J5" s="9"/>
      <c r="K5" s="9"/>
      <c r="L5" s="9"/>
      <c r="M5" s="9"/>
      <c r="N5" s="97"/>
      <c r="O5" s="114">
        <v>40</v>
      </c>
      <c r="P5" s="99">
        <f t="shared" si="0"/>
        <v>188.25</v>
      </c>
      <c r="Q5" s="27">
        <f t="shared" si="1"/>
        <v>41.400000000000006</v>
      </c>
      <c r="R5" s="41">
        <f t="shared" si="2"/>
        <v>-1.4000000000000057</v>
      </c>
      <c r="S5" s="28"/>
    </row>
    <row r="6" spans="1:19" ht="15.75" customHeight="1" x14ac:dyDescent="0.35">
      <c r="A6" s="26">
        <v>45630</v>
      </c>
      <c r="B6" s="95" t="s">
        <v>119</v>
      </c>
      <c r="C6" s="9">
        <f>D6</f>
        <v>232.61</v>
      </c>
      <c r="D6" s="9">
        <v>232.61</v>
      </c>
      <c r="E6" s="9">
        <v>150.25</v>
      </c>
      <c r="F6" s="9"/>
      <c r="G6" s="9"/>
      <c r="H6" s="9"/>
      <c r="I6" s="9"/>
      <c r="J6" s="9"/>
      <c r="K6" s="9"/>
      <c r="L6" s="9"/>
      <c r="M6" s="9"/>
      <c r="N6" s="97"/>
      <c r="O6" s="114">
        <v>80</v>
      </c>
      <c r="P6" s="99">
        <f t="shared" si="0"/>
        <v>230.25</v>
      </c>
      <c r="Q6" s="27">
        <f>O6-R6</f>
        <v>82.360000000000014</v>
      </c>
      <c r="R6" s="41">
        <f t="shared" si="2"/>
        <v>-2.3600000000000136</v>
      </c>
      <c r="S6" s="28"/>
    </row>
    <row r="7" spans="1:19" ht="15.75" customHeight="1" x14ac:dyDescent="0.35">
      <c r="A7" s="26">
        <v>45631</v>
      </c>
      <c r="B7" s="95" t="s">
        <v>119</v>
      </c>
      <c r="C7" s="9">
        <f t="shared" ref="C7:C33" si="4">D7</f>
        <v>174.92</v>
      </c>
      <c r="D7" s="9">
        <v>174.92</v>
      </c>
      <c r="E7" s="9">
        <v>144</v>
      </c>
      <c r="F7" s="83"/>
      <c r="G7" s="9"/>
      <c r="H7" s="9"/>
      <c r="I7" s="9"/>
      <c r="J7" s="9"/>
      <c r="K7" s="9"/>
      <c r="L7" s="9"/>
      <c r="M7" s="9"/>
      <c r="N7" s="97"/>
      <c r="O7" s="114">
        <v>30</v>
      </c>
      <c r="P7" s="99">
        <f t="shared" si="0"/>
        <v>174</v>
      </c>
      <c r="Q7" s="27">
        <f t="shared" si="1"/>
        <v>30.919999999999987</v>
      </c>
      <c r="R7" s="41">
        <f t="shared" si="2"/>
        <v>-0.91999999999998749</v>
      </c>
      <c r="S7" s="28"/>
    </row>
    <row r="8" spans="1:19" ht="15.75" customHeight="1" x14ac:dyDescent="0.35">
      <c r="A8" s="26">
        <v>45632</v>
      </c>
      <c r="B8" s="95" t="s">
        <v>119</v>
      </c>
      <c r="C8" s="9">
        <f t="shared" si="4"/>
        <v>340.73</v>
      </c>
      <c r="D8" s="9">
        <v>340.73</v>
      </c>
      <c r="E8" s="9">
        <v>223.45</v>
      </c>
      <c r="F8" s="9"/>
      <c r="G8" s="9"/>
      <c r="H8" s="9"/>
      <c r="I8" s="9"/>
      <c r="J8" s="9">
        <v>46.9</v>
      </c>
      <c r="K8" s="9"/>
      <c r="L8" s="9"/>
      <c r="M8" s="9"/>
      <c r="N8" s="97"/>
      <c r="O8" s="114">
        <v>70</v>
      </c>
      <c r="P8" s="99">
        <f t="shared" si="0"/>
        <v>340.34999999999997</v>
      </c>
      <c r="Q8" s="27">
        <f t="shared" si="1"/>
        <v>70.380000000000052</v>
      </c>
      <c r="R8" s="41">
        <f t="shared" si="2"/>
        <v>-0.3800000000000523</v>
      </c>
      <c r="S8" s="28"/>
    </row>
    <row r="9" spans="1:19" ht="15.75" customHeight="1" x14ac:dyDescent="0.35">
      <c r="A9" s="26">
        <v>45633</v>
      </c>
      <c r="B9" s="95"/>
      <c r="C9" s="9">
        <f t="shared" si="4"/>
        <v>390.66</v>
      </c>
      <c r="D9" s="9">
        <v>390.66</v>
      </c>
      <c r="E9" s="9">
        <v>309.3</v>
      </c>
      <c r="F9" s="9"/>
      <c r="G9" s="9"/>
      <c r="H9" s="9"/>
      <c r="I9" s="9"/>
      <c r="J9" s="9"/>
      <c r="K9" s="9"/>
      <c r="L9" s="9"/>
      <c r="M9" s="9"/>
      <c r="N9" s="97"/>
      <c r="O9" s="114">
        <v>80</v>
      </c>
      <c r="P9" s="99">
        <f t="shared" si="0"/>
        <v>389.3</v>
      </c>
      <c r="Q9" s="27">
        <f t="shared" si="1"/>
        <v>81.360000000000014</v>
      </c>
      <c r="R9" s="41">
        <f t="shared" si="2"/>
        <v>-1.3600000000000136</v>
      </c>
      <c r="S9" s="28"/>
    </row>
    <row r="10" spans="1:19" ht="15.75" customHeight="1" x14ac:dyDescent="0.35">
      <c r="A10" s="26">
        <v>45634</v>
      </c>
      <c r="B10" s="95"/>
      <c r="C10" s="9">
        <f t="shared" si="4"/>
        <v>124.64</v>
      </c>
      <c r="D10" s="9">
        <v>124.64</v>
      </c>
      <c r="E10" s="9">
        <v>96.2</v>
      </c>
      <c r="F10" s="9"/>
      <c r="G10" s="9"/>
      <c r="H10" s="9"/>
      <c r="I10" s="9"/>
      <c r="J10" s="9"/>
      <c r="K10" s="9"/>
      <c r="L10" s="9"/>
      <c r="M10" s="9"/>
      <c r="N10" s="97"/>
      <c r="O10" s="114">
        <v>30</v>
      </c>
      <c r="P10" s="99">
        <f t="shared" si="0"/>
        <v>126.2</v>
      </c>
      <c r="Q10" s="27">
        <f t="shared" si="1"/>
        <v>28.439999999999998</v>
      </c>
      <c r="R10" s="41">
        <f t="shared" si="2"/>
        <v>1.5600000000000023</v>
      </c>
      <c r="S10" s="28"/>
    </row>
    <row r="11" spans="1:19" ht="15.75" customHeight="1" x14ac:dyDescent="0.35">
      <c r="A11" s="118">
        <v>45635</v>
      </c>
      <c r="B11" s="95"/>
      <c r="C11" s="9">
        <f t="shared" si="4"/>
        <v>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7"/>
      <c r="O11" s="114"/>
      <c r="P11" s="99">
        <f t="shared" si="0"/>
        <v>0</v>
      </c>
      <c r="Q11" s="27">
        <f t="shared" si="1"/>
        <v>0</v>
      </c>
      <c r="R11" s="41">
        <f t="shared" si="2"/>
        <v>0</v>
      </c>
      <c r="S11" s="28"/>
    </row>
    <row r="12" spans="1:19" ht="15.75" customHeight="1" x14ac:dyDescent="0.35">
      <c r="A12" s="26">
        <v>45636</v>
      </c>
      <c r="B12" s="95"/>
      <c r="C12" s="9">
        <f t="shared" si="4"/>
        <v>118.9</v>
      </c>
      <c r="D12" s="9">
        <v>118.9</v>
      </c>
      <c r="E12" s="9">
        <v>89.7</v>
      </c>
      <c r="F12" s="9"/>
      <c r="G12" s="9"/>
      <c r="H12" s="9"/>
      <c r="I12" s="9"/>
      <c r="J12" s="9"/>
      <c r="K12" s="9"/>
      <c r="L12" s="9"/>
      <c r="M12" s="9"/>
      <c r="N12" s="97"/>
      <c r="O12" s="114">
        <v>30</v>
      </c>
      <c r="P12" s="99">
        <f t="shared" si="0"/>
        <v>119.7</v>
      </c>
      <c r="Q12" s="27">
        <f t="shared" si="1"/>
        <v>29.200000000000003</v>
      </c>
      <c r="R12" s="41">
        <f t="shared" si="2"/>
        <v>0.79999999999999716</v>
      </c>
      <c r="S12" s="28"/>
    </row>
    <row r="13" spans="1:19" ht="15.75" customHeight="1" x14ac:dyDescent="0.35">
      <c r="A13" s="26">
        <v>45637</v>
      </c>
      <c r="B13" s="95"/>
      <c r="C13" s="9">
        <f t="shared" si="4"/>
        <v>144.22</v>
      </c>
      <c r="D13" s="9">
        <v>144.22</v>
      </c>
      <c r="E13" s="9">
        <v>74.7</v>
      </c>
      <c r="F13" s="9"/>
      <c r="G13" s="9"/>
      <c r="H13" s="9"/>
      <c r="I13" s="9"/>
      <c r="J13" s="9"/>
      <c r="K13" s="9"/>
      <c r="L13" s="9"/>
      <c r="M13" s="9"/>
      <c r="N13" s="97"/>
      <c r="O13" s="114">
        <v>70</v>
      </c>
      <c r="P13" s="99">
        <f t="shared" si="0"/>
        <v>144.69999999999999</v>
      </c>
      <c r="Q13" s="27">
        <f t="shared" si="1"/>
        <v>69.52000000000001</v>
      </c>
      <c r="R13" s="41">
        <f t="shared" si="2"/>
        <v>0.47999999999998977</v>
      </c>
      <c r="S13" s="28"/>
    </row>
    <row r="14" spans="1:19" ht="15.75" customHeight="1" x14ac:dyDescent="0.35">
      <c r="A14" s="26">
        <v>45638</v>
      </c>
      <c r="B14" s="95"/>
      <c r="C14" s="9">
        <f t="shared" si="4"/>
        <v>193.32</v>
      </c>
      <c r="D14" s="9">
        <v>193.32</v>
      </c>
      <c r="E14" s="9">
        <v>173.06</v>
      </c>
      <c r="F14" s="9"/>
      <c r="G14" s="9"/>
      <c r="H14" s="9"/>
      <c r="I14" s="9"/>
      <c r="J14" s="9"/>
      <c r="K14" s="9"/>
      <c r="L14" s="9"/>
      <c r="M14" s="9"/>
      <c r="N14" s="97"/>
      <c r="O14" s="114">
        <v>20</v>
      </c>
      <c r="P14" s="99">
        <f t="shared" si="0"/>
        <v>193.06</v>
      </c>
      <c r="Q14" s="27">
        <f t="shared" si="1"/>
        <v>20.259999999999991</v>
      </c>
      <c r="R14" s="41">
        <f t="shared" si="2"/>
        <v>-0.25999999999999091</v>
      </c>
      <c r="S14" s="28"/>
    </row>
    <row r="15" spans="1:19" ht="15.75" customHeight="1" x14ac:dyDescent="0.35">
      <c r="A15" s="26">
        <v>45639</v>
      </c>
      <c r="B15" s="95"/>
      <c r="C15" s="9">
        <f t="shared" si="4"/>
        <v>149.36000000000001</v>
      </c>
      <c r="D15" s="9">
        <v>149.36000000000001</v>
      </c>
      <c r="E15" s="9">
        <v>110</v>
      </c>
      <c r="F15" s="9"/>
      <c r="G15" s="9"/>
      <c r="H15" s="9"/>
      <c r="I15" s="9"/>
      <c r="J15" s="9"/>
      <c r="K15" s="9"/>
      <c r="L15" s="9"/>
      <c r="M15" s="9"/>
      <c r="N15" s="97"/>
      <c r="O15" s="114">
        <v>40</v>
      </c>
      <c r="P15" s="99">
        <f t="shared" si="0"/>
        <v>150</v>
      </c>
      <c r="Q15" s="27">
        <f t="shared" si="1"/>
        <v>39.360000000000014</v>
      </c>
      <c r="R15" s="41">
        <f t="shared" si="2"/>
        <v>0.63999999999998636</v>
      </c>
      <c r="S15" s="28"/>
    </row>
    <row r="16" spans="1:19" ht="15.75" customHeight="1" x14ac:dyDescent="0.35">
      <c r="A16" s="26">
        <v>45640</v>
      </c>
      <c r="B16" s="95"/>
      <c r="C16" s="9">
        <f t="shared" si="4"/>
        <v>476.68</v>
      </c>
      <c r="D16" s="9">
        <v>476.68</v>
      </c>
      <c r="E16" s="9">
        <v>332.7</v>
      </c>
      <c r="F16" s="9"/>
      <c r="G16" s="9"/>
      <c r="H16" s="9"/>
      <c r="I16" s="9"/>
      <c r="J16" s="9">
        <v>33.9</v>
      </c>
      <c r="K16" s="9"/>
      <c r="L16" s="9"/>
      <c r="M16" s="9"/>
      <c r="N16" s="97"/>
      <c r="O16" s="114">
        <v>110</v>
      </c>
      <c r="P16" s="99">
        <f t="shared" si="0"/>
        <v>476.59999999999997</v>
      </c>
      <c r="Q16" s="27">
        <f t="shared" si="1"/>
        <v>110.08000000000004</v>
      </c>
      <c r="R16" s="41">
        <f t="shared" si="2"/>
        <v>-8.0000000000040927E-2</v>
      </c>
      <c r="S16" s="28"/>
    </row>
    <row r="17" spans="1:19" ht="15.75" customHeight="1" x14ac:dyDescent="0.35">
      <c r="A17" s="26">
        <v>45641</v>
      </c>
      <c r="B17" s="95"/>
      <c r="C17" s="9">
        <f t="shared" si="4"/>
        <v>230.55</v>
      </c>
      <c r="D17" s="9">
        <v>230.55</v>
      </c>
      <c r="E17" s="9">
        <v>183.95</v>
      </c>
      <c r="F17" s="9"/>
      <c r="G17" s="9"/>
      <c r="H17" s="9"/>
      <c r="I17" s="9"/>
      <c r="J17" s="9"/>
      <c r="K17" s="9"/>
      <c r="L17" s="9"/>
      <c r="M17" s="9"/>
      <c r="N17" s="97"/>
      <c r="O17" s="114">
        <v>45</v>
      </c>
      <c r="P17" s="99">
        <f t="shared" si="0"/>
        <v>228.95</v>
      </c>
      <c r="Q17" s="27">
        <f>O17-R17</f>
        <v>46.600000000000023</v>
      </c>
      <c r="R17" s="41">
        <f t="shared" si="2"/>
        <v>-1.6000000000000227</v>
      </c>
      <c r="S17" s="28"/>
    </row>
    <row r="18" spans="1:19" ht="15.75" customHeight="1" x14ac:dyDescent="0.35">
      <c r="A18" s="118">
        <v>45642</v>
      </c>
      <c r="B18" s="95"/>
      <c r="C18" s="9">
        <f t="shared" si="4"/>
        <v>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7"/>
      <c r="O18" s="114"/>
      <c r="P18" s="99">
        <f t="shared" si="0"/>
        <v>0</v>
      </c>
      <c r="Q18" s="27">
        <f t="shared" si="1"/>
        <v>0</v>
      </c>
      <c r="R18" s="41">
        <f t="shared" si="2"/>
        <v>0</v>
      </c>
      <c r="S18" s="28"/>
    </row>
    <row r="19" spans="1:19" ht="15.75" customHeight="1" x14ac:dyDescent="0.35">
      <c r="A19" s="26">
        <v>45643</v>
      </c>
      <c r="B19" s="95"/>
      <c r="C19" s="9">
        <f t="shared" si="4"/>
        <v>74.62</v>
      </c>
      <c r="D19" s="9">
        <v>74.62</v>
      </c>
      <c r="E19" s="9">
        <v>62.8</v>
      </c>
      <c r="F19" s="9"/>
      <c r="G19" s="9"/>
      <c r="H19" s="9"/>
      <c r="I19" s="9"/>
      <c r="J19" s="9"/>
      <c r="K19" s="9"/>
      <c r="L19" s="9"/>
      <c r="M19" s="9"/>
      <c r="N19" s="97"/>
      <c r="O19" s="114">
        <v>10</v>
      </c>
      <c r="P19" s="99">
        <f t="shared" si="0"/>
        <v>72.8</v>
      </c>
      <c r="Q19" s="27">
        <f t="shared" si="1"/>
        <v>11.820000000000007</v>
      </c>
      <c r="R19" s="41">
        <f t="shared" si="2"/>
        <v>-1.8200000000000074</v>
      </c>
      <c r="S19" s="28"/>
    </row>
    <row r="20" spans="1:19" ht="15.75" customHeight="1" x14ac:dyDescent="0.35">
      <c r="A20" s="26">
        <v>45644</v>
      </c>
      <c r="B20" s="95"/>
      <c r="C20" s="9">
        <f t="shared" si="4"/>
        <v>92.78</v>
      </c>
      <c r="D20" s="9">
        <v>92.78</v>
      </c>
      <c r="E20" s="9">
        <v>53.6</v>
      </c>
      <c r="F20" s="9"/>
      <c r="G20" s="9"/>
      <c r="H20" s="9"/>
      <c r="I20" s="9"/>
      <c r="J20" s="9"/>
      <c r="K20" s="9"/>
      <c r="L20" s="9"/>
      <c r="M20" s="9"/>
      <c r="N20" s="97"/>
      <c r="O20" s="114">
        <v>40</v>
      </c>
      <c r="P20" s="99">
        <f t="shared" si="0"/>
        <v>93.6</v>
      </c>
      <c r="Q20" s="27">
        <f t="shared" si="1"/>
        <v>39.180000000000007</v>
      </c>
      <c r="R20" s="41">
        <f t="shared" si="2"/>
        <v>0.81999999999999318</v>
      </c>
      <c r="S20" s="28"/>
    </row>
    <row r="21" spans="1:19" ht="15.75" customHeight="1" x14ac:dyDescent="0.35">
      <c r="A21" s="26">
        <v>45645</v>
      </c>
      <c r="B21" s="95"/>
      <c r="C21" s="9">
        <f t="shared" si="4"/>
        <v>120.86</v>
      </c>
      <c r="D21" s="9">
        <v>120.86</v>
      </c>
      <c r="E21" s="9">
        <v>98.3</v>
      </c>
      <c r="F21" s="9"/>
      <c r="G21" s="9"/>
      <c r="H21" s="9"/>
      <c r="I21" s="9"/>
      <c r="J21" s="9"/>
      <c r="K21" s="9"/>
      <c r="L21" s="9"/>
      <c r="M21" s="9"/>
      <c r="N21" s="97"/>
      <c r="O21" s="114">
        <v>20</v>
      </c>
      <c r="P21" s="99">
        <f t="shared" si="0"/>
        <v>118.3</v>
      </c>
      <c r="Q21" s="27">
        <f>O21-R21</f>
        <v>22.560000000000002</v>
      </c>
      <c r="R21" s="41">
        <f>P21-C21-H21</f>
        <v>-2.5600000000000023</v>
      </c>
      <c r="S21" s="28"/>
    </row>
    <row r="22" spans="1:19" ht="15.75" customHeight="1" x14ac:dyDescent="0.35">
      <c r="A22" s="26">
        <v>45646</v>
      </c>
      <c r="B22" s="95"/>
      <c r="C22" s="9">
        <f t="shared" si="4"/>
        <v>158.38</v>
      </c>
      <c r="D22" s="9">
        <v>158.38</v>
      </c>
      <c r="E22" s="9">
        <v>124.66</v>
      </c>
      <c r="F22" s="9"/>
      <c r="G22" s="9"/>
      <c r="H22" s="9"/>
      <c r="I22" s="9"/>
      <c r="J22" s="9"/>
      <c r="K22" s="9"/>
      <c r="L22" s="9"/>
      <c r="M22" s="9"/>
      <c r="N22" s="97"/>
      <c r="O22" s="114">
        <v>35</v>
      </c>
      <c r="P22" s="99">
        <f t="shared" si="0"/>
        <v>159.66</v>
      </c>
      <c r="Q22" s="27">
        <f t="shared" si="1"/>
        <v>33.72</v>
      </c>
      <c r="R22" s="41">
        <f t="shared" si="2"/>
        <v>1.2800000000000011</v>
      </c>
      <c r="S22" s="28"/>
    </row>
    <row r="23" spans="1:19" ht="15.75" customHeight="1" x14ac:dyDescent="0.35">
      <c r="A23" s="26">
        <v>45647</v>
      </c>
      <c r="B23" s="95"/>
      <c r="C23" s="9">
        <f>D23</f>
        <v>356.88</v>
      </c>
      <c r="D23" s="9">
        <v>356.88</v>
      </c>
      <c r="E23" s="9">
        <v>272.2</v>
      </c>
      <c r="F23" s="9"/>
      <c r="G23" s="9"/>
      <c r="H23" s="9"/>
      <c r="I23" s="9"/>
      <c r="J23" s="9"/>
      <c r="K23" s="9"/>
      <c r="L23" s="9"/>
      <c r="M23" s="9"/>
      <c r="N23" s="97"/>
      <c r="O23" s="114">
        <v>85</v>
      </c>
      <c r="P23" s="99">
        <f t="shared" si="0"/>
        <v>357.2</v>
      </c>
      <c r="Q23" s="27">
        <f t="shared" si="1"/>
        <v>84.68</v>
      </c>
      <c r="R23" s="41">
        <f t="shared" si="2"/>
        <v>0.31999999999999318</v>
      </c>
      <c r="S23" s="28"/>
    </row>
    <row r="24" spans="1:19" ht="15.75" customHeight="1" x14ac:dyDescent="0.35">
      <c r="A24" s="26">
        <v>45648</v>
      </c>
      <c r="B24" s="95"/>
      <c r="C24" s="9">
        <f t="shared" si="4"/>
        <v>229.8</v>
      </c>
      <c r="D24" s="9">
        <v>229.8</v>
      </c>
      <c r="E24" s="9">
        <v>146.6</v>
      </c>
      <c r="F24" s="9"/>
      <c r="G24" s="9"/>
      <c r="H24" s="9"/>
      <c r="I24" s="9"/>
      <c r="J24" s="9"/>
      <c r="K24" s="9"/>
      <c r="L24" s="9"/>
      <c r="M24" s="9"/>
      <c r="N24" s="97"/>
      <c r="O24" s="114">
        <v>80</v>
      </c>
      <c r="P24" s="99">
        <f>E24+F24+G24+H24+I24+J24+K24+L24+O24+M24+N24</f>
        <v>226.6</v>
      </c>
      <c r="Q24" s="27">
        <f t="shared" si="1"/>
        <v>83.200000000000017</v>
      </c>
      <c r="R24" s="41">
        <f t="shared" si="2"/>
        <v>-3.2000000000000171</v>
      </c>
      <c r="S24" s="28"/>
    </row>
    <row r="25" spans="1:19" ht="15.75" customHeight="1" x14ac:dyDescent="0.35">
      <c r="A25" s="118">
        <v>45649</v>
      </c>
      <c r="B25" s="95"/>
      <c r="C25" s="9">
        <f t="shared" si="4"/>
        <v>0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7"/>
      <c r="O25" s="114"/>
      <c r="P25" s="99">
        <f t="shared" si="0"/>
        <v>0</v>
      </c>
      <c r="Q25" s="27">
        <f>O25-R25</f>
        <v>0</v>
      </c>
      <c r="R25" s="41">
        <f t="shared" si="2"/>
        <v>0</v>
      </c>
      <c r="S25" s="28"/>
    </row>
    <row r="26" spans="1:19" ht="15.75" customHeight="1" x14ac:dyDescent="0.35">
      <c r="A26" s="26">
        <v>45650</v>
      </c>
      <c r="B26" s="95"/>
      <c r="C26" s="9">
        <f t="shared" si="4"/>
        <v>232.74</v>
      </c>
      <c r="D26" s="9">
        <v>232.74</v>
      </c>
      <c r="E26" s="9">
        <v>207.2</v>
      </c>
      <c r="F26" s="9"/>
      <c r="G26" s="9"/>
      <c r="H26" s="9"/>
      <c r="I26" s="9"/>
      <c r="J26" s="9"/>
      <c r="K26" s="9"/>
      <c r="L26" s="9"/>
      <c r="M26" s="9"/>
      <c r="N26" s="97"/>
      <c r="O26" s="114">
        <v>30</v>
      </c>
      <c r="P26" s="99">
        <f>E26+F26+G26+H26+I26+J26+K26+L26+O26+M26+N26</f>
        <v>237.2</v>
      </c>
      <c r="Q26" s="27">
        <f>O26-R26</f>
        <v>25.54000000000002</v>
      </c>
      <c r="R26" s="41">
        <f>P26-C26-H26</f>
        <v>4.4599999999999795</v>
      </c>
      <c r="S26" s="28"/>
    </row>
    <row r="27" spans="1:19" ht="15.75" customHeight="1" x14ac:dyDescent="0.35">
      <c r="A27" s="118">
        <v>45651</v>
      </c>
      <c r="B27" s="95"/>
      <c r="C27" s="9">
        <f t="shared" si="4"/>
        <v>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7"/>
      <c r="O27" s="114"/>
      <c r="P27" s="99">
        <f>E27+F27+G27+H27+I27+J27+K27+L27+O27+M27+N27</f>
        <v>0</v>
      </c>
      <c r="Q27" s="27">
        <f>O27-R27</f>
        <v>0</v>
      </c>
      <c r="R27" s="41">
        <f t="shared" si="2"/>
        <v>0</v>
      </c>
      <c r="S27" s="28"/>
    </row>
    <row r="28" spans="1:19" ht="15.75" customHeight="1" x14ac:dyDescent="0.35">
      <c r="A28" s="26">
        <v>45652</v>
      </c>
      <c r="B28" s="95"/>
      <c r="C28" s="9">
        <f t="shared" si="4"/>
        <v>441.32</v>
      </c>
      <c r="D28" s="9">
        <v>441.32</v>
      </c>
      <c r="E28" s="9">
        <v>318.5</v>
      </c>
      <c r="F28" s="9"/>
      <c r="G28" s="9"/>
      <c r="H28" s="9"/>
      <c r="I28" s="9"/>
      <c r="J28" s="9"/>
      <c r="K28" s="9"/>
      <c r="L28" s="9"/>
      <c r="M28" s="9"/>
      <c r="N28" s="97"/>
      <c r="O28" s="114">
        <v>120</v>
      </c>
      <c r="P28" s="99">
        <f t="shared" si="0"/>
        <v>438.5</v>
      </c>
      <c r="Q28" s="27">
        <f t="shared" si="1"/>
        <v>122.82</v>
      </c>
      <c r="R28" s="41">
        <f t="shared" si="2"/>
        <v>-2.8199999999999932</v>
      </c>
      <c r="S28" s="28"/>
    </row>
    <row r="29" spans="1:19" ht="15.75" customHeight="1" x14ac:dyDescent="0.35">
      <c r="A29" s="26">
        <v>45653</v>
      </c>
      <c r="B29" s="95"/>
      <c r="C29" s="9">
        <f t="shared" si="4"/>
        <v>340.47</v>
      </c>
      <c r="D29" s="9">
        <v>340.47</v>
      </c>
      <c r="E29" s="9">
        <v>268.95</v>
      </c>
      <c r="F29" s="9"/>
      <c r="G29" s="9"/>
      <c r="H29" s="9"/>
      <c r="I29" s="9"/>
      <c r="J29" s="9"/>
      <c r="K29" s="9"/>
      <c r="L29" s="9"/>
      <c r="M29" s="9"/>
      <c r="N29" s="97"/>
      <c r="O29" s="114">
        <v>70</v>
      </c>
      <c r="P29" s="99">
        <f t="shared" si="0"/>
        <v>338.95</v>
      </c>
      <c r="Q29" s="27">
        <f t="shared" si="1"/>
        <v>71.520000000000039</v>
      </c>
      <c r="R29" s="41">
        <f t="shared" si="2"/>
        <v>-1.5200000000000387</v>
      </c>
      <c r="S29" s="28"/>
    </row>
    <row r="30" spans="1:19" ht="15.75" customHeight="1" x14ac:dyDescent="0.35">
      <c r="A30" s="26">
        <v>45654</v>
      </c>
      <c r="B30" s="95"/>
      <c r="C30" s="9">
        <f t="shared" si="4"/>
        <v>453.54</v>
      </c>
      <c r="D30" s="9">
        <v>453.54</v>
      </c>
      <c r="E30" s="9">
        <v>355.16</v>
      </c>
      <c r="F30" s="9"/>
      <c r="G30" s="9"/>
      <c r="H30" s="9"/>
      <c r="I30" s="9"/>
      <c r="J30" s="9"/>
      <c r="K30" s="9"/>
      <c r="L30" s="9"/>
      <c r="M30" s="9"/>
      <c r="N30" s="97"/>
      <c r="O30" s="114">
        <v>100</v>
      </c>
      <c r="P30" s="99">
        <f t="shared" si="0"/>
        <v>455.16</v>
      </c>
      <c r="Q30" s="27">
        <f t="shared" si="1"/>
        <v>98.38</v>
      </c>
      <c r="R30" s="41">
        <f t="shared" si="2"/>
        <v>1.6200000000000045</v>
      </c>
      <c r="S30" s="28"/>
    </row>
    <row r="31" spans="1:19" ht="15.75" customHeight="1" x14ac:dyDescent="0.35">
      <c r="A31" s="26">
        <v>45655</v>
      </c>
      <c r="B31" s="95"/>
      <c r="C31" s="9">
        <f t="shared" si="4"/>
        <v>467.74</v>
      </c>
      <c r="D31" s="9">
        <v>467.74</v>
      </c>
      <c r="E31" s="9">
        <v>262.33999999999997</v>
      </c>
      <c r="F31" s="9"/>
      <c r="G31" s="9"/>
      <c r="H31" s="9"/>
      <c r="I31" s="9"/>
      <c r="J31" s="9">
        <v>33.9</v>
      </c>
      <c r="K31" s="9"/>
      <c r="L31" s="9"/>
      <c r="M31" s="9"/>
      <c r="N31" s="97"/>
      <c r="O31" s="114">
        <v>160</v>
      </c>
      <c r="P31" s="99">
        <f t="shared" si="0"/>
        <v>456.23999999999995</v>
      </c>
      <c r="Q31" s="27">
        <f t="shared" si="1"/>
        <v>171.50000000000006</v>
      </c>
      <c r="R31" s="41">
        <f t="shared" si="2"/>
        <v>-11.500000000000057</v>
      </c>
      <c r="S31" s="28"/>
    </row>
    <row r="32" spans="1:19" ht="15.75" customHeight="1" x14ac:dyDescent="0.35">
      <c r="A32" s="118">
        <v>45656</v>
      </c>
      <c r="B32" s="95"/>
      <c r="C32" s="9">
        <f t="shared" si="4"/>
        <v>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7"/>
      <c r="O32" s="114"/>
      <c r="P32" s="99">
        <f t="shared" si="0"/>
        <v>0</v>
      </c>
      <c r="Q32" s="27">
        <f>O32-R32</f>
        <v>0</v>
      </c>
      <c r="R32" s="41">
        <f t="shared" si="2"/>
        <v>0</v>
      </c>
      <c r="S32" s="28"/>
    </row>
    <row r="33" spans="1:19" ht="15.75" customHeight="1" thickBot="1" x14ac:dyDescent="0.4">
      <c r="A33" s="26">
        <v>45657</v>
      </c>
      <c r="B33" s="96"/>
      <c r="C33" s="9">
        <f t="shared" si="4"/>
        <v>0</v>
      </c>
      <c r="D33" s="44"/>
      <c r="E33" s="44"/>
      <c r="F33" s="44"/>
      <c r="G33" s="9"/>
      <c r="H33" s="9"/>
      <c r="I33" s="9"/>
      <c r="J33" s="44"/>
      <c r="K33" s="9"/>
      <c r="L33" s="9"/>
      <c r="M33" s="9"/>
      <c r="N33" s="98"/>
      <c r="O33" s="115"/>
      <c r="P33" s="99">
        <f t="shared" si="0"/>
        <v>0</v>
      </c>
      <c r="Q33" s="27">
        <f t="shared" si="1"/>
        <v>0</v>
      </c>
      <c r="R33" s="41">
        <f t="shared" si="2"/>
        <v>0</v>
      </c>
      <c r="S33" s="28"/>
    </row>
    <row r="34" spans="1:19" ht="15.75" customHeight="1" thickBot="1" x14ac:dyDescent="0.4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6035.9699999999993</v>
      </c>
      <c r="Q34" s="72">
        <f>P34-R34</f>
        <v>6057.37</v>
      </c>
      <c r="R34" s="49">
        <f>SUM(R3:R33)</f>
        <v>-21.400000000000318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2">
    <dataValidation type="list" allowBlank="1" showInputMessage="1" showErrorMessage="1" sqref="B3:B32" xr:uid="{73DA607E-1D7F-4909-A041-A7E3BA70C11B}">
      <formula1>"Matosinhos;TimeOut;Bolhão"</formula1>
    </dataValidation>
    <dataValidation type="list" allowBlank="1" showInputMessage="1" showErrorMessage="1" sqref="B33" xr:uid="{E53F0B20-3B5D-4B22-AD4E-83B23D46E177}">
      <formula1>"Matosinhos,Timeout,Bolhão"</formula1>
    </dataValidation>
  </dataValidations>
  <pageMargins left="0.75" right="0.75" top="1" bottom="1" header="0" footer="0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34E2-871D-42E7-9045-C42A21398467}">
  <dimension ref="A1:S1001"/>
  <sheetViews>
    <sheetView zoomScale="85" zoomScaleNormal="85" workbookViewId="0">
      <pane ySplit="2" topLeftCell="A3" activePane="bottomLeft" state="frozen"/>
      <selection activeCell="O1" sqref="O1"/>
      <selection pane="bottomLeft" activeCell="O1" sqref="O1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1" spans="1:19" ht="15" customHeight="1" thickBot="1" x14ac:dyDescent="0.4"/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45627</v>
      </c>
      <c r="B3" s="95" t="s">
        <v>2688</v>
      </c>
      <c r="C3" s="9">
        <f>D3</f>
        <v>638.47</v>
      </c>
      <c r="D3" s="9">
        <v>638.47</v>
      </c>
      <c r="E3" s="9">
        <v>485.9</v>
      </c>
      <c r="F3" s="9">
        <v>12.3</v>
      </c>
      <c r="G3" s="9"/>
      <c r="H3" s="9"/>
      <c r="I3" s="9"/>
      <c r="J3" s="9">
        <v>44.9</v>
      </c>
      <c r="K3" s="9"/>
      <c r="L3" s="9"/>
      <c r="M3" s="9"/>
      <c r="N3" s="97"/>
      <c r="O3" s="9">
        <v>100</v>
      </c>
      <c r="P3" s="99">
        <f t="shared" ref="P3:P33" si="0">E3+F3+G3+H3+I3+J3+K3+L3+O3+M3+N3</f>
        <v>643.1</v>
      </c>
      <c r="Q3" s="27">
        <f t="shared" ref="Q3:Q31" si="1">O3-R3</f>
        <v>95.37</v>
      </c>
      <c r="R3" s="70">
        <f t="shared" ref="R3:R33" si="2">P3-C3-H3</f>
        <v>4.6299999999999955</v>
      </c>
      <c r="S3" s="28"/>
    </row>
    <row r="4" spans="1:19" ht="15.75" customHeight="1" x14ac:dyDescent="0.35">
      <c r="A4" s="26">
        <v>45628</v>
      </c>
      <c r="B4" s="95" t="s">
        <v>119</v>
      </c>
      <c r="C4" s="9">
        <f t="shared" ref="C4:C5" si="3">D4</f>
        <v>218.1</v>
      </c>
      <c r="D4" s="9">
        <f>218.1</f>
        <v>218.1</v>
      </c>
      <c r="E4" s="9">
        <v>132.6</v>
      </c>
      <c r="F4" s="9">
        <v>20.6</v>
      </c>
      <c r="G4" s="9"/>
      <c r="H4" s="9"/>
      <c r="I4" s="9"/>
      <c r="J4" s="9">
        <v>41.8</v>
      </c>
      <c r="K4" s="9"/>
      <c r="L4" s="9"/>
      <c r="M4" s="9"/>
      <c r="N4" s="97"/>
      <c r="O4" s="9">
        <v>26.93</v>
      </c>
      <c r="P4" s="99">
        <f t="shared" si="0"/>
        <v>221.93</v>
      </c>
      <c r="Q4" s="27">
        <f t="shared" si="1"/>
        <v>23.099999999999987</v>
      </c>
      <c r="R4" s="70">
        <f t="shared" si="2"/>
        <v>3.8300000000000125</v>
      </c>
      <c r="S4" s="28"/>
    </row>
    <row r="5" spans="1:19" ht="15.75" customHeight="1" x14ac:dyDescent="0.35">
      <c r="A5" s="26">
        <v>45629</v>
      </c>
      <c r="B5" s="95" t="s">
        <v>119</v>
      </c>
      <c r="C5" s="9">
        <f t="shared" si="3"/>
        <v>320.2</v>
      </c>
      <c r="D5" s="9">
        <v>320.2</v>
      </c>
      <c r="E5" s="9">
        <v>249</v>
      </c>
      <c r="F5" s="9">
        <v>0</v>
      </c>
      <c r="G5" s="9"/>
      <c r="H5" s="9"/>
      <c r="I5" s="9"/>
      <c r="J5" s="9">
        <v>44.9</v>
      </c>
      <c r="K5" s="9"/>
      <c r="L5" s="9"/>
      <c r="M5" s="9"/>
      <c r="N5" s="97"/>
      <c r="O5" s="9">
        <v>20</v>
      </c>
      <c r="P5" s="99">
        <f t="shared" si="0"/>
        <v>313.89999999999998</v>
      </c>
      <c r="Q5" s="27">
        <f t="shared" si="1"/>
        <v>26.300000000000011</v>
      </c>
      <c r="R5" s="41">
        <f t="shared" si="2"/>
        <v>-6.3000000000000114</v>
      </c>
      <c r="S5" s="28"/>
    </row>
    <row r="6" spans="1:19" ht="15.75" customHeight="1" x14ac:dyDescent="0.35">
      <c r="A6" s="26">
        <v>45630</v>
      </c>
      <c r="B6" s="95" t="s">
        <v>119</v>
      </c>
      <c r="C6" s="9">
        <f>D6</f>
        <v>430.11</v>
      </c>
      <c r="D6" s="9">
        <v>430.11</v>
      </c>
      <c r="E6" s="9">
        <v>61.4</v>
      </c>
      <c r="F6" s="9">
        <v>20.5</v>
      </c>
      <c r="G6" s="9"/>
      <c r="H6" s="9"/>
      <c r="I6" s="9"/>
      <c r="J6" s="9">
        <v>63.8</v>
      </c>
      <c r="K6" s="9"/>
      <c r="L6" s="9"/>
      <c r="M6" s="73">
        <v>144.21</v>
      </c>
      <c r="N6" s="97"/>
      <c r="O6" s="9">
        <v>140</v>
      </c>
      <c r="P6" s="99">
        <f t="shared" si="0"/>
        <v>429.90999999999997</v>
      </c>
      <c r="Q6" s="27">
        <f>O6-R6</f>
        <v>140.20000000000005</v>
      </c>
      <c r="R6" s="41">
        <f t="shared" si="2"/>
        <v>-0.20000000000004547</v>
      </c>
      <c r="S6" s="28"/>
    </row>
    <row r="7" spans="1:19" ht="15.75" customHeight="1" x14ac:dyDescent="0.35">
      <c r="A7" s="26">
        <v>45631</v>
      </c>
      <c r="B7" s="95" t="s">
        <v>119</v>
      </c>
      <c r="C7" s="9">
        <f t="shared" ref="C7:C33" si="4">D7</f>
        <v>302.26</v>
      </c>
      <c r="D7" s="9">
        <v>302.26</v>
      </c>
      <c r="E7" s="9">
        <v>177.55</v>
      </c>
      <c r="F7" s="83">
        <v>12.7</v>
      </c>
      <c r="G7" s="9"/>
      <c r="H7" s="9"/>
      <c r="I7" s="9"/>
      <c r="J7" s="9"/>
      <c r="K7" s="9"/>
      <c r="L7" s="9"/>
      <c r="M7" s="73">
        <v>94.61</v>
      </c>
      <c r="N7" s="97"/>
      <c r="O7" s="9">
        <v>20</v>
      </c>
      <c r="P7" s="99">
        <f t="shared" si="0"/>
        <v>304.86</v>
      </c>
      <c r="Q7" s="27">
        <f t="shared" si="1"/>
        <v>17.399999999999977</v>
      </c>
      <c r="R7" s="41">
        <f t="shared" si="2"/>
        <v>2.6000000000000227</v>
      </c>
      <c r="S7" s="28"/>
    </row>
    <row r="8" spans="1:19" ht="15.75" customHeight="1" x14ac:dyDescent="0.35">
      <c r="A8" s="26">
        <v>45632</v>
      </c>
      <c r="B8" s="95" t="s">
        <v>119</v>
      </c>
      <c r="C8" s="9">
        <f t="shared" si="4"/>
        <v>506.19</v>
      </c>
      <c r="D8" s="9">
        <v>506.19</v>
      </c>
      <c r="E8" s="9">
        <v>287</v>
      </c>
      <c r="F8" s="9">
        <v>83.1</v>
      </c>
      <c r="G8" s="9"/>
      <c r="H8" s="9"/>
      <c r="I8" s="9"/>
      <c r="J8" s="9">
        <v>64.8</v>
      </c>
      <c r="K8" s="9"/>
      <c r="L8" s="9"/>
      <c r="M8" s="9"/>
      <c r="N8" s="97"/>
      <c r="O8" s="9">
        <v>70</v>
      </c>
      <c r="P8" s="99">
        <f t="shared" si="0"/>
        <v>504.90000000000003</v>
      </c>
      <c r="Q8" s="27">
        <f t="shared" si="1"/>
        <v>71.289999999999964</v>
      </c>
      <c r="R8" s="41">
        <f t="shared" si="2"/>
        <v>-1.2899999999999636</v>
      </c>
      <c r="S8" s="28"/>
    </row>
    <row r="9" spans="1:19" ht="15.75" customHeight="1" x14ac:dyDescent="0.35">
      <c r="A9" s="26">
        <v>45633</v>
      </c>
      <c r="B9" s="95"/>
      <c r="C9" s="9">
        <f t="shared" si="4"/>
        <v>1150.06</v>
      </c>
      <c r="D9" s="9">
        <v>1150.06</v>
      </c>
      <c r="E9" s="9">
        <v>685.1</v>
      </c>
      <c r="F9" s="9">
        <v>142.80000000000001</v>
      </c>
      <c r="G9" s="9"/>
      <c r="H9" s="9"/>
      <c r="I9" s="9"/>
      <c r="J9" s="9">
        <v>147.5</v>
      </c>
      <c r="K9" s="9"/>
      <c r="L9" s="9"/>
      <c r="M9" s="9"/>
      <c r="N9" s="97"/>
      <c r="O9" s="9">
        <v>170</v>
      </c>
      <c r="P9" s="99">
        <f t="shared" si="0"/>
        <v>1145.4000000000001</v>
      </c>
      <c r="Q9" s="27">
        <f t="shared" si="1"/>
        <v>174.65999999999985</v>
      </c>
      <c r="R9" s="41">
        <f t="shared" si="2"/>
        <v>-4.6599999999998545</v>
      </c>
      <c r="S9" s="28"/>
    </row>
    <row r="10" spans="1:19" ht="15.75" customHeight="1" x14ac:dyDescent="0.35">
      <c r="A10" s="26">
        <v>45634</v>
      </c>
      <c r="B10" s="95"/>
      <c r="C10" s="9">
        <f t="shared" si="4"/>
        <v>756.33</v>
      </c>
      <c r="D10" s="9">
        <v>756.33</v>
      </c>
      <c r="E10" s="9">
        <v>579.73</v>
      </c>
      <c r="F10" s="9">
        <v>34.1</v>
      </c>
      <c r="G10" s="9"/>
      <c r="H10" s="9"/>
      <c r="I10" s="9"/>
      <c r="J10" s="9"/>
      <c r="K10" s="9"/>
      <c r="L10" s="9"/>
      <c r="M10" s="9"/>
      <c r="N10" s="97"/>
      <c r="O10" s="9">
        <v>140</v>
      </c>
      <c r="P10" s="99">
        <f t="shared" si="0"/>
        <v>753.83</v>
      </c>
      <c r="Q10" s="27">
        <f t="shared" si="1"/>
        <v>142.5</v>
      </c>
      <c r="R10" s="41">
        <f t="shared" si="2"/>
        <v>-2.5</v>
      </c>
      <c r="S10" s="28"/>
    </row>
    <row r="11" spans="1:19" ht="15.75" customHeight="1" x14ac:dyDescent="0.35">
      <c r="A11" s="26">
        <v>45635</v>
      </c>
      <c r="B11" s="95"/>
      <c r="C11" s="9">
        <f t="shared" si="4"/>
        <v>237.5</v>
      </c>
      <c r="D11" s="9">
        <v>237.5</v>
      </c>
      <c r="E11" s="9">
        <v>159.6</v>
      </c>
      <c r="F11" s="9">
        <v>0</v>
      </c>
      <c r="G11" s="9"/>
      <c r="H11" s="9"/>
      <c r="I11" s="9"/>
      <c r="J11" s="9">
        <v>44.9</v>
      </c>
      <c r="K11" s="9"/>
      <c r="L11" s="9"/>
      <c r="M11" s="9"/>
      <c r="N11" s="97"/>
      <c r="O11" s="9">
        <v>30</v>
      </c>
      <c r="P11" s="99">
        <f t="shared" si="0"/>
        <v>234.5</v>
      </c>
      <c r="Q11" s="27">
        <f t="shared" si="1"/>
        <v>33</v>
      </c>
      <c r="R11" s="41">
        <f t="shared" si="2"/>
        <v>-3</v>
      </c>
      <c r="S11" s="28"/>
    </row>
    <row r="12" spans="1:19" ht="15.75" customHeight="1" x14ac:dyDescent="0.35">
      <c r="A12" s="26">
        <v>45636</v>
      </c>
      <c r="B12" s="95"/>
      <c r="C12" s="9">
        <f t="shared" si="4"/>
        <v>384.19</v>
      </c>
      <c r="D12" s="9">
        <v>384.19</v>
      </c>
      <c r="E12" s="9">
        <v>269.54000000000002</v>
      </c>
      <c r="F12" s="9">
        <v>13.2</v>
      </c>
      <c r="G12" s="9"/>
      <c r="H12" s="9"/>
      <c r="I12" s="9"/>
      <c r="J12" s="9">
        <v>22.9</v>
      </c>
      <c r="K12" s="9"/>
      <c r="L12" s="9"/>
      <c r="M12" s="73">
        <f>26.85</f>
        <v>26.85</v>
      </c>
      <c r="N12" s="97"/>
      <c r="O12" s="9">
        <v>50</v>
      </c>
      <c r="P12" s="99">
        <f t="shared" si="0"/>
        <v>382.49</v>
      </c>
      <c r="Q12" s="27">
        <f t="shared" si="1"/>
        <v>51.699999999999989</v>
      </c>
      <c r="R12" s="41">
        <f t="shared" si="2"/>
        <v>-1.6999999999999886</v>
      </c>
      <c r="S12" s="28"/>
    </row>
    <row r="13" spans="1:19" ht="15.75" customHeight="1" x14ac:dyDescent="0.35">
      <c r="A13" s="26">
        <v>45637</v>
      </c>
      <c r="B13" s="95"/>
      <c r="C13" s="9">
        <f t="shared" si="4"/>
        <v>384.69</v>
      </c>
      <c r="D13" s="9">
        <v>384.69</v>
      </c>
      <c r="E13" s="9">
        <v>259.57</v>
      </c>
      <c r="F13" s="9">
        <v>24.82</v>
      </c>
      <c r="G13" s="9"/>
      <c r="H13" s="9"/>
      <c r="I13" s="9"/>
      <c r="J13" s="9"/>
      <c r="K13" s="9"/>
      <c r="L13" s="9"/>
      <c r="M13" s="9"/>
      <c r="N13" s="97"/>
      <c r="O13" s="9">
        <v>60</v>
      </c>
      <c r="P13" s="99">
        <f t="shared" si="0"/>
        <v>344.39</v>
      </c>
      <c r="Q13" s="27">
        <f t="shared" si="1"/>
        <v>100.30000000000001</v>
      </c>
      <c r="R13" s="41">
        <f t="shared" si="2"/>
        <v>-40.300000000000011</v>
      </c>
      <c r="S13" s="28"/>
    </row>
    <row r="14" spans="1:19" ht="15.75" customHeight="1" x14ac:dyDescent="0.35">
      <c r="A14" s="26">
        <v>45638</v>
      </c>
      <c r="B14" s="95"/>
      <c r="C14" s="9">
        <f t="shared" si="4"/>
        <v>538.38</v>
      </c>
      <c r="D14" s="9">
        <v>538.38</v>
      </c>
      <c r="E14" s="9">
        <v>145.1</v>
      </c>
      <c r="F14" s="9">
        <v>23</v>
      </c>
      <c r="G14" s="9"/>
      <c r="H14" s="9"/>
      <c r="I14" s="9"/>
      <c r="J14" s="9">
        <v>63.8</v>
      </c>
      <c r="K14" s="9"/>
      <c r="L14" s="9"/>
      <c r="M14" s="73">
        <v>280.98</v>
      </c>
      <c r="N14" s="97"/>
      <c r="O14" s="9">
        <v>30</v>
      </c>
      <c r="P14" s="99">
        <f t="shared" si="0"/>
        <v>542.88</v>
      </c>
      <c r="Q14" s="27">
        <f t="shared" si="1"/>
        <v>25.5</v>
      </c>
      <c r="R14" s="41">
        <f t="shared" si="2"/>
        <v>4.5</v>
      </c>
      <c r="S14" s="28"/>
    </row>
    <row r="15" spans="1:19" ht="15.75" customHeight="1" x14ac:dyDescent="0.35">
      <c r="A15" s="26">
        <v>45639</v>
      </c>
      <c r="B15" s="95"/>
      <c r="C15" s="9">
        <f t="shared" si="4"/>
        <v>430.49</v>
      </c>
      <c r="D15" s="9">
        <v>430.49</v>
      </c>
      <c r="E15" s="9">
        <v>333.51</v>
      </c>
      <c r="F15" s="9">
        <v>46.78</v>
      </c>
      <c r="G15" s="9"/>
      <c r="H15" s="9"/>
      <c r="I15" s="9"/>
      <c r="J15" s="9">
        <v>34.9</v>
      </c>
      <c r="K15" s="9"/>
      <c r="L15" s="9"/>
      <c r="M15" s="9"/>
      <c r="N15" s="97"/>
      <c r="O15" s="9">
        <v>45</v>
      </c>
      <c r="P15" s="99">
        <f t="shared" si="0"/>
        <v>460.18999999999994</v>
      </c>
      <c r="Q15" s="27">
        <f t="shared" si="1"/>
        <v>15.300000000000068</v>
      </c>
      <c r="R15" s="41">
        <f t="shared" si="2"/>
        <v>29.699999999999932</v>
      </c>
      <c r="S15" s="28"/>
    </row>
    <row r="16" spans="1:19" ht="15.75" customHeight="1" x14ac:dyDescent="0.35">
      <c r="A16" s="26">
        <v>45640</v>
      </c>
      <c r="B16" s="95"/>
      <c r="C16" s="9">
        <f t="shared" si="4"/>
        <v>803.2</v>
      </c>
      <c r="D16" s="9">
        <v>803.2</v>
      </c>
      <c r="E16" s="9">
        <v>569.1</v>
      </c>
      <c r="F16" s="9">
        <v>60.9</v>
      </c>
      <c r="G16" s="9"/>
      <c r="H16" s="9"/>
      <c r="I16" s="9"/>
      <c r="J16" s="9">
        <v>63.8</v>
      </c>
      <c r="K16" s="9"/>
      <c r="L16" s="9"/>
      <c r="M16" s="9"/>
      <c r="N16" s="97"/>
      <c r="O16" s="9">
        <v>110</v>
      </c>
      <c r="P16" s="99">
        <f t="shared" si="0"/>
        <v>803.8</v>
      </c>
      <c r="Q16" s="27">
        <f t="shared" si="1"/>
        <v>109.40000000000009</v>
      </c>
      <c r="R16" s="41">
        <f t="shared" si="2"/>
        <v>0.59999999999990905</v>
      </c>
      <c r="S16" s="28"/>
    </row>
    <row r="17" spans="1:19" ht="15.75" customHeight="1" x14ac:dyDescent="0.35">
      <c r="A17" s="26">
        <v>45641</v>
      </c>
      <c r="B17" s="95"/>
      <c r="C17" s="9">
        <f t="shared" si="4"/>
        <v>712.42</v>
      </c>
      <c r="D17" s="9">
        <v>712.42</v>
      </c>
      <c r="E17" s="9">
        <v>522.96</v>
      </c>
      <c r="F17" s="9">
        <v>49.4</v>
      </c>
      <c r="G17" s="9"/>
      <c r="H17" s="9"/>
      <c r="I17" s="9"/>
      <c r="J17" s="9"/>
      <c r="K17" s="9"/>
      <c r="L17" s="9"/>
      <c r="M17" s="9"/>
      <c r="N17" s="97"/>
      <c r="O17" s="9">
        <v>140</v>
      </c>
      <c r="P17" s="99">
        <f t="shared" si="0"/>
        <v>712.36</v>
      </c>
      <c r="Q17" s="27">
        <f>O17-R17</f>
        <v>140.05999999999995</v>
      </c>
      <c r="R17" s="41">
        <f t="shared" si="2"/>
        <v>-5.999999999994543E-2</v>
      </c>
      <c r="S17" s="28"/>
    </row>
    <row r="18" spans="1:19" ht="15.75" customHeight="1" x14ac:dyDescent="0.35">
      <c r="A18" s="26">
        <v>45642</v>
      </c>
      <c r="B18" s="95"/>
      <c r="C18" s="9">
        <f t="shared" si="4"/>
        <v>275.5</v>
      </c>
      <c r="D18" s="9">
        <v>275.5</v>
      </c>
      <c r="E18" s="9">
        <v>226</v>
      </c>
      <c r="F18" s="9">
        <v>11.3</v>
      </c>
      <c r="G18" s="9"/>
      <c r="H18" s="9"/>
      <c r="I18" s="9"/>
      <c r="J18" s="9"/>
      <c r="K18" s="9"/>
      <c r="L18" s="9"/>
      <c r="M18" s="9"/>
      <c r="N18" s="97"/>
      <c r="O18" s="9">
        <v>40</v>
      </c>
      <c r="P18" s="99">
        <f t="shared" si="0"/>
        <v>277.3</v>
      </c>
      <c r="Q18" s="27">
        <f>O18-R18</f>
        <v>38.199999999999989</v>
      </c>
      <c r="R18" s="41">
        <f>P18-C18-H18</f>
        <v>1.8000000000000114</v>
      </c>
      <c r="S18" s="28"/>
    </row>
    <row r="19" spans="1:19" ht="15.75" customHeight="1" x14ac:dyDescent="0.35">
      <c r="A19" s="26">
        <v>45643</v>
      </c>
      <c r="B19" s="95"/>
      <c r="C19" s="9">
        <f t="shared" si="4"/>
        <v>468.81</v>
      </c>
      <c r="D19" s="9">
        <v>468.81</v>
      </c>
      <c r="E19" s="9">
        <v>183.6</v>
      </c>
      <c r="F19" s="9">
        <v>9.1999999999999993</v>
      </c>
      <c r="G19" s="9"/>
      <c r="H19" s="9"/>
      <c r="I19" s="9"/>
      <c r="J19" s="9">
        <v>18.899999999999999</v>
      </c>
      <c r="K19" s="9"/>
      <c r="L19" s="9"/>
      <c r="M19" s="73">
        <f>117.2+28.57+97.64</f>
        <v>243.41000000000003</v>
      </c>
      <c r="N19" s="97"/>
      <c r="O19" s="122">
        <v>15</v>
      </c>
      <c r="P19" s="99">
        <f t="shared" si="0"/>
        <v>470.11</v>
      </c>
      <c r="Q19" s="27">
        <f t="shared" si="1"/>
        <v>13.699999999999989</v>
      </c>
      <c r="R19" s="41">
        <f t="shared" si="2"/>
        <v>1.3000000000000114</v>
      </c>
      <c r="S19" s="28"/>
    </row>
    <row r="20" spans="1:19" ht="15.75" customHeight="1" x14ac:dyDescent="0.35">
      <c r="A20" s="26">
        <v>45644</v>
      </c>
      <c r="B20" s="95"/>
      <c r="C20" s="9">
        <f t="shared" si="4"/>
        <v>278.8</v>
      </c>
      <c r="D20" s="9">
        <v>278.8</v>
      </c>
      <c r="E20" s="9">
        <v>201.7</v>
      </c>
      <c r="F20" s="9">
        <v>28.7</v>
      </c>
      <c r="G20" s="9"/>
      <c r="H20" s="9"/>
      <c r="I20" s="9"/>
      <c r="J20" s="9">
        <v>44.9</v>
      </c>
      <c r="K20" s="9"/>
      <c r="L20" s="9"/>
      <c r="M20" s="9"/>
      <c r="N20" s="97"/>
      <c r="O20" s="9">
        <v>5</v>
      </c>
      <c r="P20" s="99">
        <f t="shared" si="0"/>
        <v>280.29999999999995</v>
      </c>
      <c r="Q20" s="27">
        <f t="shared" si="1"/>
        <v>3.5000000000000568</v>
      </c>
      <c r="R20" s="41">
        <f t="shared" si="2"/>
        <v>1.4999999999999432</v>
      </c>
      <c r="S20" s="28"/>
    </row>
    <row r="21" spans="1:19" ht="15.75" customHeight="1" x14ac:dyDescent="0.35">
      <c r="A21" s="26">
        <v>45645</v>
      </c>
      <c r="B21" s="95"/>
      <c r="C21" s="9">
        <f t="shared" si="4"/>
        <v>499.22</v>
      </c>
      <c r="D21" s="9">
        <v>499.22</v>
      </c>
      <c r="E21" s="9">
        <v>446.22</v>
      </c>
      <c r="F21" s="9">
        <v>13.3</v>
      </c>
      <c r="G21" s="9"/>
      <c r="H21" s="9"/>
      <c r="I21" s="9"/>
      <c r="J21" s="9"/>
      <c r="K21" s="9"/>
      <c r="L21" s="9"/>
      <c r="M21" s="9"/>
      <c r="N21" s="97"/>
      <c r="O21" s="122">
        <v>40</v>
      </c>
      <c r="P21" s="99">
        <f t="shared" si="0"/>
        <v>499.52000000000004</v>
      </c>
      <c r="Q21" s="27">
        <f>O21-R21</f>
        <v>39.699999999999989</v>
      </c>
      <c r="R21" s="41">
        <f>P21-C21-H21</f>
        <v>0.30000000000001137</v>
      </c>
      <c r="S21" s="28"/>
    </row>
    <row r="22" spans="1:19" ht="15.75" customHeight="1" x14ac:dyDescent="0.35">
      <c r="A22" s="26">
        <v>45646</v>
      </c>
      <c r="B22" s="95"/>
      <c r="C22" s="9">
        <f t="shared" si="4"/>
        <v>779.63</v>
      </c>
      <c r="D22" s="9">
        <v>779.63</v>
      </c>
      <c r="E22" s="9">
        <v>231</v>
      </c>
      <c r="F22" s="9">
        <v>98.65</v>
      </c>
      <c r="G22" s="9"/>
      <c r="H22" s="9"/>
      <c r="I22" s="9"/>
      <c r="J22" s="9">
        <v>63.8</v>
      </c>
      <c r="K22" s="9"/>
      <c r="L22" s="9"/>
      <c r="M22" s="73">
        <f>81.27+141.23+25.86+17.92</f>
        <v>266.28000000000003</v>
      </c>
      <c r="N22" s="97"/>
      <c r="O22" s="9">
        <v>120</v>
      </c>
      <c r="P22" s="99">
        <f t="shared" si="0"/>
        <v>779.73</v>
      </c>
      <c r="Q22" s="27">
        <f t="shared" si="1"/>
        <v>119.89999999999998</v>
      </c>
      <c r="R22" s="41">
        <f t="shared" si="2"/>
        <v>0.10000000000002274</v>
      </c>
      <c r="S22" s="28"/>
    </row>
    <row r="23" spans="1:19" ht="15.75" customHeight="1" x14ac:dyDescent="0.35">
      <c r="A23" s="26">
        <v>45647</v>
      </c>
      <c r="B23" s="95"/>
      <c r="C23" s="9">
        <f t="shared" si="4"/>
        <v>1051.67</v>
      </c>
      <c r="D23" s="9">
        <v>1051.67</v>
      </c>
      <c r="E23" s="9">
        <v>705.64</v>
      </c>
      <c r="F23" s="9">
        <v>82.54</v>
      </c>
      <c r="G23" s="9"/>
      <c r="H23" s="9"/>
      <c r="I23" s="9"/>
      <c r="J23" s="9">
        <v>21.9</v>
      </c>
      <c r="K23" s="9"/>
      <c r="L23" s="9"/>
      <c r="M23" s="73">
        <v>47.09</v>
      </c>
      <c r="N23" s="97"/>
      <c r="O23" s="9">
        <v>195</v>
      </c>
      <c r="P23" s="99">
        <f>E23+F23+G23+H23+I23+J23+K23+L23+O23+M23+N23</f>
        <v>1052.1699999999998</v>
      </c>
      <c r="Q23" s="27">
        <f t="shared" si="1"/>
        <v>194.50000000000023</v>
      </c>
      <c r="R23" s="41">
        <f t="shared" si="2"/>
        <v>0.49999999999977263</v>
      </c>
      <c r="S23" s="28"/>
    </row>
    <row r="24" spans="1:19" ht="15.75" customHeight="1" x14ac:dyDescent="0.35">
      <c r="A24" s="26">
        <v>45648</v>
      </c>
      <c r="B24" s="95"/>
      <c r="C24" s="9">
        <f t="shared" si="4"/>
        <v>694.9</v>
      </c>
      <c r="D24" s="9">
        <v>694.9</v>
      </c>
      <c r="E24" s="9">
        <v>337.1</v>
      </c>
      <c r="F24" s="9">
        <v>59.6</v>
      </c>
      <c r="G24" s="9"/>
      <c r="H24" s="9"/>
      <c r="I24" s="9"/>
      <c r="J24" s="9">
        <v>142.5</v>
      </c>
      <c r="K24" s="9"/>
      <c r="L24" s="9"/>
      <c r="M24" s="9"/>
      <c r="N24" s="97"/>
      <c r="O24" s="9">
        <v>155</v>
      </c>
      <c r="P24" s="99">
        <f>E24+F24+G24+H24+I24+J24+K24+L24+O24+M24+N24</f>
        <v>694.2</v>
      </c>
      <c r="Q24" s="27">
        <f t="shared" si="1"/>
        <v>155.69999999999993</v>
      </c>
      <c r="R24" s="41">
        <f t="shared" si="2"/>
        <v>-0.69999999999993179</v>
      </c>
      <c r="S24" s="28"/>
    </row>
    <row r="25" spans="1:19" ht="15.75" customHeight="1" x14ac:dyDescent="0.35">
      <c r="A25" s="26">
        <v>45649</v>
      </c>
      <c r="B25" s="95"/>
      <c r="C25" s="9">
        <f t="shared" si="4"/>
        <v>414.53</v>
      </c>
      <c r="D25" s="9">
        <v>414.53</v>
      </c>
      <c r="E25" s="9">
        <v>313.23</v>
      </c>
      <c r="F25" s="9">
        <v>61.1</v>
      </c>
      <c r="G25" s="9"/>
      <c r="H25" s="9"/>
      <c r="I25" s="9"/>
      <c r="J25" s="9"/>
      <c r="K25" s="9"/>
      <c r="L25" s="9"/>
      <c r="M25" s="9"/>
      <c r="N25" s="97"/>
      <c r="O25" s="9">
        <v>40</v>
      </c>
      <c r="P25" s="99">
        <f t="shared" si="0"/>
        <v>414.33000000000004</v>
      </c>
      <c r="Q25" s="27">
        <f>O25-R25</f>
        <v>40.199999999999932</v>
      </c>
      <c r="R25" s="41">
        <f t="shared" si="2"/>
        <v>-0.19999999999993179</v>
      </c>
      <c r="S25" s="28"/>
    </row>
    <row r="26" spans="1:19" ht="15.75" customHeight="1" x14ac:dyDescent="0.35">
      <c r="A26" s="26">
        <v>45650</v>
      </c>
      <c r="B26" s="95"/>
      <c r="C26" s="9">
        <f t="shared" si="4"/>
        <v>326.54000000000002</v>
      </c>
      <c r="D26" s="9">
        <v>326.54000000000002</v>
      </c>
      <c r="E26" s="9">
        <v>219.44</v>
      </c>
      <c r="F26" s="9">
        <v>69.8</v>
      </c>
      <c r="G26" s="9"/>
      <c r="H26" s="9"/>
      <c r="I26" s="9"/>
      <c r="J26" s="9"/>
      <c r="K26" s="9"/>
      <c r="L26" s="9"/>
      <c r="M26" s="9"/>
      <c r="N26" s="97"/>
      <c r="O26" s="9">
        <v>40</v>
      </c>
      <c r="P26" s="99">
        <f>E26+F26+G26+H26+I26+J26+K26+L26+O26+M26+N26</f>
        <v>329.24</v>
      </c>
      <c r="Q26" s="27">
        <f>O26-R26</f>
        <v>37.300000000000011</v>
      </c>
      <c r="R26" s="41">
        <f>P26-C26-H26</f>
        <v>2.6999999999999886</v>
      </c>
      <c r="S26" s="28"/>
    </row>
    <row r="27" spans="1:19" ht="15.75" customHeight="1" x14ac:dyDescent="0.35">
      <c r="A27" s="118">
        <v>45651</v>
      </c>
      <c r="B27" s="95"/>
      <c r="C27" s="9">
        <f t="shared" si="4"/>
        <v>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7"/>
      <c r="O27" s="9"/>
      <c r="P27" s="99">
        <f>E27+F27+G27+H27+I27+J27+K27+L27+O27+M27+N27</f>
        <v>0</v>
      </c>
      <c r="Q27" s="27">
        <f>O27-R27</f>
        <v>0</v>
      </c>
      <c r="R27" s="41">
        <f t="shared" si="2"/>
        <v>0</v>
      </c>
      <c r="S27" s="28"/>
    </row>
    <row r="28" spans="1:19" ht="15.75" customHeight="1" x14ac:dyDescent="0.35">
      <c r="A28" s="26">
        <v>45652</v>
      </c>
      <c r="B28" s="95"/>
      <c r="C28" s="9">
        <f t="shared" si="4"/>
        <v>4354.75</v>
      </c>
      <c r="D28" s="9">
        <v>4354.75</v>
      </c>
      <c r="E28" s="9">
        <v>433.2</v>
      </c>
      <c r="F28" s="9">
        <v>35.299999999999997</v>
      </c>
      <c r="G28" s="9"/>
      <c r="H28" s="9"/>
      <c r="I28" s="9"/>
      <c r="J28" s="9"/>
      <c r="K28" s="9"/>
      <c r="L28" s="9"/>
      <c r="M28" s="73">
        <v>3789.75</v>
      </c>
      <c r="N28" s="97"/>
      <c r="O28" s="9">
        <v>100</v>
      </c>
      <c r="P28" s="99">
        <f t="shared" si="0"/>
        <v>4358.25</v>
      </c>
      <c r="Q28" s="27">
        <f t="shared" si="1"/>
        <v>96.5</v>
      </c>
      <c r="R28" s="41">
        <f t="shared" si="2"/>
        <v>3.5</v>
      </c>
      <c r="S28" s="28"/>
    </row>
    <row r="29" spans="1:19" ht="15.75" customHeight="1" x14ac:dyDescent="0.35">
      <c r="A29" s="26">
        <v>45653</v>
      </c>
      <c r="B29" s="95"/>
      <c r="C29" s="9">
        <f t="shared" si="4"/>
        <v>1579.74</v>
      </c>
      <c r="D29" s="9">
        <v>1579.74</v>
      </c>
      <c r="E29" s="9">
        <v>591.29999999999995</v>
      </c>
      <c r="F29" s="9">
        <v>52.2</v>
      </c>
      <c r="G29" s="9"/>
      <c r="H29" s="9"/>
      <c r="I29" s="9">
        <v>44.9</v>
      </c>
      <c r="J29" s="9">
        <v>79.900000000000006</v>
      </c>
      <c r="K29" s="9"/>
      <c r="L29" s="9"/>
      <c r="M29" s="73">
        <v>684.14</v>
      </c>
      <c r="N29" s="97"/>
      <c r="O29" s="9">
        <v>130</v>
      </c>
      <c r="P29" s="99">
        <f t="shared" si="0"/>
        <v>1582.44</v>
      </c>
      <c r="Q29" s="27">
        <f t="shared" si="1"/>
        <v>127.29999999999995</v>
      </c>
      <c r="R29" s="41">
        <f t="shared" si="2"/>
        <v>2.7000000000000455</v>
      </c>
      <c r="S29" s="28"/>
    </row>
    <row r="30" spans="1:19" ht="15.75" customHeight="1" x14ac:dyDescent="0.35">
      <c r="A30" s="26">
        <v>45654</v>
      </c>
      <c r="B30" s="95"/>
      <c r="C30" s="9">
        <f t="shared" si="4"/>
        <v>897.17</v>
      </c>
      <c r="D30" s="9">
        <v>897.17</v>
      </c>
      <c r="E30" s="9">
        <v>583.20000000000005</v>
      </c>
      <c r="F30" s="9">
        <v>113.9</v>
      </c>
      <c r="G30" s="9"/>
      <c r="H30" s="9"/>
      <c r="I30" s="9"/>
      <c r="J30" s="9">
        <v>18.899999999999999</v>
      </c>
      <c r="K30" s="9"/>
      <c r="L30" s="9"/>
      <c r="M30" s="9"/>
      <c r="N30" s="97"/>
      <c r="O30" s="9">
        <v>180</v>
      </c>
      <c r="P30" s="99">
        <f t="shared" si="0"/>
        <v>896</v>
      </c>
      <c r="Q30" s="27">
        <f t="shared" si="1"/>
        <v>181.16999999999996</v>
      </c>
      <c r="R30" s="41">
        <f t="shared" si="2"/>
        <v>-1.1699999999999591</v>
      </c>
      <c r="S30" s="28"/>
    </row>
    <row r="31" spans="1:19" ht="15.75" customHeight="1" x14ac:dyDescent="0.35">
      <c r="A31" s="26">
        <v>45655</v>
      </c>
      <c r="B31" s="95"/>
      <c r="C31" s="9">
        <f t="shared" si="4"/>
        <v>1383.99</v>
      </c>
      <c r="D31" s="9">
        <v>1383.99</v>
      </c>
      <c r="E31" s="9">
        <v>934.56</v>
      </c>
      <c r="F31" s="9">
        <v>114.9</v>
      </c>
      <c r="G31" s="9"/>
      <c r="H31" s="9"/>
      <c r="I31" s="9"/>
      <c r="J31" s="9">
        <v>83.7</v>
      </c>
      <c r="K31" s="9"/>
      <c r="L31" s="9"/>
      <c r="M31" s="9"/>
      <c r="N31" s="97"/>
      <c r="O31" s="9">
        <v>250</v>
      </c>
      <c r="P31" s="99">
        <f t="shared" si="0"/>
        <v>1383.16</v>
      </c>
      <c r="Q31" s="27">
        <f t="shared" si="1"/>
        <v>250.82999999999993</v>
      </c>
      <c r="R31" s="41">
        <f t="shared" si="2"/>
        <v>-0.82999999999992724</v>
      </c>
      <c r="S31" s="28"/>
    </row>
    <row r="32" spans="1:19" ht="15.75" customHeight="1" x14ac:dyDescent="0.35">
      <c r="A32" s="26">
        <v>45656</v>
      </c>
      <c r="B32" s="95"/>
      <c r="C32" s="9">
        <f t="shared" si="4"/>
        <v>476.88</v>
      </c>
      <c r="D32" s="9">
        <v>476.88</v>
      </c>
      <c r="E32" s="9">
        <v>348.38</v>
      </c>
      <c r="F32" s="9">
        <v>24.5</v>
      </c>
      <c r="G32" s="9"/>
      <c r="H32" s="9"/>
      <c r="I32" s="9"/>
      <c r="J32" s="9"/>
      <c r="K32" s="9"/>
      <c r="L32" s="9"/>
      <c r="M32" s="9"/>
      <c r="N32" s="97"/>
      <c r="O32" s="9">
        <v>110</v>
      </c>
      <c r="P32" s="99">
        <f t="shared" si="0"/>
        <v>482.88</v>
      </c>
      <c r="Q32" s="27">
        <f>O32-R32</f>
        <v>104</v>
      </c>
      <c r="R32" s="41">
        <f t="shared" si="2"/>
        <v>6</v>
      </c>
      <c r="S32" s="28"/>
    </row>
    <row r="33" spans="1:19" ht="15.75" customHeight="1" thickBot="1" x14ac:dyDescent="0.4">
      <c r="A33" s="26">
        <v>45657</v>
      </c>
      <c r="B33" s="96"/>
      <c r="C33" s="9">
        <f t="shared" si="4"/>
        <v>522.33000000000004</v>
      </c>
      <c r="D33" s="44">
        <v>522.33000000000004</v>
      </c>
      <c r="E33" s="44">
        <v>257.66000000000003</v>
      </c>
      <c r="F33" s="44">
        <v>81.72</v>
      </c>
      <c r="G33" s="9"/>
      <c r="H33" s="9"/>
      <c r="I33" s="9"/>
      <c r="J33" s="44"/>
      <c r="K33" s="9"/>
      <c r="L33" s="9"/>
      <c r="M33" s="73">
        <v>77.81</v>
      </c>
      <c r="N33" s="98"/>
      <c r="O33" s="44">
        <v>100</v>
      </c>
      <c r="P33" s="99">
        <f t="shared" si="0"/>
        <v>517.19000000000005</v>
      </c>
      <c r="Q33" s="27">
        <f>O33-R33</f>
        <v>105.13999999999999</v>
      </c>
      <c r="R33" s="41">
        <f t="shared" si="2"/>
        <v>-5.1399999999999864</v>
      </c>
      <c r="S33" s="28"/>
    </row>
    <row r="34" spans="1:19" ht="15.75" customHeight="1" thickBot="1" x14ac:dyDescent="0.4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21815.26</v>
      </c>
      <c r="Q34" s="72">
        <f>P34-R34</f>
        <v>21817.05</v>
      </c>
      <c r="R34" s="49">
        <f>SUM(R3:R33)</f>
        <v>-1.7899999999998784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disablePrompts="1" count="2">
    <dataValidation type="list" allowBlank="1" showInputMessage="1" showErrorMessage="1" sqref="B33" xr:uid="{E1B30EED-514B-4A91-AF25-CCDEBE771268}">
      <formula1>"Matosinhos,Timeout,Bolhão"</formula1>
    </dataValidation>
    <dataValidation type="list" allowBlank="1" showInputMessage="1" showErrorMessage="1" sqref="B3:B32" xr:uid="{1DCA722D-FC51-4582-8F4A-0F3EF0B95338}">
      <formula1>"Matosinhos;TimeOut;Bolhão"</formula1>
    </dataValidation>
  </dataValidations>
  <pageMargins left="0.75" right="0.75" top="1" bottom="1" header="0" footer="0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7CA9-F284-4785-976A-F93DF0C40CE1}">
  <dimension ref="A2:S1001"/>
  <sheetViews>
    <sheetView zoomScale="85" zoomScaleNormal="85" workbookViewId="0">
      <pane ySplit="2" topLeftCell="A3" activePane="bottomLeft" state="frozen"/>
      <selection pane="bottomLeft" activeCell="D32" sqref="D27:D32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45597</v>
      </c>
      <c r="B3" s="95" t="s">
        <v>2688</v>
      </c>
      <c r="C3" s="9">
        <f>D3</f>
        <v>1507.45</v>
      </c>
      <c r="D3" s="9">
        <v>1507.45</v>
      </c>
      <c r="E3" s="9">
        <v>909.53</v>
      </c>
      <c r="F3" s="9">
        <v>159.87</v>
      </c>
      <c r="G3" s="9"/>
      <c r="H3" s="9"/>
      <c r="I3" s="9"/>
      <c r="J3" s="9">
        <v>118.6</v>
      </c>
      <c r="K3" s="9"/>
      <c r="L3" s="9"/>
      <c r="M3" s="9"/>
      <c r="N3" s="97"/>
      <c r="O3" s="9">
        <v>320</v>
      </c>
      <c r="P3" s="99">
        <f t="shared" ref="P3:P33" si="0">E3+F3+G3+H3+I3+J3+K3+L3+O3+M3+N3</f>
        <v>1508</v>
      </c>
      <c r="Q3" s="27">
        <f t="shared" ref="Q3:Q33" si="1">O3-R3</f>
        <v>319.45000000000005</v>
      </c>
      <c r="R3" s="70">
        <f t="shared" ref="R3:R33" si="2">P3-C3-H3</f>
        <v>0.54999999999995453</v>
      </c>
      <c r="S3" s="28"/>
    </row>
    <row r="4" spans="1:19" ht="15.75" customHeight="1" x14ac:dyDescent="0.35">
      <c r="A4" s="26">
        <v>45598</v>
      </c>
      <c r="B4" s="95" t="s">
        <v>119</v>
      </c>
      <c r="C4" s="9">
        <f t="shared" ref="C4:C5" si="3">D4</f>
        <v>2217.9699999999998</v>
      </c>
      <c r="D4" s="9">
        <v>2217.9699999999998</v>
      </c>
      <c r="E4" s="9">
        <v>1496.21</v>
      </c>
      <c r="F4" s="9">
        <v>325.86</v>
      </c>
      <c r="G4" s="9"/>
      <c r="H4" s="9"/>
      <c r="I4" s="9"/>
      <c r="J4" s="9">
        <v>79.599999999999994</v>
      </c>
      <c r="K4" s="9"/>
      <c r="L4" s="9"/>
      <c r="M4" s="9"/>
      <c r="N4" s="97"/>
      <c r="O4" s="9">
        <v>320</v>
      </c>
      <c r="P4" s="99">
        <f t="shared" si="0"/>
        <v>2221.67</v>
      </c>
      <c r="Q4" s="27">
        <f t="shared" si="1"/>
        <v>316.29999999999973</v>
      </c>
      <c r="R4" s="70">
        <f t="shared" si="2"/>
        <v>3.7000000000002728</v>
      </c>
      <c r="S4" s="28"/>
    </row>
    <row r="5" spans="1:19" ht="15.75" customHeight="1" x14ac:dyDescent="0.35">
      <c r="A5" s="26">
        <v>45599</v>
      </c>
      <c r="B5" s="95" t="s">
        <v>119</v>
      </c>
      <c r="C5" s="9">
        <f t="shared" si="3"/>
        <v>2181.2399999999998</v>
      </c>
      <c r="D5" s="9">
        <v>2181.2399999999998</v>
      </c>
      <c r="E5" s="9">
        <v>1679.14</v>
      </c>
      <c r="F5" s="9">
        <v>177.7</v>
      </c>
      <c r="G5" s="9"/>
      <c r="H5" s="9"/>
      <c r="I5" s="9"/>
      <c r="J5" s="9">
        <v>37.9</v>
      </c>
      <c r="K5" s="9"/>
      <c r="L5" s="9"/>
      <c r="M5" s="9"/>
      <c r="N5" s="97"/>
      <c r="O5" s="9">
        <v>285</v>
      </c>
      <c r="P5" s="99">
        <f t="shared" si="0"/>
        <v>2179.7400000000002</v>
      </c>
      <c r="Q5" s="27">
        <f t="shared" si="1"/>
        <v>286.49999999999955</v>
      </c>
      <c r="R5" s="41">
        <f t="shared" si="2"/>
        <v>-1.4999999999995453</v>
      </c>
      <c r="S5" s="28"/>
    </row>
    <row r="6" spans="1:19" ht="15.75" customHeight="1" x14ac:dyDescent="0.35">
      <c r="A6" s="26">
        <v>45600</v>
      </c>
      <c r="B6" s="95" t="s">
        <v>119</v>
      </c>
      <c r="C6" s="9">
        <f>D6</f>
        <v>256.39</v>
      </c>
      <c r="D6" s="9">
        <v>256.39</v>
      </c>
      <c r="E6" s="9">
        <v>140.79</v>
      </c>
      <c r="F6" s="9">
        <v>7.2</v>
      </c>
      <c r="G6" s="9"/>
      <c r="H6" s="9"/>
      <c r="I6" s="9"/>
      <c r="J6" s="9">
        <v>32.9</v>
      </c>
      <c r="K6" s="9"/>
      <c r="L6" s="9"/>
      <c r="M6" s="9"/>
      <c r="N6" s="97"/>
      <c r="O6" s="9">
        <v>70</v>
      </c>
      <c r="P6" s="99">
        <f t="shared" si="0"/>
        <v>250.89</v>
      </c>
      <c r="Q6" s="27">
        <f>O6-R6</f>
        <v>75.5</v>
      </c>
      <c r="R6" s="41">
        <f t="shared" si="2"/>
        <v>-5.5</v>
      </c>
      <c r="S6" s="28"/>
    </row>
    <row r="7" spans="1:19" ht="15.75" customHeight="1" x14ac:dyDescent="0.35">
      <c r="A7" s="26">
        <v>45601</v>
      </c>
      <c r="B7" s="95" t="s">
        <v>119</v>
      </c>
      <c r="C7" s="9">
        <f t="shared" ref="C7:C33" si="4">D7</f>
        <v>301.24</v>
      </c>
      <c r="D7" s="9">
        <v>301.24</v>
      </c>
      <c r="E7" s="9">
        <v>37.799999999999997</v>
      </c>
      <c r="F7" s="83">
        <v>22.2</v>
      </c>
      <c r="G7" s="9"/>
      <c r="H7" s="9"/>
      <c r="I7" s="9"/>
      <c r="J7" s="9"/>
      <c r="K7" s="9"/>
      <c r="L7" s="9"/>
      <c r="M7" s="73">
        <v>197.04</v>
      </c>
      <c r="N7" s="97"/>
      <c r="O7" s="9">
        <v>40</v>
      </c>
      <c r="P7" s="99">
        <f t="shared" si="0"/>
        <v>297.03999999999996</v>
      </c>
      <c r="Q7" s="27">
        <f t="shared" si="1"/>
        <v>44.200000000000045</v>
      </c>
      <c r="R7" s="41">
        <f t="shared" si="2"/>
        <v>-4.2000000000000455</v>
      </c>
      <c r="S7" s="28"/>
    </row>
    <row r="8" spans="1:19" ht="15.75" customHeight="1" x14ac:dyDescent="0.35">
      <c r="A8" s="26">
        <v>45602</v>
      </c>
      <c r="B8" s="95" t="s">
        <v>119</v>
      </c>
      <c r="C8" s="9">
        <f t="shared" si="4"/>
        <v>471.5</v>
      </c>
      <c r="D8" s="9">
        <v>471.5</v>
      </c>
      <c r="E8" s="9">
        <v>303</v>
      </c>
      <c r="F8" s="9">
        <v>21.9</v>
      </c>
      <c r="G8" s="9"/>
      <c r="H8" s="9"/>
      <c r="I8" s="9"/>
      <c r="J8" s="9">
        <v>98.7</v>
      </c>
      <c r="K8" s="9"/>
      <c r="L8" s="9"/>
      <c r="M8" s="9"/>
      <c r="N8" s="97"/>
      <c r="O8" s="9">
        <v>45</v>
      </c>
      <c r="P8" s="99">
        <f t="shared" si="0"/>
        <v>468.59999999999997</v>
      </c>
      <c r="Q8" s="27">
        <f t="shared" si="1"/>
        <v>47.900000000000034</v>
      </c>
      <c r="R8" s="41">
        <f t="shared" si="2"/>
        <v>-2.9000000000000341</v>
      </c>
      <c r="S8" s="28"/>
    </row>
    <row r="9" spans="1:19" ht="15.75" customHeight="1" x14ac:dyDescent="0.35">
      <c r="A9" s="26">
        <v>45603</v>
      </c>
      <c r="B9" s="95"/>
      <c r="C9" s="9">
        <f t="shared" si="4"/>
        <v>1061.06</v>
      </c>
      <c r="D9" s="9">
        <v>1061.06</v>
      </c>
      <c r="E9" s="9">
        <v>658.15</v>
      </c>
      <c r="F9" s="9">
        <v>44.72</v>
      </c>
      <c r="G9" s="9"/>
      <c r="H9" s="9"/>
      <c r="I9" s="9"/>
      <c r="J9" s="9">
        <v>18.899999999999999</v>
      </c>
      <c r="K9" s="9"/>
      <c r="L9" s="9"/>
      <c r="M9" s="73">
        <v>228.12</v>
      </c>
      <c r="N9" s="97"/>
      <c r="O9" s="9">
        <v>110</v>
      </c>
      <c r="P9" s="99">
        <f t="shared" si="0"/>
        <v>1059.8899999999999</v>
      </c>
      <c r="Q9" s="27">
        <f t="shared" si="1"/>
        <v>111.17000000000007</v>
      </c>
      <c r="R9" s="41">
        <f t="shared" si="2"/>
        <v>-1.1700000000000728</v>
      </c>
      <c r="S9" s="28"/>
    </row>
    <row r="10" spans="1:19" ht="15.75" customHeight="1" x14ac:dyDescent="0.35">
      <c r="A10" s="26">
        <v>45604</v>
      </c>
      <c r="B10" s="95"/>
      <c r="C10" s="9">
        <f t="shared" si="4"/>
        <v>593.27</v>
      </c>
      <c r="D10" s="9">
        <v>593.27</v>
      </c>
      <c r="E10" s="9">
        <v>285.55</v>
      </c>
      <c r="F10" s="9">
        <v>106.25</v>
      </c>
      <c r="G10" s="9"/>
      <c r="H10" s="9"/>
      <c r="I10" s="9"/>
      <c r="J10" s="9"/>
      <c r="K10" s="9"/>
      <c r="L10" s="9"/>
      <c r="M10" s="9"/>
      <c r="N10" s="97"/>
      <c r="O10" s="9">
        <v>200</v>
      </c>
      <c r="P10" s="99">
        <f t="shared" si="0"/>
        <v>591.79999999999995</v>
      </c>
      <c r="Q10" s="27">
        <f t="shared" si="1"/>
        <v>201.47000000000003</v>
      </c>
      <c r="R10" s="41">
        <f t="shared" si="2"/>
        <v>-1.4700000000000273</v>
      </c>
      <c r="S10" s="28"/>
    </row>
    <row r="11" spans="1:19" ht="15.75" customHeight="1" x14ac:dyDescent="0.35">
      <c r="A11" s="26">
        <v>45605</v>
      </c>
      <c r="B11" s="95"/>
      <c r="C11" s="9">
        <f t="shared" si="4"/>
        <v>1888.13</v>
      </c>
      <c r="D11" s="9">
        <v>1888.13</v>
      </c>
      <c r="E11" s="9">
        <v>1377.71</v>
      </c>
      <c r="F11" s="9">
        <v>157</v>
      </c>
      <c r="G11" s="9"/>
      <c r="H11" s="9"/>
      <c r="I11" s="9"/>
      <c r="J11" s="9">
        <v>32.9</v>
      </c>
      <c r="K11" s="9"/>
      <c r="L11" s="9"/>
      <c r="M11" s="9"/>
      <c r="N11" s="97"/>
      <c r="O11" s="9">
        <v>320</v>
      </c>
      <c r="P11" s="99">
        <f t="shared" si="0"/>
        <v>1887.6100000000001</v>
      </c>
      <c r="Q11" s="27">
        <f t="shared" si="1"/>
        <v>320.52</v>
      </c>
      <c r="R11" s="41">
        <f t="shared" si="2"/>
        <v>-0.51999999999998181</v>
      </c>
      <c r="S11" s="28"/>
    </row>
    <row r="12" spans="1:19" ht="15.75" customHeight="1" x14ac:dyDescent="0.35">
      <c r="A12" s="26">
        <v>45606</v>
      </c>
      <c r="B12" s="95"/>
      <c r="C12" s="9">
        <f t="shared" si="4"/>
        <v>673.39</v>
      </c>
      <c r="D12" s="9">
        <v>673.39</v>
      </c>
      <c r="E12" s="9">
        <v>491.64</v>
      </c>
      <c r="F12" s="9">
        <v>62.8</v>
      </c>
      <c r="G12" s="9"/>
      <c r="H12" s="9"/>
      <c r="I12" s="9"/>
      <c r="J12" s="9"/>
      <c r="K12" s="9"/>
      <c r="L12" s="9"/>
      <c r="M12" s="9"/>
      <c r="N12" s="97"/>
      <c r="O12" s="9">
        <v>120</v>
      </c>
      <c r="P12" s="99">
        <f t="shared" si="0"/>
        <v>674.43999999999994</v>
      </c>
      <c r="Q12" s="27">
        <f t="shared" si="1"/>
        <v>118.95000000000005</v>
      </c>
      <c r="R12" s="41">
        <f t="shared" si="2"/>
        <v>1.0499999999999545</v>
      </c>
      <c r="S12" s="28"/>
    </row>
    <row r="13" spans="1:19" ht="15.75" customHeight="1" x14ac:dyDescent="0.35">
      <c r="A13" s="26">
        <v>45607</v>
      </c>
      <c r="B13" s="95"/>
      <c r="C13" s="9">
        <f t="shared" si="4"/>
        <v>460.52</v>
      </c>
      <c r="D13" s="9">
        <v>460.52</v>
      </c>
      <c r="E13" s="9">
        <v>306.72000000000003</v>
      </c>
      <c r="F13" s="9">
        <v>36.9</v>
      </c>
      <c r="G13" s="9"/>
      <c r="H13" s="9"/>
      <c r="I13" s="9"/>
      <c r="J13" s="9">
        <v>18.899999999999999</v>
      </c>
      <c r="K13" s="9"/>
      <c r="L13" s="9"/>
      <c r="M13" s="9"/>
      <c r="N13" s="97"/>
      <c r="O13" s="9">
        <v>100</v>
      </c>
      <c r="P13" s="99">
        <f t="shared" si="0"/>
        <v>462.52</v>
      </c>
      <c r="Q13" s="27">
        <f t="shared" si="1"/>
        <v>98</v>
      </c>
      <c r="R13" s="41">
        <f t="shared" si="2"/>
        <v>2</v>
      </c>
      <c r="S13" s="28"/>
    </row>
    <row r="14" spans="1:19" ht="15.75" customHeight="1" x14ac:dyDescent="0.35">
      <c r="A14" s="26">
        <v>45608</v>
      </c>
      <c r="B14" s="95"/>
      <c r="C14" s="9">
        <f t="shared" si="4"/>
        <v>2235.88</v>
      </c>
      <c r="D14" s="9">
        <v>2235.88</v>
      </c>
      <c r="E14" s="9">
        <v>236.32</v>
      </c>
      <c r="F14" s="9">
        <v>39.5</v>
      </c>
      <c r="G14" s="9"/>
      <c r="H14" s="9"/>
      <c r="I14" s="9"/>
      <c r="J14" s="9">
        <v>18.899999999999999</v>
      </c>
      <c r="K14" s="9"/>
      <c r="L14" s="9"/>
      <c r="M14" s="73">
        <v>1894.88</v>
      </c>
      <c r="N14" s="97"/>
      <c r="O14" s="9">
        <v>40</v>
      </c>
      <c r="P14" s="99">
        <f t="shared" si="0"/>
        <v>2229.6</v>
      </c>
      <c r="Q14" s="27">
        <f t="shared" si="1"/>
        <v>46.2800000000002</v>
      </c>
      <c r="R14" s="41">
        <f t="shared" si="2"/>
        <v>-6.2800000000002001</v>
      </c>
      <c r="S14" s="28"/>
    </row>
    <row r="15" spans="1:19" ht="15.75" customHeight="1" x14ac:dyDescent="0.35">
      <c r="A15" s="26">
        <v>45609</v>
      </c>
      <c r="B15" s="95"/>
      <c r="C15" s="9">
        <f t="shared" si="4"/>
        <v>518.85</v>
      </c>
      <c r="D15" s="9">
        <v>518.85</v>
      </c>
      <c r="E15" s="9">
        <v>261.75</v>
      </c>
      <c r="F15" s="9">
        <v>17.100000000000001</v>
      </c>
      <c r="G15" s="9"/>
      <c r="H15" s="9"/>
      <c r="I15" s="9"/>
      <c r="J15" s="9">
        <v>37.799999999999997</v>
      </c>
      <c r="K15" s="9"/>
      <c r="L15" s="9"/>
      <c r="M15" s="73">
        <v>153</v>
      </c>
      <c r="N15" s="97"/>
      <c r="O15" s="9">
        <v>50</v>
      </c>
      <c r="P15" s="99">
        <f t="shared" si="0"/>
        <v>519.65000000000009</v>
      </c>
      <c r="Q15" s="27">
        <f t="shared" si="1"/>
        <v>49.199999999999932</v>
      </c>
      <c r="R15" s="41">
        <f t="shared" si="2"/>
        <v>0.80000000000006821</v>
      </c>
      <c r="S15" s="28"/>
    </row>
    <row r="16" spans="1:19" ht="15.75" customHeight="1" x14ac:dyDescent="0.35">
      <c r="A16" s="26">
        <v>45610</v>
      </c>
      <c r="B16" s="95"/>
      <c r="C16" s="9">
        <f t="shared" si="4"/>
        <v>323.69</v>
      </c>
      <c r="D16" s="9">
        <v>323.69</v>
      </c>
      <c r="E16" s="9">
        <v>235.26</v>
      </c>
      <c r="F16" s="9">
        <v>5.5</v>
      </c>
      <c r="G16" s="9"/>
      <c r="H16" s="9"/>
      <c r="I16" s="9"/>
      <c r="J16" s="9"/>
      <c r="K16" s="9"/>
      <c r="L16" s="9"/>
      <c r="M16" s="73">
        <v>49.73</v>
      </c>
      <c r="N16" s="97"/>
      <c r="O16" s="9">
        <v>30</v>
      </c>
      <c r="P16" s="99">
        <f t="shared" si="0"/>
        <v>320.49</v>
      </c>
      <c r="Q16" s="27">
        <f t="shared" si="1"/>
        <v>33.199999999999989</v>
      </c>
      <c r="R16" s="41">
        <f t="shared" si="2"/>
        <v>-3.1999999999999886</v>
      </c>
      <c r="S16" s="28"/>
    </row>
    <row r="17" spans="1:19" ht="15.75" customHeight="1" x14ac:dyDescent="0.35">
      <c r="A17" s="26">
        <v>45611</v>
      </c>
      <c r="B17" s="95"/>
      <c r="C17" s="9">
        <f t="shared" si="4"/>
        <v>466.28</v>
      </c>
      <c r="D17" s="9">
        <v>466.28</v>
      </c>
      <c r="E17" s="9">
        <v>218.78</v>
      </c>
      <c r="F17" s="9">
        <v>42.56</v>
      </c>
      <c r="G17" s="9"/>
      <c r="H17" s="9"/>
      <c r="I17" s="9"/>
      <c r="J17" s="9">
        <v>51.8</v>
      </c>
      <c r="K17" s="9"/>
      <c r="L17" s="9"/>
      <c r="M17" s="73">
        <v>97.54</v>
      </c>
      <c r="N17" s="97"/>
      <c r="O17" s="9">
        <v>55</v>
      </c>
      <c r="P17" s="99">
        <f t="shared" si="0"/>
        <v>465.68000000000006</v>
      </c>
      <c r="Q17" s="27">
        <f>O17-R17</f>
        <v>55.599999999999909</v>
      </c>
      <c r="R17" s="41">
        <f t="shared" si="2"/>
        <v>-0.59999999999990905</v>
      </c>
      <c r="S17" s="28"/>
    </row>
    <row r="18" spans="1:19" ht="15.75" customHeight="1" x14ac:dyDescent="0.35">
      <c r="A18" s="26">
        <v>45612</v>
      </c>
      <c r="B18" s="95"/>
      <c r="C18" s="9">
        <f t="shared" si="4"/>
        <v>1347.44</v>
      </c>
      <c r="D18" s="9">
        <v>1347.44</v>
      </c>
      <c r="E18" s="9">
        <v>902.4</v>
      </c>
      <c r="F18" s="9">
        <v>99.14</v>
      </c>
      <c r="G18" s="9"/>
      <c r="H18" s="9"/>
      <c r="I18" s="9"/>
      <c r="J18" s="9">
        <v>47.9</v>
      </c>
      <c r="K18" s="9"/>
      <c r="L18" s="9"/>
      <c r="M18" s="9"/>
      <c r="N18" s="97"/>
      <c r="O18" s="9">
        <v>290</v>
      </c>
      <c r="P18" s="99">
        <f t="shared" si="0"/>
        <v>1339.44</v>
      </c>
      <c r="Q18" s="27">
        <f t="shared" si="1"/>
        <v>298</v>
      </c>
      <c r="R18" s="41">
        <f t="shared" si="2"/>
        <v>-8</v>
      </c>
      <c r="S18" s="28"/>
    </row>
    <row r="19" spans="1:19" ht="15.75" customHeight="1" x14ac:dyDescent="0.35">
      <c r="A19" s="26">
        <v>45613</v>
      </c>
      <c r="B19" s="95"/>
      <c r="C19" s="9">
        <f t="shared" si="4"/>
        <v>1765.45</v>
      </c>
      <c r="D19" s="9">
        <v>1765.45</v>
      </c>
      <c r="E19" s="9">
        <v>1063.1300000000001</v>
      </c>
      <c r="F19" s="9">
        <v>144.5</v>
      </c>
      <c r="G19" s="9"/>
      <c r="H19" s="9"/>
      <c r="I19" s="9"/>
      <c r="J19" s="9">
        <v>203.5</v>
      </c>
      <c r="K19" s="9"/>
      <c r="L19" s="9"/>
      <c r="M19" s="9"/>
      <c r="N19" s="97"/>
      <c r="O19" s="9">
        <v>350</v>
      </c>
      <c r="P19" s="99">
        <f t="shared" si="0"/>
        <v>1761.13</v>
      </c>
      <c r="Q19" s="27">
        <f t="shared" si="1"/>
        <v>354.31999999999994</v>
      </c>
      <c r="R19" s="41">
        <f t="shared" si="2"/>
        <v>-4.3199999999999363</v>
      </c>
      <c r="S19" s="28"/>
    </row>
    <row r="20" spans="1:19" ht="15.75" customHeight="1" x14ac:dyDescent="0.35">
      <c r="A20" s="26">
        <v>45614</v>
      </c>
      <c r="B20" s="95"/>
      <c r="C20" s="9">
        <f t="shared" si="4"/>
        <v>316.75</v>
      </c>
      <c r="D20" s="9">
        <v>316.75</v>
      </c>
      <c r="E20" s="9">
        <v>212.05</v>
      </c>
      <c r="F20" s="9">
        <v>58.8</v>
      </c>
      <c r="G20" s="9"/>
      <c r="H20" s="9"/>
      <c r="I20" s="9"/>
      <c r="J20" s="9"/>
      <c r="K20" s="9"/>
      <c r="L20" s="9"/>
      <c r="M20" s="9"/>
      <c r="N20" s="97"/>
      <c r="O20" s="9">
        <v>50</v>
      </c>
      <c r="P20" s="99">
        <f t="shared" si="0"/>
        <v>320.85000000000002</v>
      </c>
      <c r="Q20" s="27">
        <f t="shared" si="1"/>
        <v>45.899999999999977</v>
      </c>
      <c r="R20" s="41">
        <f t="shared" si="2"/>
        <v>4.1000000000000227</v>
      </c>
      <c r="S20" s="28"/>
    </row>
    <row r="21" spans="1:19" ht="15.75" customHeight="1" x14ac:dyDescent="0.35">
      <c r="A21" s="26">
        <v>45615</v>
      </c>
      <c r="B21" s="95"/>
      <c r="C21" s="9">
        <f t="shared" si="4"/>
        <v>437.65</v>
      </c>
      <c r="D21" s="9">
        <v>437.65</v>
      </c>
      <c r="E21" s="9">
        <v>149.33000000000001</v>
      </c>
      <c r="F21" s="9">
        <v>19.899999999999999</v>
      </c>
      <c r="G21" s="9"/>
      <c r="H21" s="9"/>
      <c r="I21" s="9"/>
      <c r="J21" s="9">
        <v>33.9</v>
      </c>
      <c r="K21" s="9"/>
      <c r="L21" s="9"/>
      <c r="M21" s="73">
        <v>193.92</v>
      </c>
      <c r="N21" s="97"/>
      <c r="O21" s="9">
        <v>40</v>
      </c>
      <c r="P21" s="99">
        <f t="shared" si="0"/>
        <v>437.05</v>
      </c>
      <c r="Q21" s="27">
        <f>O21-R21</f>
        <v>40.599999999999966</v>
      </c>
      <c r="R21" s="41">
        <f>P21-C21-H21</f>
        <v>-0.59999999999996589</v>
      </c>
      <c r="S21" s="28"/>
    </row>
    <row r="22" spans="1:19" ht="15.75" customHeight="1" x14ac:dyDescent="0.35">
      <c r="A22" s="26">
        <v>45616</v>
      </c>
      <c r="B22" s="95"/>
      <c r="C22" s="9">
        <f t="shared" si="4"/>
        <v>363.3</v>
      </c>
      <c r="D22" s="9">
        <v>363.3</v>
      </c>
      <c r="E22" s="9">
        <v>206.86</v>
      </c>
      <c r="F22" s="9">
        <v>15.4</v>
      </c>
      <c r="G22" s="9"/>
      <c r="H22" s="9"/>
      <c r="I22" s="9"/>
      <c r="J22" s="9">
        <v>37.799999999999997</v>
      </c>
      <c r="K22" s="9"/>
      <c r="L22" s="9"/>
      <c r="M22" s="73">
        <v>21.14</v>
      </c>
      <c r="N22" s="97"/>
      <c r="O22" s="9">
        <v>80</v>
      </c>
      <c r="P22" s="99">
        <f t="shared" si="0"/>
        <v>361.2</v>
      </c>
      <c r="Q22" s="27">
        <f t="shared" si="1"/>
        <v>82.100000000000023</v>
      </c>
      <c r="R22" s="41">
        <f t="shared" si="2"/>
        <v>-2.1000000000000227</v>
      </c>
      <c r="S22" s="28"/>
    </row>
    <row r="23" spans="1:19" ht="15.75" customHeight="1" x14ac:dyDescent="0.35">
      <c r="A23" s="26">
        <v>45617</v>
      </c>
      <c r="B23" s="95"/>
      <c r="C23" s="9">
        <f t="shared" si="4"/>
        <v>206.5</v>
      </c>
      <c r="D23" s="9">
        <v>206.5</v>
      </c>
      <c r="E23" s="9">
        <v>108.7</v>
      </c>
      <c r="F23" s="9">
        <v>29.8</v>
      </c>
      <c r="G23" s="9"/>
      <c r="H23" s="9"/>
      <c r="I23" s="9"/>
      <c r="J23" s="9"/>
      <c r="K23" s="9"/>
      <c r="L23" s="9"/>
      <c r="M23" s="9"/>
      <c r="N23" s="97"/>
      <c r="O23" s="9">
        <v>70</v>
      </c>
      <c r="P23" s="99">
        <f t="shared" si="0"/>
        <v>208.5</v>
      </c>
      <c r="Q23" s="27">
        <f t="shared" si="1"/>
        <v>68</v>
      </c>
      <c r="R23" s="41">
        <f t="shared" si="2"/>
        <v>2</v>
      </c>
      <c r="S23" s="28"/>
    </row>
    <row r="24" spans="1:19" ht="15.75" customHeight="1" x14ac:dyDescent="0.35">
      <c r="A24" s="26">
        <v>45618</v>
      </c>
      <c r="B24" s="95"/>
      <c r="C24" s="9">
        <f t="shared" si="4"/>
        <v>447.94</v>
      </c>
      <c r="D24" s="9">
        <v>447.94</v>
      </c>
      <c r="E24" s="9">
        <v>260.83999999999997</v>
      </c>
      <c r="F24" s="9">
        <v>40.799999999999997</v>
      </c>
      <c r="G24" s="9"/>
      <c r="H24" s="9"/>
      <c r="I24" s="9"/>
      <c r="J24" s="9">
        <v>44.9</v>
      </c>
      <c r="K24" s="9"/>
      <c r="L24" s="9"/>
      <c r="M24" s="9"/>
      <c r="N24" s="97"/>
      <c r="O24" s="9">
        <v>100</v>
      </c>
      <c r="P24" s="99">
        <f>E24+F24+G24+H24+I24+J24+K24+L24+O24+M24+N24</f>
        <v>446.53999999999996</v>
      </c>
      <c r="Q24" s="27">
        <f t="shared" si="1"/>
        <v>101.40000000000003</v>
      </c>
      <c r="R24" s="41">
        <f t="shared" si="2"/>
        <v>-1.4000000000000341</v>
      </c>
      <c r="S24" s="28"/>
    </row>
    <row r="25" spans="1:19" ht="15.75" customHeight="1" x14ac:dyDescent="0.35">
      <c r="A25" s="26">
        <v>45619</v>
      </c>
      <c r="B25" s="95"/>
      <c r="C25" s="9">
        <f t="shared" si="4"/>
        <v>1327.12</v>
      </c>
      <c r="D25" s="9">
        <v>1327.12</v>
      </c>
      <c r="E25" s="9">
        <v>947.82</v>
      </c>
      <c r="F25" s="9">
        <v>125.2</v>
      </c>
      <c r="G25" s="9"/>
      <c r="H25" s="9"/>
      <c r="I25" s="9"/>
      <c r="J25" s="9">
        <v>37.799999999999997</v>
      </c>
      <c r="K25" s="9"/>
      <c r="L25" s="9"/>
      <c r="M25" s="9"/>
      <c r="N25" s="97"/>
      <c r="O25" s="9">
        <v>220</v>
      </c>
      <c r="P25" s="99">
        <f t="shared" si="0"/>
        <v>1330.82</v>
      </c>
      <c r="Q25" s="27">
        <f>O25-R25</f>
        <v>216.29999999999995</v>
      </c>
      <c r="R25" s="41">
        <f t="shared" si="2"/>
        <v>3.7000000000000455</v>
      </c>
      <c r="S25" s="28"/>
    </row>
    <row r="26" spans="1:19" ht="15.75" customHeight="1" x14ac:dyDescent="0.35">
      <c r="A26" s="26">
        <v>45620</v>
      </c>
      <c r="B26" s="95"/>
      <c r="C26" s="9">
        <f t="shared" si="4"/>
        <v>520.83000000000004</v>
      </c>
      <c r="D26" s="9">
        <v>520.83000000000004</v>
      </c>
      <c r="E26" s="9">
        <v>306.52999999999997</v>
      </c>
      <c r="F26" s="9">
        <v>0</v>
      </c>
      <c r="G26" s="9"/>
      <c r="H26" s="9"/>
      <c r="I26" s="9"/>
      <c r="J26" s="9">
        <v>55.8</v>
      </c>
      <c r="K26" s="9"/>
      <c r="L26" s="9"/>
      <c r="M26" s="9"/>
      <c r="N26" s="97"/>
      <c r="O26" s="9">
        <v>160</v>
      </c>
      <c r="P26" s="99">
        <f>E26+F26+G26+H26+I26+J26+K26+L26+O26+M26+N26</f>
        <v>522.32999999999993</v>
      </c>
      <c r="Q26" s="27">
        <f>O26-R26</f>
        <v>158.50000000000011</v>
      </c>
      <c r="R26" s="41">
        <f>P26-C26-H26</f>
        <v>1.4999999999998863</v>
      </c>
      <c r="S26" s="28"/>
    </row>
    <row r="27" spans="1:19" ht="15.75" customHeight="1" x14ac:dyDescent="0.35">
      <c r="A27" s="26">
        <v>45621</v>
      </c>
      <c r="B27" s="95"/>
      <c r="C27" s="9">
        <f t="shared" si="4"/>
        <v>189.85</v>
      </c>
      <c r="D27" s="9">
        <v>189.85</v>
      </c>
      <c r="E27" s="9">
        <v>102.75</v>
      </c>
      <c r="F27" s="9">
        <v>33.1</v>
      </c>
      <c r="G27" s="9"/>
      <c r="H27" s="9"/>
      <c r="I27" s="9"/>
      <c r="J27" s="9"/>
      <c r="K27" s="9"/>
      <c r="L27" s="9"/>
      <c r="M27" s="9"/>
      <c r="N27" s="97"/>
      <c r="O27" s="9">
        <v>60</v>
      </c>
      <c r="P27" s="99">
        <f>E27+F27+G27+H27+I27+J27+K27+L27+O27+M27+N27</f>
        <v>195.85</v>
      </c>
      <c r="Q27" s="27">
        <f>O27-R27</f>
        <v>54</v>
      </c>
      <c r="R27" s="41">
        <f t="shared" si="2"/>
        <v>6</v>
      </c>
      <c r="S27" s="28"/>
    </row>
    <row r="28" spans="1:19" ht="15.75" customHeight="1" x14ac:dyDescent="0.35">
      <c r="A28" s="26">
        <v>45622</v>
      </c>
      <c r="B28" s="95"/>
      <c r="C28" s="9">
        <f t="shared" si="4"/>
        <v>184.94</v>
      </c>
      <c r="D28" s="9">
        <v>184.94</v>
      </c>
      <c r="E28" s="9">
        <v>123.14</v>
      </c>
      <c r="F28" s="9">
        <v>4.0999999999999996</v>
      </c>
      <c r="G28" s="9"/>
      <c r="H28" s="9"/>
      <c r="I28" s="9"/>
      <c r="J28" s="9">
        <v>18.899999999999999</v>
      </c>
      <c r="K28" s="9"/>
      <c r="L28" s="9"/>
      <c r="M28" s="9"/>
      <c r="N28" s="97"/>
      <c r="O28" s="9">
        <v>40</v>
      </c>
      <c r="P28" s="99">
        <f t="shared" si="0"/>
        <v>186.14</v>
      </c>
      <c r="Q28" s="27">
        <f t="shared" si="1"/>
        <v>38.800000000000011</v>
      </c>
      <c r="R28" s="41">
        <f t="shared" si="2"/>
        <v>1.1999999999999886</v>
      </c>
      <c r="S28" s="28"/>
    </row>
    <row r="29" spans="1:19" ht="15.75" customHeight="1" x14ac:dyDescent="0.35">
      <c r="A29" s="26">
        <v>45623</v>
      </c>
      <c r="B29" s="95"/>
      <c r="C29" s="9">
        <f t="shared" si="4"/>
        <v>432.06</v>
      </c>
      <c r="D29" s="9">
        <v>432.06</v>
      </c>
      <c r="E29" s="9">
        <v>229.26</v>
      </c>
      <c r="F29" s="9">
        <v>48.2</v>
      </c>
      <c r="G29" s="9"/>
      <c r="H29" s="9"/>
      <c r="I29" s="9"/>
      <c r="J29" s="9">
        <v>44.9</v>
      </c>
      <c r="K29" s="9"/>
      <c r="L29" s="9"/>
      <c r="M29" s="73">
        <v>74.7</v>
      </c>
      <c r="N29" s="97"/>
      <c r="O29" s="9">
        <v>40</v>
      </c>
      <c r="P29" s="99">
        <f t="shared" si="0"/>
        <v>437.05999999999995</v>
      </c>
      <c r="Q29" s="27">
        <f t="shared" si="1"/>
        <v>35.000000000000057</v>
      </c>
      <c r="R29" s="41">
        <f t="shared" si="2"/>
        <v>4.9999999999999432</v>
      </c>
      <c r="S29" s="28"/>
    </row>
    <row r="30" spans="1:19" ht="15.75" customHeight="1" x14ac:dyDescent="0.35">
      <c r="A30" s="26">
        <v>45624</v>
      </c>
      <c r="B30" s="95"/>
      <c r="C30" s="9">
        <f t="shared" si="4"/>
        <v>445.65</v>
      </c>
      <c r="D30" s="9">
        <v>445.65</v>
      </c>
      <c r="E30" s="9">
        <v>290.25</v>
      </c>
      <c r="F30" s="9">
        <v>4.0999999999999996</v>
      </c>
      <c r="G30" s="9"/>
      <c r="H30" s="9"/>
      <c r="I30" s="9"/>
      <c r="J30" s="9">
        <v>41.8</v>
      </c>
      <c r="K30" s="9"/>
      <c r="L30" s="9"/>
      <c r="M30" s="9"/>
      <c r="N30" s="97"/>
      <c r="O30" s="9">
        <v>90</v>
      </c>
      <c r="P30" s="99">
        <f t="shared" si="0"/>
        <v>426.15000000000003</v>
      </c>
      <c r="Q30" s="27">
        <f t="shared" si="1"/>
        <v>109.49999999999994</v>
      </c>
      <c r="R30" s="41">
        <f t="shared" si="2"/>
        <v>-19.499999999999943</v>
      </c>
      <c r="S30" s="28"/>
    </row>
    <row r="31" spans="1:19" ht="15.75" customHeight="1" x14ac:dyDescent="0.35">
      <c r="A31" s="26">
        <v>45625</v>
      </c>
      <c r="B31" s="95"/>
      <c r="C31" s="9">
        <f t="shared" si="4"/>
        <v>4851.0200000000004</v>
      </c>
      <c r="D31" s="9">
        <v>4851.0200000000004</v>
      </c>
      <c r="E31" s="9">
        <v>610.44000000000005</v>
      </c>
      <c r="F31" s="9">
        <v>85.7</v>
      </c>
      <c r="G31" s="9"/>
      <c r="H31" s="9"/>
      <c r="I31" s="9"/>
      <c r="J31" s="9">
        <v>124.5</v>
      </c>
      <c r="K31" s="9"/>
      <c r="L31" s="9"/>
      <c r="M31" s="73">
        <v>3913.98</v>
      </c>
      <c r="N31" s="97"/>
      <c r="O31" s="9">
        <v>120</v>
      </c>
      <c r="P31" s="99">
        <f t="shared" si="0"/>
        <v>4854.62</v>
      </c>
      <c r="Q31" s="27">
        <f t="shared" si="1"/>
        <v>116.40000000000055</v>
      </c>
      <c r="R31" s="41">
        <f t="shared" si="2"/>
        <v>3.5999999999994543</v>
      </c>
      <c r="S31" s="28"/>
    </row>
    <row r="32" spans="1:19" ht="15.75" customHeight="1" x14ac:dyDescent="0.35">
      <c r="A32" s="26">
        <v>45626</v>
      </c>
      <c r="B32" s="95"/>
      <c r="C32" s="9">
        <f t="shared" si="4"/>
        <v>946.99</v>
      </c>
      <c r="D32" s="9">
        <v>946.99</v>
      </c>
      <c r="E32" s="9">
        <v>682.19</v>
      </c>
      <c r="F32" s="9">
        <v>85.8</v>
      </c>
      <c r="G32" s="9"/>
      <c r="H32" s="9"/>
      <c r="I32" s="9"/>
      <c r="J32" s="9">
        <v>54.8</v>
      </c>
      <c r="K32" s="9"/>
      <c r="L32" s="9"/>
      <c r="M32" s="9"/>
      <c r="N32" s="97"/>
      <c r="O32" s="9">
        <v>120</v>
      </c>
      <c r="P32" s="99">
        <f t="shared" si="0"/>
        <v>942.79</v>
      </c>
      <c r="Q32" s="27">
        <f>O32-R32</f>
        <v>124.20000000000005</v>
      </c>
      <c r="R32" s="41">
        <f t="shared" si="2"/>
        <v>-4.2000000000000455</v>
      </c>
      <c r="S32" s="28"/>
    </row>
    <row r="33" spans="1:19" ht="15.75" customHeight="1" x14ac:dyDescent="0.35">
      <c r="A33" s="26"/>
      <c r="B33" s="96"/>
      <c r="C33" s="9">
        <f t="shared" si="4"/>
        <v>0</v>
      </c>
      <c r="D33" s="44"/>
      <c r="E33" s="44"/>
      <c r="F33" s="44"/>
      <c r="G33" s="9"/>
      <c r="H33" s="9"/>
      <c r="I33" s="9"/>
      <c r="J33" s="44"/>
      <c r="K33" s="9"/>
      <c r="L33" s="9"/>
      <c r="M33" s="9"/>
      <c r="N33" s="98"/>
      <c r="O33" s="44"/>
      <c r="P33" s="99">
        <f t="shared" si="0"/>
        <v>0</v>
      </c>
      <c r="Q33" s="27">
        <f t="shared" si="1"/>
        <v>0</v>
      </c>
      <c r="R33" s="41">
        <f t="shared" si="2"/>
        <v>0</v>
      </c>
      <c r="S33" s="28"/>
    </row>
    <row r="34" spans="1:19" ht="15.75" customHeight="1" x14ac:dyDescent="0.35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28908.090000000004</v>
      </c>
      <c r="Q34" s="72">
        <f>P34-R34</f>
        <v>28940.350000000002</v>
      </c>
      <c r="R34" s="49">
        <f>SUM(R3:R33)</f>
        <v>-32.260000000000161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2">
    <dataValidation type="list" allowBlank="1" showInputMessage="1" showErrorMessage="1" sqref="B3:B32" xr:uid="{0C8D11F1-CAF3-4115-A46D-AA5378BB7F69}">
      <formula1>"Matosinhos;TimeOut;Bolhão"</formula1>
    </dataValidation>
    <dataValidation type="list" allowBlank="1" showInputMessage="1" showErrorMessage="1" sqref="B33" xr:uid="{1F5181FB-F198-42A8-8AAD-12A09425E92F}">
      <formula1>"Matosinhos,Timeout,Bolhão"</formula1>
    </dataValidation>
  </dataValidations>
  <pageMargins left="0.75" right="0.75" top="1" bottom="1" header="0" footer="0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7B2-3DAC-449F-8B2F-1C1589DDD500}">
  <dimension ref="A2:S1001"/>
  <sheetViews>
    <sheetView workbookViewId="0">
      <pane ySplit="2" topLeftCell="A20" activePane="bottomLeft" state="frozen"/>
      <selection pane="bottomLeft" activeCell="N23" sqref="N23:N33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2" spans="1:19" ht="15.75" customHeight="1" x14ac:dyDescent="0.35">
      <c r="A2" s="22"/>
      <c r="B2" s="23" t="s">
        <v>2684</v>
      </c>
      <c r="C2" s="23" t="s">
        <v>2685</v>
      </c>
      <c r="D2" s="23" t="s">
        <v>2686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45566</v>
      </c>
      <c r="B3" s="95" t="s">
        <v>2688</v>
      </c>
      <c r="C3" s="9">
        <f>D3+N3</f>
        <v>366.94</v>
      </c>
      <c r="D3" s="9">
        <v>226.34</v>
      </c>
      <c r="E3" s="9">
        <v>76.599999999999994</v>
      </c>
      <c r="F3" s="9">
        <v>65.180000000000007</v>
      </c>
      <c r="G3" s="9"/>
      <c r="H3" s="9"/>
      <c r="I3" s="9">
        <v>36.9</v>
      </c>
      <c r="J3" s="9">
        <v>32.9</v>
      </c>
      <c r="K3" s="9"/>
      <c r="L3" s="9"/>
      <c r="M3" s="9"/>
      <c r="N3" s="97">
        <v>140.6</v>
      </c>
      <c r="O3" s="9">
        <v>20</v>
      </c>
      <c r="P3" s="99">
        <f t="shared" ref="P3:P14" si="0">E3+F3+G3+H3+I3+J3+K3+L3+O3+M3+N3</f>
        <v>372.18</v>
      </c>
      <c r="Q3" s="27">
        <f t="shared" ref="Q3:Q33" si="1">O3-R3</f>
        <v>14.759999999999991</v>
      </c>
      <c r="R3" s="70">
        <f t="shared" ref="R3:R14" si="2">P3-C3-H3</f>
        <v>5.2400000000000091</v>
      </c>
      <c r="S3" s="28"/>
    </row>
    <row r="4" spans="1:19" ht="15.75" customHeight="1" x14ac:dyDescent="0.35">
      <c r="A4" s="26">
        <v>45567</v>
      </c>
      <c r="B4" s="95" t="s">
        <v>119</v>
      </c>
      <c r="C4" s="9">
        <f>D4+N4</f>
        <v>723.76</v>
      </c>
      <c r="D4" s="9">
        <v>543.36</v>
      </c>
      <c r="E4" s="9">
        <v>266.62</v>
      </c>
      <c r="F4" s="9">
        <v>5.0999999999999996</v>
      </c>
      <c r="G4" s="9"/>
      <c r="H4" s="9"/>
      <c r="I4" s="9"/>
      <c r="J4" s="9"/>
      <c r="K4" s="9"/>
      <c r="L4" s="9"/>
      <c r="M4" s="73">
        <v>225.79</v>
      </c>
      <c r="N4" s="97">
        <v>180.4</v>
      </c>
      <c r="O4" s="9">
        <v>45</v>
      </c>
      <c r="P4" s="99">
        <f t="shared" si="0"/>
        <v>722.91</v>
      </c>
      <c r="Q4" s="27">
        <f t="shared" si="1"/>
        <v>45.850000000000023</v>
      </c>
      <c r="R4" s="70">
        <f t="shared" si="2"/>
        <v>-0.85000000000002274</v>
      </c>
      <c r="S4" s="28"/>
    </row>
    <row r="5" spans="1:19" ht="15.75" customHeight="1" x14ac:dyDescent="0.35">
      <c r="A5" s="26">
        <v>45568</v>
      </c>
      <c r="B5" s="95" t="s">
        <v>119</v>
      </c>
      <c r="C5" s="9">
        <f t="shared" ref="C5:C33" si="3">D5+N5</f>
        <v>1278.3399999999999</v>
      </c>
      <c r="D5" s="9">
        <v>1082.74</v>
      </c>
      <c r="E5" s="9">
        <v>244.42</v>
      </c>
      <c r="F5" s="9">
        <v>27.5</v>
      </c>
      <c r="G5" s="9"/>
      <c r="H5" s="9"/>
      <c r="I5" s="9"/>
      <c r="J5" s="9"/>
      <c r="K5" s="9"/>
      <c r="L5" s="9"/>
      <c r="M5" s="73">
        <v>796.52</v>
      </c>
      <c r="N5" s="97">
        <v>195.6</v>
      </c>
      <c r="O5" s="9">
        <v>10</v>
      </c>
      <c r="P5" s="99">
        <f t="shared" si="0"/>
        <v>1274.04</v>
      </c>
      <c r="Q5" s="27">
        <f t="shared" si="1"/>
        <v>14.299999999999955</v>
      </c>
      <c r="R5" s="41">
        <f t="shared" si="2"/>
        <v>-4.2999999999999545</v>
      </c>
      <c r="S5" s="28"/>
    </row>
    <row r="6" spans="1:19" ht="15.75" customHeight="1" x14ac:dyDescent="0.35">
      <c r="A6" s="26">
        <v>45569</v>
      </c>
      <c r="B6" s="95" t="s">
        <v>119</v>
      </c>
      <c r="C6" s="9">
        <f t="shared" si="3"/>
        <v>1368.69</v>
      </c>
      <c r="D6" s="9">
        <v>1020.09</v>
      </c>
      <c r="E6" s="9">
        <v>667.71</v>
      </c>
      <c r="F6" s="9">
        <v>58.4</v>
      </c>
      <c r="G6" s="9"/>
      <c r="H6" s="9"/>
      <c r="I6" s="9"/>
      <c r="J6" s="9">
        <v>70.7</v>
      </c>
      <c r="K6" s="9"/>
      <c r="L6" s="9"/>
      <c r="M6" s="73">
        <v>27.88</v>
      </c>
      <c r="N6" s="97">
        <v>348.6</v>
      </c>
      <c r="O6" s="9">
        <v>200</v>
      </c>
      <c r="P6" s="99">
        <f t="shared" si="0"/>
        <v>1373.29</v>
      </c>
      <c r="Q6" s="27">
        <f>O6-R6</f>
        <v>195.40000000000009</v>
      </c>
      <c r="R6" s="41">
        <f t="shared" si="2"/>
        <v>4.5999999999999091</v>
      </c>
      <c r="S6" s="28"/>
    </row>
    <row r="7" spans="1:19" ht="15.75" customHeight="1" x14ac:dyDescent="0.35">
      <c r="A7" s="26">
        <v>45570</v>
      </c>
      <c r="B7" s="95" t="s">
        <v>119</v>
      </c>
      <c r="C7" s="9">
        <f t="shared" si="3"/>
        <v>1113.0999999999999</v>
      </c>
      <c r="D7" s="9">
        <v>928.9</v>
      </c>
      <c r="E7" s="9">
        <v>612.29999999999995</v>
      </c>
      <c r="F7" s="83">
        <v>83.07</v>
      </c>
      <c r="G7" s="9"/>
      <c r="H7" s="9"/>
      <c r="I7" s="9"/>
      <c r="J7" s="9">
        <v>23.9</v>
      </c>
      <c r="K7" s="9"/>
      <c r="L7" s="9"/>
      <c r="M7" s="9"/>
      <c r="N7" s="97">
        <v>184.2</v>
      </c>
      <c r="O7" s="9">
        <v>210</v>
      </c>
      <c r="P7" s="99">
        <f t="shared" si="0"/>
        <v>1113.4699999999998</v>
      </c>
      <c r="Q7" s="27">
        <f t="shared" si="1"/>
        <v>209.63000000000011</v>
      </c>
      <c r="R7" s="41">
        <f t="shared" si="2"/>
        <v>0.36999999999989086</v>
      </c>
      <c r="S7" s="28"/>
    </row>
    <row r="8" spans="1:19" ht="15.75" customHeight="1" x14ac:dyDescent="0.35">
      <c r="A8" s="26">
        <v>45571</v>
      </c>
      <c r="B8" s="95" t="s">
        <v>119</v>
      </c>
      <c r="C8" s="9">
        <f t="shared" si="3"/>
        <v>756.98</v>
      </c>
      <c r="D8" s="9">
        <v>509.98</v>
      </c>
      <c r="E8" s="9">
        <v>314.85000000000002</v>
      </c>
      <c r="F8" s="9">
        <v>41</v>
      </c>
      <c r="G8" s="9"/>
      <c r="H8" s="9"/>
      <c r="I8" s="9"/>
      <c r="J8" s="9">
        <v>32.9</v>
      </c>
      <c r="K8" s="9"/>
      <c r="L8" s="9"/>
      <c r="M8" s="9"/>
      <c r="N8" s="97">
        <v>247</v>
      </c>
      <c r="O8" s="9">
        <v>120</v>
      </c>
      <c r="P8" s="99">
        <f t="shared" si="0"/>
        <v>755.75</v>
      </c>
      <c r="Q8" s="27">
        <f t="shared" si="1"/>
        <v>121.23000000000002</v>
      </c>
      <c r="R8" s="41">
        <f t="shared" si="2"/>
        <v>-1.2300000000000182</v>
      </c>
      <c r="S8" s="28"/>
    </row>
    <row r="9" spans="1:19" ht="15.75" customHeight="1" x14ac:dyDescent="0.35">
      <c r="A9" s="26">
        <v>45572</v>
      </c>
      <c r="B9" s="95"/>
      <c r="C9" s="9">
        <f t="shared" si="3"/>
        <v>888.87</v>
      </c>
      <c r="D9" s="9">
        <v>498.07</v>
      </c>
      <c r="E9" s="9">
        <v>419.47</v>
      </c>
      <c r="F9" s="9">
        <v>4.08</v>
      </c>
      <c r="G9" s="9"/>
      <c r="H9" s="9"/>
      <c r="I9" s="9"/>
      <c r="J9" s="9"/>
      <c r="K9" s="9"/>
      <c r="L9" s="9"/>
      <c r="M9" s="9"/>
      <c r="N9" s="97">
        <v>390.8</v>
      </c>
      <c r="O9" s="9">
        <v>75</v>
      </c>
      <c r="P9" s="99">
        <f t="shared" si="0"/>
        <v>889.35</v>
      </c>
      <c r="Q9" s="27">
        <f t="shared" si="1"/>
        <v>74.519999999999982</v>
      </c>
      <c r="R9" s="41">
        <f t="shared" si="2"/>
        <v>0.48000000000001819</v>
      </c>
      <c r="S9" s="28"/>
    </row>
    <row r="10" spans="1:19" ht="15.75" customHeight="1" x14ac:dyDescent="0.35">
      <c r="A10" s="26">
        <v>45573</v>
      </c>
      <c r="B10" s="95"/>
      <c r="C10" s="9">
        <f t="shared" si="3"/>
        <v>282.52</v>
      </c>
      <c r="D10" s="9">
        <v>178.92</v>
      </c>
      <c r="E10" s="9">
        <v>109.32</v>
      </c>
      <c r="F10" s="9">
        <v>0</v>
      </c>
      <c r="G10" s="9"/>
      <c r="H10" s="9"/>
      <c r="I10" s="9"/>
      <c r="J10" s="9">
        <v>51.8</v>
      </c>
      <c r="K10" s="9"/>
      <c r="L10" s="9"/>
      <c r="M10" s="9"/>
      <c r="N10" s="97">
        <v>103.6</v>
      </c>
      <c r="O10" s="9">
        <v>20</v>
      </c>
      <c r="P10" s="99">
        <f t="shared" si="0"/>
        <v>284.72000000000003</v>
      </c>
      <c r="Q10" s="27">
        <f t="shared" si="1"/>
        <v>17.799999999999955</v>
      </c>
      <c r="R10" s="41">
        <f t="shared" si="2"/>
        <v>2.2000000000000455</v>
      </c>
      <c r="S10" s="28"/>
    </row>
    <row r="11" spans="1:19" ht="15.75" customHeight="1" x14ac:dyDescent="0.35">
      <c r="A11" s="26">
        <v>45574</v>
      </c>
      <c r="B11" s="95"/>
      <c r="C11" s="9">
        <f t="shared" si="3"/>
        <v>612.77</v>
      </c>
      <c r="D11" s="9">
        <v>451.97</v>
      </c>
      <c r="E11" s="9">
        <v>229.57</v>
      </c>
      <c r="F11" s="9">
        <v>15.4</v>
      </c>
      <c r="G11" s="9"/>
      <c r="H11" s="9"/>
      <c r="I11" s="9"/>
      <c r="J11" s="9">
        <v>37.799999999999997</v>
      </c>
      <c r="K11" s="9"/>
      <c r="L11" s="9"/>
      <c r="M11" s="73">
        <v>121.1</v>
      </c>
      <c r="N11" s="97">
        <v>160.80000000000001</v>
      </c>
      <c r="O11" s="9">
        <v>50</v>
      </c>
      <c r="P11" s="99">
        <f t="shared" si="0"/>
        <v>614.67000000000007</v>
      </c>
      <c r="Q11" s="27">
        <f t="shared" si="1"/>
        <v>48.099999999999909</v>
      </c>
      <c r="R11" s="41">
        <f t="shared" si="2"/>
        <v>1.9000000000000909</v>
      </c>
      <c r="S11" s="28"/>
    </row>
    <row r="12" spans="1:19" ht="15.75" customHeight="1" x14ac:dyDescent="0.35">
      <c r="A12" s="26">
        <v>45575</v>
      </c>
      <c r="B12" s="95"/>
      <c r="C12" s="9">
        <f t="shared" si="3"/>
        <v>777.57999999999993</v>
      </c>
      <c r="D12" s="9">
        <v>544.78</v>
      </c>
      <c r="E12" s="9">
        <v>413.88</v>
      </c>
      <c r="F12" s="9">
        <v>36.5</v>
      </c>
      <c r="G12" s="9"/>
      <c r="H12" s="9"/>
      <c r="I12" s="9"/>
      <c r="J12" s="9">
        <v>65.8</v>
      </c>
      <c r="K12" s="9"/>
      <c r="L12" s="9"/>
      <c r="M12" s="9"/>
      <c r="N12" s="97">
        <v>232.8</v>
      </c>
      <c r="O12" s="9">
        <v>30</v>
      </c>
      <c r="P12" s="99">
        <f t="shared" si="0"/>
        <v>778.98</v>
      </c>
      <c r="Q12" s="27">
        <f t="shared" si="1"/>
        <v>28.599999999999909</v>
      </c>
      <c r="R12" s="41">
        <f t="shared" si="2"/>
        <v>1.4000000000000909</v>
      </c>
      <c r="S12" s="28"/>
    </row>
    <row r="13" spans="1:19" ht="15.75" customHeight="1" x14ac:dyDescent="0.35">
      <c r="A13" s="26">
        <v>45576</v>
      </c>
      <c r="B13" s="95"/>
      <c r="C13" s="9">
        <f t="shared" si="3"/>
        <v>956.44</v>
      </c>
      <c r="D13" s="9">
        <v>822.84</v>
      </c>
      <c r="E13" s="9">
        <v>477.16</v>
      </c>
      <c r="F13" s="9">
        <v>77.5</v>
      </c>
      <c r="G13" s="9"/>
      <c r="H13" s="9"/>
      <c r="I13" s="9"/>
      <c r="J13" s="9">
        <v>51.8</v>
      </c>
      <c r="K13" s="9"/>
      <c r="L13" s="9"/>
      <c r="M13" s="73">
        <v>92.68</v>
      </c>
      <c r="N13" s="97">
        <v>133.6</v>
      </c>
      <c r="O13" s="9">
        <v>130</v>
      </c>
      <c r="P13" s="99">
        <f t="shared" si="0"/>
        <v>962.74000000000012</v>
      </c>
      <c r="Q13" s="27">
        <f t="shared" si="1"/>
        <v>123.69999999999993</v>
      </c>
      <c r="R13" s="41">
        <f t="shared" si="2"/>
        <v>6.3000000000000682</v>
      </c>
      <c r="S13" s="28"/>
    </row>
    <row r="14" spans="1:19" ht="15.75" customHeight="1" x14ac:dyDescent="0.35">
      <c r="A14" s="26">
        <v>45577</v>
      </c>
      <c r="B14" s="95"/>
      <c r="C14" s="9">
        <f t="shared" si="3"/>
        <v>2778.79</v>
      </c>
      <c r="D14" s="9">
        <v>2078.59</v>
      </c>
      <c r="E14" s="9">
        <v>1249.72</v>
      </c>
      <c r="F14" s="9">
        <v>219.4</v>
      </c>
      <c r="G14" s="9"/>
      <c r="H14" s="9"/>
      <c r="I14" s="9">
        <v>73.8</v>
      </c>
      <c r="J14" s="9">
        <v>195.3</v>
      </c>
      <c r="K14" s="9"/>
      <c r="L14" s="9"/>
      <c r="M14" s="9"/>
      <c r="N14" s="97">
        <v>700.2</v>
      </c>
      <c r="O14" s="9">
        <v>340</v>
      </c>
      <c r="P14" s="99">
        <f t="shared" si="0"/>
        <v>2778.42</v>
      </c>
      <c r="Q14" s="27">
        <f t="shared" si="1"/>
        <v>340.36999999999989</v>
      </c>
      <c r="R14" s="41">
        <f t="shared" si="2"/>
        <v>-0.36999999999989086</v>
      </c>
      <c r="S14" s="28"/>
    </row>
    <row r="15" spans="1:19" ht="15.75" customHeight="1" x14ac:dyDescent="0.35">
      <c r="A15" s="26">
        <v>45578</v>
      </c>
      <c r="B15" s="95"/>
      <c r="C15" s="9">
        <f t="shared" si="3"/>
        <v>3144.3100000000004</v>
      </c>
      <c r="D15" s="9">
        <v>2294.11</v>
      </c>
      <c r="E15" s="9">
        <v>1535.41</v>
      </c>
      <c r="F15" s="9">
        <v>244</v>
      </c>
      <c r="G15" s="9"/>
      <c r="H15" s="9"/>
      <c r="I15" s="9"/>
      <c r="J15" s="9">
        <v>117.6</v>
      </c>
      <c r="K15" s="9"/>
      <c r="L15" s="9"/>
      <c r="M15" s="9"/>
      <c r="N15" s="97">
        <v>850.2</v>
      </c>
      <c r="O15" s="9">
        <v>400</v>
      </c>
      <c r="P15" s="99">
        <f t="shared" ref="P15:P33" si="4">E15+F15+G15+H15+I15+J15+K15+L15+O15+M15+N15</f>
        <v>3147.21</v>
      </c>
      <c r="Q15" s="27">
        <f t="shared" si="1"/>
        <v>397.10000000000036</v>
      </c>
      <c r="R15" s="41">
        <f t="shared" ref="R15:R33" si="5">P15-C15-H15</f>
        <v>2.8999999999996362</v>
      </c>
      <c r="S15" s="28"/>
    </row>
    <row r="16" spans="1:19" ht="15.75" customHeight="1" x14ac:dyDescent="0.35">
      <c r="A16" s="26">
        <v>45579</v>
      </c>
      <c r="B16" s="95"/>
      <c r="C16" s="9">
        <f t="shared" si="3"/>
        <v>725.74</v>
      </c>
      <c r="D16" s="9">
        <v>554.58000000000004</v>
      </c>
      <c r="E16" s="9">
        <v>352.31</v>
      </c>
      <c r="F16" s="9">
        <v>3.09</v>
      </c>
      <c r="G16" s="9"/>
      <c r="H16" s="9"/>
      <c r="I16" s="9"/>
      <c r="J16" s="9"/>
      <c r="K16" s="9"/>
      <c r="L16" s="9"/>
      <c r="M16" s="73">
        <v>54.67</v>
      </c>
      <c r="N16" s="97">
        <v>171.16</v>
      </c>
      <c r="O16" s="9">
        <v>150</v>
      </c>
      <c r="P16" s="99">
        <f t="shared" si="4"/>
        <v>731.2299999999999</v>
      </c>
      <c r="Q16" s="27">
        <f t="shared" si="1"/>
        <v>144.5100000000001</v>
      </c>
      <c r="R16" s="41">
        <f t="shared" si="5"/>
        <v>5.4899999999998954</v>
      </c>
      <c r="S16" s="28"/>
    </row>
    <row r="17" spans="1:19" ht="15.75" customHeight="1" x14ac:dyDescent="0.35">
      <c r="A17" s="26">
        <v>45580</v>
      </c>
      <c r="B17" s="95"/>
      <c r="C17" s="9">
        <f t="shared" si="3"/>
        <v>532.35</v>
      </c>
      <c r="D17" s="9">
        <v>354.55</v>
      </c>
      <c r="E17" s="9">
        <v>172.07</v>
      </c>
      <c r="F17" s="9">
        <v>55.63</v>
      </c>
      <c r="G17" s="9"/>
      <c r="H17" s="9"/>
      <c r="I17" s="9"/>
      <c r="J17" s="9"/>
      <c r="K17" s="9"/>
      <c r="L17" s="9"/>
      <c r="M17" s="73">
        <v>14.75</v>
      </c>
      <c r="N17" s="97">
        <v>177.8</v>
      </c>
      <c r="O17" s="9">
        <v>120</v>
      </c>
      <c r="P17" s="99">
        <f t="shared" si="4"/>
        <v>540.25</v>
      </c>
      <c r="Q17" s="27">
        <f t="shared" si="1"/>
        <v>112.10000000000002</v>
      </c>
      <c r="R17" s="41">
        <f t="shared" si="5"/>
        <v>7.8999999999999773</v>
      </c>
      <c r="S17" s="28"/>
    </row>
    <row r="18" spans="1:19" ht="15.75" customHeight="1" x14ac:dyDescent="0.35">
      <c r="A18" s="26">
        <v>45581</v>
      </c>
      <c r="B18" s="95"/>
      <c r="C18" s="9">
        <f t="shared" si="3"/>
        <v>406.65999999999997</v>
      </c>
      <c r="D18" s="9">
        <v>283.26</v>
      </c>
      <c r="E18" s="9">
        <v>173.63</v>
      </c>
      <c r="F18" s="9">
        <v>67.75</v>
      </c>
      <c r="G18" s="9"/>
      <c r="H18" s="9"/>
      <c r="I18" s="9"/>
      <c r="J18" s="9"/>
      <c r="K18" s="9"/>
      <c r="L18" s="9"/>
      <c r="M18" s="9"/>
      <c r="N18" s="97">
        <v>123.4</v>
      </c>
      <c r="O18" s="9">
        <v>50</v>
      </c>
      <c r="P18" s="99">
        <f t="shared" si="4"/>
        <v>414.78</v>
      </c>
      <c r="Q18" s="27">
        <f t="shared" si="1"/>
        <v>41.879999999999995</v>
      </c>
      <c r="R18" s="41">
        <f t="shared" si="5"/>
        <v>8.1200000000000045</v>
      </c>
      <c r="S18" s="28"/>
    </row>
    <row r="19" spans="1:19" ht="15.75" customHeight="1" x14ac:dyDescent="0.35">
      <c r="A19" s="26">
        <v>45582</v>
      </c>
      <c r="B19" s="95"/>
      <c r="C19" s="9">
        <f t="shared" si="3"/>
        <v>571.64</v>
      </c>
      <c r="D19" s="9">
        <v>428.44</v>
      </c>
      <c r="E19" s="9">
        <v>236</v>
      </c>
      <c r="F19" s="9">
        <v>18.600000000000001</v>
      </c>
      <c r="G19" s="9"/>
      <c r="H19" s="9"/>
      <c r="I19" s="9"/>
      <c r="J19" s="9"/>
      <c r="K19" s="9"/>
      <c r="L19" s="9"/>
      <c r="M19" s="73">
        <v>106.84</v>
      </c>
      <c r="N19" s="97">
        <v>143.19999999999999</v>
      </c>
      <c r="O19" s="9">
        <v>70</v>
      </c>
      <c r="P19" s="99">
        <f t="shared" si="4"/>
        <v>574.6400000000001</v>
      </c>
      <c r="Q19" s="27">
        <f t="shared" si="1"/>
        <v>66.999999999999886</v>
      </c>
      <c r="R19" s="41">
        <f t="shared" si="5"/>
        <v>3.0000000000001137</v>
      </c>
      <c r="S19" s="28"/>
    </row>
    <row r="20" spans="1:19" ht="15.75" customHeight="1" x14ac:dyDescent="0.35">
      <c r="A20" s="26">
        <v>45583</v>
      </c>
      <c r="B20" s="95"/>
      <c r="C20" s="9">
        <f t="shared" si="3"/>
        <v>1130.45</v>
      </c>
      <c r="D20" s="9">
        <v>897.65</v>
      </c>
      <c r="E20" s="9">
        <v>434.07</v>
      </c>
      <c r="F20" s="9">
        <v>41.1</v>
      </c>
      <c r="G20" s="9"/>
      <c r="H20" s="9"/>
      <c r="I20" s="9"/>
      <c r="J20" s="9">
        <v>86.8</v>
      </c>
      <c r="K20" s="9"/>
      <c r="L20" s="9"/>
      <c r="M20" s="73">
        <v>173.88</v>
      </c>
      <c r="N20" s="97">
        <v>232.8</v>
      </c>
      <c r="O20" s="9">
        <v>160</v>
      </c>
      <c r="P20" s="99">
        <f t="shared" si="4"/>
        <v>1128.6500000000001</v>
      </c>
      <c r="Q20" s="27">
        <f t="shared" si="1"/>
        <v>161.79999999999995</v>
      </c>
      <c r="R20" s="41">
        <f t="shared" si="5"/>
        <v>-1.7999999999999545</v>
      </c>
      <c r="S20" s="28"/>
    </row>
    <row r="21" spans="1:19" ht="15.75" customHeight="1" x14ac:dyDescent="0.35">
      <c r="A21" s="26">
        <v>45584</v>
      </c>
      <c r="B21" s="95"/>
      <c r="C21" s="9">
        <f t="shared" si="3"/>
        <v>1242.8400000000001</v>
      </c>
      <c r="D21" s="9">
        <v>981.24</v>
      </c>
      <c r="E21" s="9">
        <v>566.24</v>
      </c>
      <c r="F21" s="9">
        <v>92.02</v>
      </c>
      <c r="G21" s="9"/>
      <c r="H21" s="9"/>
      <c r="I21" s="9">
        <v>18.899999999999999</v>
      </c>
      <c r="J21" s="9">
        <v>132.69999999999999</v>
      </c>
      <c r="K21" s="9"/>
      <c r="L21" s="9"/>
      <c r="M21" s="9"/>
      <c r="N21" s="97">
        <v>261.60000000000002</v>
      </c>
      <c r="O21" s="9">
        <v>170</v>
      </c>
      <c r="P21" s="99">
        <f t="shared" si="4"/>
        <v>1241.46</v>
      </c>
      <c r="Q21" s="27">
        <f>O21-R21</f>
        <v>171.38000000000011</v>
      </c>
      <c r="R21" s="41">
        <f>P21-C21-H21</f>
        <v>-1.3800000000001091</v>
      </c>
      <c r="S21" s="28"/>
    </row>
    <row r="22" spans="1:19" ht="15.75" customHeight="1" x14ac:dyDescent="0.35">
      <c r="A22" s="26">
        <v>45585</v>
      </c>
      <c r="B22" s="95"/>
      <c r="C22" s="9">
        <f t="shared" si="3"/>
        <v>1772.33</v>
      </c>
      <c r="D22" s="9">
        <v>1243.93</v>
      </c>
      <c r="E22" s="9">
        <v>786.74</v>
      </c>
      <c r="F22" s="9">
        <v>108.09</v>
      </c>
      <c r="G22" s="9"/>
      <c r="H22" s="9"/>
      <c r="I22" s="9"/>
      <c r="J22" s="9">
        <v>136.6</v>
      </c>
      <c r="K22" s="9"/>
      <c r="L22" s="9"/>
      <c r="M22" s="9"/>
      <c r="N22" s="97">
        <v>528.4</v>
      </c>
      <c r="O22" s="9">
        <v>210</v>
      </c>
      <c r="P22" s="99">
        <f t="shared" si="4"/>
        <v>1769.83</v>
      </c>
      <c r="Q22" s="27">
        <f t="shared" si="1"/>
        <v>212.5</v>
      </c>
      <c r="R22" s="41">
        <f t="shared" si="5"/>
        <v>-2.5</v>
      </c>
      <c r="S22" s="28"/>
    </row>
    <row r="23" spans="1:19" ht="15.75" customHeight="1" x14ac:dyDescent="0.35">
      <c r="A23" s="26">
        <v>45586</v>
      </c>
      <c r="B23" s="95"/>
      <c r="C23" s="9">
        <f t="shared" si="3"/>
        <v>796</v>
      </c>
      <c r="D23" s="9">
        <v>483</v>
      </c>
      <c r="E23" s="9">
        <v>313.77</v>
      </c>
      <c r="F23" s="9">
        <v>33.4</v>
      </c>
      <c r="G23" s="9"/>
      <c r="H23" s="9"/>
      <c r="I23" s="9">
        <v>18.899999999999999</v>
      </c>
      <c r="J23" s="9">
        <v>32.9</v>
      </c>
      <c r="K23" s="9"/>
      <c r="L23" s="9"/>
      <c r="M23" s="9"/>
      <c r="N23" s="97">
        <v>313</v>
      </c>
      <c r="O23" s="9">
        <v>85</v>
      </c>
      <c r="P23" s="99">
        <f t="shared" si="4"/>
        <v>796.96999999999991</v>
      </c>
      <c r="Q23" s="27">
        <f t="shared" si="1"/>
        <v>84.030000000000086</v>
      </c>
      <c r="R23" s="41">
        <f t="shared" si="5"/>
        <v>0.9699999999999136</v>
      </c>
      <c r="S23" s="28"/>
    </row>
    <row r="24" spans="1:19" ht="15.75" customHeight="1" x14ac:dyDescent="0.35">
      <c r="A24" s="26">
        <v>45587</v>
      </c>
      <c r="B24" s="95"/>
      <c r="C24" s="9">
        <f t="shared" si="3"/>
        <v>1317.8</v>
      </c>
      <c r="D24" s="9">
        <v>879.6</v>
      </c>
      <c r="E24" s="9">
        <v>577.29999999999995</v>
      </c>
      <c r="F24" s="9">
        <v>37</v>
      </c>
      <c r="G24" s="9"/>
      <c r="H24" s="9"/>
      <c r="I24" s="9">
        <v>32.9</v>
      </c>
      <c r="J24" s="9"/>
      <c r="K24" s="9"/>
      <c r="L24" s="9"/>
      <c r="M24" s="9"/>
      <c r="N24" s="97">
        <v>438.2</v>
      </c>
      <c r="O24" s="9">
        <v>230</v>
      </c>
      <c r="P24" s="99">
        <f>E24+F24+G24+H24+I24+J24+K24+L24+O24+M24+N24</f>
        <v>1315.3999999999999</v>
      </c>
      <c r="Q24" s="27">
        <f t="shared" si="1"/>
        <v>232.40000000000009</v>
      </c>
      <c r="R24" s="41">
        <f t="shared" si="5"/>
        <v>-2.4000000000000909</v>
      </c>
      <c r="S24" s="28"/>
    </row>
    <row r="25" spans="1:19" ht="15.75" customHeight="1" x14ac:dyDescent="0.35">
      <c r="A25" s="26">
        <v>45588</v>
      </c>
      <c r="B25" s="95"/>
      <c r="C25" s="9">
        <f t="shared" si="3"/>
        <v>1462.5</v>
      </c>
      <c r="D25" s="9">
        <v>1234.0999999999999</v>
      </c>
      <c r="E25" s="9">
        <v>751.7</v>
      </c>
      <c r="F25" s="9">
        <v>95.8</v>
      </c>
      <c r="G25" s="9"/>
      <c r="H25" s="9"/>
      <c r="I25" s="9"/>
      <c r="J25" s="9">
        <v>18.899999999999999</v>
      </c>
      <c r="K25" s="9"/>
      <c r="L25" s="9"/>
      <c r="M25" s="73">
        <v>195.8</v>
      </c>
      <c r="N25" s="97">
        <v>228.4</v>
      </c>
      <c r="O25" s="9">
        <v>165</v>
      </c>
      <c r="P25" s="99">
        <f t="shared" si="4"/>
        <v>1455.6000000000001</v>
      </c>
      <c r="Q25" s="27">
        <f>O25-R25</f>
        <v>171.89999999999986</v>
      </c>
      <c r="R25" s="41">
        <f t="shared" si="5"/>
        <v>-6.8999999999998636</v>
      </c>
      <c r="S25" s="28"/>
    </row>
    <row r="26" spans="1:19" ht="15.75" customHeight="1" x14ac:dyDescent="0.35">
      <c r="A26" s="26">
        <v>45589</v>
      </c>
      <c r="B26" s="95"/>
      <c r="C26" s="9">
        <f t="shared" si="3"/>
        <v>413.3</v>
      </c>
      <c r="D26" s="9">
        <v>207.5</v>
      </c>
      <c r="E26" s="9">
        <v>128.69999999999999</v>
      </c>
      <c r="F26" s="9"/>
      <c r="G26" s="9"/>
      <c r="H26" s="9"/>
      <c r="I26" s="9"/>
      <c r="J26" s="9">
        <v>24.9</v>
      </c>
      <c r="K26" s="9"/>
      <c r="L26" s="9"/>
      <c r="M26" s="9"/>
      <c r="N26" s="97">
        <v>205.8</v>
      </c>
      <c r="O26" s="9">
        <v>55</v>
      </c>
      <c r="P26" s="99">
        <f>E26+F26+G26+H26+I26+J26+K26+L26+O26+M26+N26</f>
        <v>414.4</v>
      </c>
      <c r="Q26" s="27">
        <f>O26-R26</f>
        <v>53.900000000000034</v>
      </c>
      <c r="R26" s="41">
        <f>P26-C26-H26</f>
        <v>1.0999999999999659</v>
      </c>
      <c r="S26" s="28"/>
    </row>
    <row r="27" spans="1:19" ht="15.75" customHeight="1" x14ac:dyDescent="0.35">
      <c r="A27" s="26">
        <v>45590</v>
      </c>
      <c r="B27" s="95"/>
      <c r="C27" s="9">
        <f t="shared" si="3"/>
        <v>868.31</v>
      </c>
      <c r="D27" s="9">
        <v>683.31</v>
      </c>
      <c r="E27" s="9">
        <v>405.43</v>
      </c>
      <c r="F27" s="9">
        <v>45.31</v>
      </c>
      <c r="G27" s="9"/>
      <c r="H27" s="9"/>
      <c r="I27" s="9"/>
      <c r="J27" s="9"/>
      <c r="K27" s="9"/>
      <c r="L27" s="9"/>
      <c r="M27" s="73">
        <v>151.38</v>
      </c>
      <c r="N27" s="97">
        <v>185</v>
      </c>
      <c r="O27" s="9">
        <v>85</v>
      </c>
      <c r="P27" s="99">
        <f>E27+F27+G27+H27+I27+J27+K27+L27+O27+M27+N27</f>
        <v>872.12</v>
      </c>
      <c r="Q27" s="27">
        <f>O27-R27</f>
        <v>81.189999999999941</v>
      </c>
      <c r="R27" s="41">
        <f t="shared" si="5"/>
        <v>3.8100000000000591</v>
      </c>
      <c r="S27" s="28"/>
    </row>
    <row r="28" spans="1:19" ht="15.75" customHeight="1" x14ac:dyDescent="0.35">
      <c r="A28" s="26">
        <v>45591</v>
      </c>
      <c r="B28" s="95"/>
      <c r="C28" s="9">
        <f t="shared" si="3"/>
        <v>1131.3</v>
      </c>
      <c r="D28" s="9">
        <v>948.3</v>
      </c>
      <c r="E28" s="9">
        <v>721.5</v>
      </c>
      <c r="F28" s="9">
        <v>41.3</v>
      </c>
      <c r="G28" s="9"/>
      <c r="H28" s="9"/>
      <c r="I28" s="9"/>
      <c r="J28" s="9">
        <v>71.7</v>
      </c>
      <c r="K28" s="9"/>
      <c r="L28" s="9"/>
      <c r="M28" s="9"/>
      <c r="N28" s="97">
        <v>183</v>
      </c>
      <c r="O28" s="9">
        <v>110</v>
      </c>
      <c r="P28" s="99">
        <f t="shared" si="4"/>
        <v>1127.5</v>
      </c>
      <c r="Q28" s="27">
        <f t="shared" si="1"/>
        <v>113.79999999999995</v>
      </c>
      <c r="R28" s="41">
        <f t="shared" si="5"/>
        <v>-3.7999999999999545</v>
      </c>
      <c r="S28" s="28"/>
    </row>
    <row r="29" spans="1:19" ht="15.75" customHeight="1" x14ac:dyDescent="0.35">
      <c r="A29" s="26">
        <v>45592</v>
      </c>
      <c r="B29" s="95"/>
      <c r="C29" s="9">
        <f t="shared" si="3"/>
        <v>1929</v>
      </c>
      <c r="D29" s="9">
        <v>1508.8</v>
      </c>
      <c r="E29" s="9">
        <v>1015.79</v>
      </c>
      <c r="F29" s="9">
        <v>121.51</v>
      </c>
      <c r="G29" s="9"/>
      <c r="H29" s="9"/>
      <c r="I29" s="9"/>
      <c r="J29" s="9">
        <v>65.8</v>
      </c>
      <c r="K29" s="9"/>
      <c r="L29" s="9"/>
      <c r="M29" s="9"/>
      <c r="N29" s="97">
        <v>420.2</v>
      </c>
      <c r="O29" s="9">
        <v>300</v>
      </c>
      <c r="P29" s="99">
        <f t="shared" si="4"/>
        <v>1923.3</v>
      </c>
      <c r="Q29" s="27">
        <f t="shared" si="1"/>
        <v>305.70000000000005</v>
      </c>
      <c r="R29" s="41">
        <f t="shared" si="5"/>
        <v>-5.7000000000000455</v>
      </c>
      <c r="S29" s="28"/>
    </row>
    <row r="30" spans="1:19" ht="15.75" customHeight="1" x14ac:dyDescent="0.35">
      <c r="A30" s="26">
        <v>45593</v>
      </c>
      <c r="B30" s="95"/>
      <c r="C30" s="9">
        <f t="shared" si="3"/>
        <v>753.83999999999992</v>
      </c>
      <c r="D30" s="9">
        <v>514.64</v>
      </c>
      <c r="E30" s="9">
        <v>427.24</v>
      </c>
      <c r="F30" s="9">
        <v>28.1</v>
      </c>
      <c r="G30" s="9"/>
      <c r="H30" s="9"/>
      <c r="I30" s="9"/>
      <c r="J30" s="9"/>
      <c r="K30" s="9"/>
      <c r="L30" s="9"/>
      <c r="M30" s="9"/>
      <c r="N30" s="97">
        <v>239.2</v>
      </c>
      <c r="O30" s="9">
        <v>60</v>
      </c>
      <c r="P30" s="99">
        <f t="shared" si="4"/>
        <v>754.54</v>
      </c>
      <c r="Q30" s="27">
        <f t="shared" si="1"/>
        <v>59.299999999999955</v>
      </c>
      <c r="R30" s="41">
        <f t="shared" si="5"/>
        <v>0.70000000000004547</v>
      </c>
      <c r="S30" s="28"/>
    </row>
    <row r="31" spans="1:19" ht="15.75" customHeight="1" x14ac:dyDescent="0.35">
      <c r="A31" s="26">
        <v>45594</v>
      </c>
      <c r="B31" s="95"/>
      <c r="C31" s="9">
        <f t="shared" si="3"/>
        <v>812</v>
      </c>
      <c r="D31" s="9">
        <v>567.79999999999995</v>
      </c>
      <c r="E31" s="9">
        <v>340.7</v>
      </c>
      <c r="F31" s="9">
        <v>89.23</v>
      </c>
      <c r="G31" s="9"/>
      <c r="H31" s="9"/>
      <c r="I31" s="9"/>
      <c r="J31" s="9">
        <v>32.9</v>
      </c>
      <c r="K31" s="9"/>
      <c r="L31" s="9"/>
      <c r="M31" s="9"/>
      <c r="N31" s="97">
        <v>244.2</v>
      </c>
      <c r="O31" s="9">
        <v>110</v>
      </c>
      <c r="P31" s="99">
        <f t="shared" si="4"/>
        <v>817.03</v>
      </c>
      <c r="Q31" s="27">
        <f t="shared" si="1"/>
        <v>104.97000000000003</v>
      </c>
      <c r="R31" s="41">
        <f t="shared" si="5"/>
        <v>5.0299999999999727</v>
      </c>
      <c r="S31" s="28"/>
    </row>
    <row r="32" spans="1:19" ht="15.75" customHeight="1" x14ac:dyDescent="0.35">
      <c r="A32" s="26">
        <v>45595</v>
      </c>
      <c r="B32" s="95"/>
      <c r="C32" s="9">
        <f t="shared" si="3"/>
        <v>718.29</v>
      </c>
      <c r="D32" s="9">
        <v>497.89</v>
      </c>
      <c r="E32" s="9">
        <v>367.94</v>
      </c>
      <c r="F32" s="9">
        <v>28.5</v>
      </c>
      <c r="G32" s="9"/>
      <c r="H32" s="9"/>
      <c r="I32" s="9"/>
      <c r="J32" s="9"/>
      <c r="K32" s="9"/>
      <c r="L32" s="9"/>
      <c r="M32" s="9"/>
      <c r="N32" s="97">
        <v>220.4</v>
      </c>
      <c r="O32" s="9">
        <v>90</v>
      </c>
      <c r="P32" s="99">
        <f t="shared" si="4"/>
        <v>706.84</v>
      </c>
      <c r="Q32" s="27">
        <f t="shared" si="1"/>
        <v>101.44999999999993</v>
      </c>
      <c r="R32" s="41">
        <f t="shared" si="5"/>
        <v>-11.449999999999932</v>
      </c>
      <c r="S32" s="28"/>
    </row>
    <row r="33" spans="1:19" ht="15.75" customHeight="1" x14ac:dyDescent="0.35">
      <c r="A33" s="26">
        <v>45596</v>
      </c>
      <c r="B33" s="96"/>
      <c r="C33" s="9">
        <f t="shared" si="3"/>
        <v>671.37000000000012</v>
      </c>
      <c r="D33" s="44">
        <v>525.57000000000005</v>
      </c>
      <c r="E33" s="44">
        <v>224.2</v>
      </c>
      <c r="F33" s="44">
        <v>97.62</v>
      </c>
      <c r="G33" s="9"/>
      <c r="H33" s="9"/>
      <c r="I33" s="9"/>
      <c r="J33" s="44">
        <v>32.9</v>
      </c>
      <c r="K33" s="9"/>
      <c r="L33" s="9"/>
      <c r="M33" s="94">
        <v>131.75</v>
      </c>
      <c r="N33" s="98">
        <v>145.80000000000001</v>
      </c>
      <c r="O33" s="44">
        <v>40</v>
      </c>
      <c r="P33" s="99">
        <f t="shared" si="4"/>
        <v>672.27</v>
      </c>
      <c r="Q33" s="27">
        <f t="shared" si="1"/>
        <v>39.100000000000136</v>
      </c>
      <c r="R33" s="41">
        <f t="shared" si="5"/>
        <v>0.89999999999986358</v>
      </c>
      <c r="S33" s="28"/>
    </row>
    <row r="34" spans="1:19" ht="15.75" customHeight="1" x14ac:dyDescent="0.35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32324.54</v>
      </c>
      <c r="Q34" s="72">
        <f>P34-R34</f>
        <v>32304.81</v>
      </c>
      <c r="R34" s="49">
        <f>SUM(R3:R33)</f>
        <v>19.729999999999734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2">
    <dataValidation type="list" allowBlank="1" showInputMessage="1" showErrorMessage="1" sqref="B33" xr:uid="{143F6E53-018D-4846-94CF-360C601F2E8F}">
      <formula1>"Matosinhos,Timeout,Bolhão"</formula1>
    </dataValidation>
    <dataValidation type="list" allowBlank="1" showInputMessage="1" showErrorMessage="1" sqref="B3:B32" xr:uid="{42C234EB-D255-4AF5-A438-587851266D19}">
      <formula1>"Matosinhos;TimeOut;Bolhão"</formula1>
    </dataValidation>
  </dataValidations>
  <pageMargins left="0.75" right="0.75" top="1" bottom="1" header="0" footer="0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3868-9031-41C0-8773-074A05823B6B}">
  <dimension ref="A2:S1001"/>
  <sheetViews>
    <sheetView zoomScale="85" zoomScaleNormal="85" workbookViewId="0">
      <pane ySplit="2" topLeftCell="A3" activePane="bottomLeft" state="frozen"/>
      <selection pane="bottomLeft" activeCell="O30" sqref="O30:O32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2" spans="1:19" ht="15.75" customHeight="1" x14ac:dyDescent="0.35">
      <c r="A2" s="22"/>
      <c r="B2" s="23" t="s">
        <v>2684</v>
      </c>
      <c r="C2" s="23" t="s">
        <v>2685</v>
      </c>
      <c r="D2" s="23" t="s">
        <v>2689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45597</v>
      </c>
      <c r="B3" s="95" t="s">
        <v>2688</v>
      </c>
      <c r="C3" s="9">
        <f>D3</f>
        <v>788.2</v>
      </c>
      <c r="D3" s="9">
        <v>788.2</v>
      </c>
      <c r="E3" s="103">
        <v>533.4</v>
      </c>
      <c r="F3" s="9">
        <v>0</v>
      </c>
      <c r="G3" s="9"/>
      <c r="H3" s="9"/>
      <c r="I3" s="9"/>
      <c r="J3" s="9"/>
      <c r="K3" s="9"/>
      <c r="L3" s="9"/>
      <c r="M3" s="9"/>
      <c r="N3" s="97"/>
      <c r="O3" s="9">
        <v>260</v>
      </c>
      <c r="P3" s="99">
        <f>E3+F3+G3+H3+I3+J3+K3+L3+O3+M3+N3</f>
        <v>793.4</v>
      </c>
      <c r="Q3" s="27">
        <f>O3-R3</f>
        <v>254.80000000000007</v>
      </c>
      <c r="R3" s="70">
        <f t="shared" ref="R3:R33" si="0">P3-C3-H3</f>
        <v>5.1999999999999318</v>
      </c>
      <c r="S3" s="28"/>
    </row>
    <row r="4" spans="1:19" ht="15.75" customHeight="1" x14ac:dyDescent="0.35">
      <c r="A4" s="26">
        <v>45598</v>
      </c>
      <c r="B4" s="95" t="s">
        <v>119</v>
      </c>
      <c r="C4" s="9">
        <f>D4</f>
        <v>936</v>
      </c>
      <c r="D4" s="9">
        <v>936</v>
      </c>
      <c r="E4" s="9">
        <v>657.7</v>
      </c>
      <c r="F4" s="9">
        <v>0</v>
      </c>
      <c r="G4" s="9"/>
      <c r="H4" s="9"/>
      <c r="I4" s="9"/>
      <c r="J4" s="9">
        <v>18.899999999999999</v>
      </c>
      <c r="K4" s="9"/>
      <c r="L4" s="9"/>
      <c r="M4" s="9"/>
      <c r="N4" s="97"/>
      <c r="O4" s="9">
        <v>260</v>
      </c>
      <c r="P4" s="99">
        <f t="shared" ref="P4:P33" si="1">E4+F4+G4+H4+I4+J4+K4+L4+O4+M4+N4</f>
        <v>936.6</v>
      </c>
      <c r="Q4" s="27">
        <f t="shared" ref="Q4:Q33" si="2">O4-R4</f>
        <v>259.39999999999998</v>
      </c>
      <c r="R4" s="70">
        <f t="shared" si="0"/>
        <v>0.60000000000002274</v>
      </c>
      <c r="S4" s="28"/>
    </row>
    <row r="5" spans="1:19" ht="15.75" customHeight="1" x14ac:dyDescent="0.35">
      <c r="A5" s="26">
        <v>45599</v>
      </c>
      <c r="B5" s="95" t="s">
        <v>119</v>
      </c>
      <c r="C5" s="9">
        <f t="shared" ref="C5:C33" si="3">D5</f>
        <v>717</v>
      </c>
      <c r="D5" s="9">
        <v>717</v>
      </c>
      <c r="E5" s="9">
        <v>557.1</v>
      </c>
      <c r="F5" s="9">
        <v>0</v>
      </c>
      <c r="G5" s="9"/>
      <c r="H5" s="9"/>
      <c r="I5" s="9"/>
      <c r="J5" s="9"/>
      <c r="K5" s="9"/>
      <c r="L5" s="9"/>
      <c r="M5" s="9"/>
      <c r="N5" s="97"/>
      <c r="O5" s="9">
        <v>160</v>
      </c>
      <c r="P5" s="99">
        <f t="shared" si="1"/>
        <v>717.1</v>
      </c>
      <c r="Q5" s="27">
        <f t="shared" si="2"/>
        <v>159.89999999999998</v>
      </c>
      <c r="R5" s="41">
        <f t="shared" si="0"/>
        <v>0.10000000000002274</v>
      </c>
      <c r="S5" s="28"/>
    </row>
    <row r="6" spans="1:19" ht="15.75" customHeight="1" x14ac:dyDescent="0.35">
      <c r="A6" s="26">
        <v>45600</v>
      </c>
      <c r="B6" s="95" t="s">
        <v>119</v>
      </c>
      <c r="C6" s="9">
        <f t="shared" si="3"/>
        <v>0</v>
      </c>
      <c r="D6" s="9">
        <v>0</v>
      </c>
      <c r="E6" s="9">
        <v>0</v>
      </c>
      <c r="F6" s="9">
        <v>0</v>
      </c>
      <c r="G6" s="9"/>
      <c r="H6" s="9"/>
      <c r="I6" s="9"/>
      <c r="J6" s="9"/>
      <c r="K6" s="9"/>
      <c r="L6" s="9"/>
      <c r="M6" s="9"/>
      <c r="N6" s="97"/>
      <c r="O6" s="9"/>
      <c r="P6" s="99">
        <f t="shared" si="1"/>
        <v>0</v>
      </c>
      <c r="Q6" s="27">
        <f>O6-R6</f>
        <v>0</v>
      </c>
      <c r="R6" s="41">
        <f t="shared" si="0"/>
        <v>0</v>
      </c>
      <c r="S6" s="28"/>
    </row>
    <row r="7" spans="1:19" ht="15.75" customHeight="1" x14ac:dyDescent="0.35">
      <c r="A7" s="26">
        <v>45601</v>
      </c>
      <c r="B7" s="95" t="s">
        <v>119</v>
      </c>
      <c r="C7" s="9">
        <f t="shared" si="3"/>
        <v>145.69999999999999</v>
      </c>
      <c r="D7" s="9">
        <v>145.69999999999999</v>
      </c>
      <c r="E7" s="9">
        <v>103.5</v>
      </c>
      <c r="F7" s="83">
        <v>0</v>
      </c>
      <c r="G7" s="9"/>
      <c r="H7" s="9"/>
      <c r="I7" s="9"/>
      <c r="J7" s="9"/>
      <c r="K7" s="9"/>
      <c r="L7" s="9"/>
      <c r="M7" s="9"/>
      <c r="N7" s="97"/>
      <c r="O7" s="9">
        <v>40</v>
      </c>
      <c r="P7" s="99">
        <f t="shared" si="1"/>
        <v>143.5</v>
      </c>
      <c r="Q7" s="27">
        <f t="shared" si="2"/>
        <v>42.199999999999989</v>
      </c>
      <c r="R7" s="41">
        <f t="shared" si="0"/>
        <v>-2.1999999999999886</v>
      </c>
      <c r="S7" s="28"/>
    </row>
    <row r="8" spans="1:19" ht="15.75" customHeight="1" x14ac:dyDescent="0.35">
      <c r="A8" s="26">
        <v>45602</v>
      </c>
      <c r="B8" s="95" t="s">
        <v>119</v>
      </c>
      <c r="C8" s="9">
        <f t="shared" si="3"/>
        <v>320.60000000000002</v>
      </c>
      <c r="D8" s="9">
        <v>320.60000000000002</v>
      </c>
      <c r="E8" s="9">
        <v>223.1</v>
      </c>
      <c r="F8" s="9">
        <v>0</v>
      </c>
      <c r="G8" s="9"/>
      <c r="H8" s="9"/>
      <c r="I8" s="9"/>
      <c r="J8" s="9"/>
      <c r="K8" s="9"/>
      <c r="L8" s="9"/>
      <c r="M8" s="9"/>
      <c r="N8" s="97"/>
      <c r="O8" s="9">
        <v>105</v>
      </c>
      <c r="P8" s="99">
        <f t="shared" si="1"/>
        <v>328.1</v>
      </c>
      <c r="Q8" s="27">
        <f t="shared" si="2"/>
        <v>97.5</v>
      </c>
      <c r="R8" s="41">
        <f t="shared" si="0"/>
        <v>7.5</v>
      </c>
      <c r="S8" s="28"/>
    </row>
    <row r="9" spans="1:19" ht="15.75" customHeight="1" x14ac:dyDescent="0.35">
      <c r="A9" s="26">
        <v>45603</v>
      </c>
      <c r="B9" s="95"/>
      <c r="C9" s="9">
        <f t="shared" si="3"/>
        <v>379.3</v>
      </c>
      <c r="D9" s="9">
        <v>379.3</v>
      </c>
      <c r="E9" s="9">
        <v>234.3</v>
      </c>
      <c r="F9" s="9">
        <v>0</v>
      </c>
      <c r="G9" s="9"/>
      <c r="H9" s="9"/>
      <c r="I9" s="9"/>
      <c r="J9" s="9"/>
      <c r="K9" s="9"/>
      <c r="L9" s="9"/>
      <c r="M9" s="9"/>
      <c r="N9" s="97"/>
      <c r="O9" s="9">
        <v>145</v>
      </c>
      <c r="P9" s="99">
        <f t="shared" si="1"/>
        <v>379.3</v>
      </c>
      <c r="Q9" s="27">
        <f t="shared" si="2"/>
        <v>145</v>
      </c>
      <c r="R9" s="41">
        <f t="shared" si="0"/>
        <v>0</v>
      </c>
      <c r="S9" s="28"/>
    </row>
    <row r="10" spans="1:19" ht="15.75" customHeight="1" x14ac:dyDescent="0.35">
      <c r="A10" s="26">
        <v>45604</v>
      </c>
      <c r="B10" s="95"/>
      <c r="C10" s="9">
        <f t="shared" si="3"/>
        <v>305.5</v>
      </c>
      <c r="D10" s="9">
        <v>305.5</v>
      </c>
      <c r="E10" s="9">
        <v>187.3</v>
      </c>
      <c r="F10" s="9">
        <v>0</v>
      </c>
      <c r="G10" s="9"/>
      <c r="H10" s="9"/>
      <c r="I10" s="9"/>
      <c r="J10" s="9"/>
      <c r="K10" s="9"/>
      <c r="L10" s="9"/>
      <c r="M10" s="9"/>
      <c r="N10" s="97"/>
      <c r="O10" s="9">
        <v>120</v>
      </c>
      <c r="P10" s="99">
        <f t="shared" si="1"/>
        <v>307.3</v>
      </c>
      <c r="Q10" s="27">
        <f t="shared" si="2"/>
        <v>118.19999999999999</v>
      </c>
      <c r="R10" s="41">
        <f t="shared" si="0"/>
        <v>1.8000000000000114</v>
      </c>
      <c r="S10" s="28"/>
    </row>
    <row r="11" spans="1:19" ht="15.75" customHeight="1" x14ac:dyDescent="0.35">
      <c r="A11" s="26">
        <v>45605</v>
      </c>
      <c r="B11" s="95"/>
      <c r="C11" s="9">
        <f t="shared" si="3"/>
        <v>531.9</v>
      </c>
      <c r="D11" s="9">
        <v>531.9</v>
      </c>
      <c r="E11" s="9">
        <v>459</v>
      </c>
      <c r="F11" s="9">
        <v>0</v>
      </c>
      <c r="G11" s="9"/>
      <c r="H11" s="9"/>
      <c r="I11" s="9"/>
      <c r="J11" s="9"/>
      <c r="K11" s="9"/>
      <c r="L11" s="9"/>
      <c r="M11" s="9"/>
      <c r="N11" s="97"/>
      <c r="O11" s="9">
        <v>70</v>
      </c>
      <c r="P11" s="99">
        <f t="shared" si="1"/>
        <v>529</v>
      </c>
      <c r="Q11" s="27">
        <f t="shared" si="2"/>
        <v>72.899999999999977</v>
      </c>
      <c r="R11" s="41">
        <f t="shared" si="0"/>
        <v>-2.8999999999999773</v>
      </c>
      <c r="S11" s="28"/>
    </row>
    <row r="12" spans="1:19" ht="15.75" customHeight="1" x14ac:dyDescent="0.35">
      <c r="A12" s="26">
        <v>45606</v>
      </c>
      <c r="B12" s="95"/>
      <c r="C12" s="9">
        <f t="shared" si="3"/>
        <v>304.89999999999998</v>
      </c>
      <c r="D12" s="9">
        <v>304.89999999999998</v>
      </c>
      <c r="E12" s="9">
        <v>174.1</v>
      </c>
      <c r="F12" s="9">
        <v>0</v>
      </c>
      <c r="G12" s="9"/>
      <c r="H12" s="9"/>
      <c r="I12" s="9"/>
      <c r="J12" s="9"/>
      <c r="K12" s="9"/>
      <c r="L12" s="9"/>
      <c r="M12" s="9"/>
      <c r="N12" s="97"/>
      <c r="O12" s="9">
        <v>130</v>
      </c>
      <c r="P12" s="99">
        <f t="shared" si="1"/>
        <v>304.10000000000002</v>
      </c>
      <c r="Q12" s="27">
        <f t="shared" si="2"/>
        <v>130.79999999999995</v>
      </c>
      <c r="R12" s="41">
        <f t="shared" si="0"/>
        <v>-0.79999999999995453</v>
      </c>
      <c r="S12" s="28"/>
    </row>
    <row r="13" spans="1:19" ht="15.75" customHeight="1" x14ac:dyDescent="0.35">
      <c r="A13" s="26">
        <v>45607</v>
      </c>
      <c r="B13" s="95"/>
      <c r="C13" s="9">
        <f t="shared" si="3"/>
        <v>0</v>
      </c>
      <c r="D13" s="9">
        <v>0</v>
      </c>
      <c r="E13" s="9"/>
      <c r="F13" s="9">
        <v>0</v>
      </c>
      <c r="G13" s="9"/>
      <c r="H13" s="9"/>
      <c r="I13" s="9"/>
      <c r="J13" s="9"/>
      <c r="K13" s="9"/>
      <c r="L13" s="9"/>
      <c r="M13" s="9"/>
      <c r="N13" s="97"/>
      <c r="O13" s="9"/>
      <c r="P13" s="99">
        <f t="shared" si="1"/>
        <v>0</v>
      </c>
      <c r="Q13" s="27">
        <f t="shared" si="2"/>
        <v>0</v>
      </c>
      <c r="R13" s="41">
        <f t="shared" si="0"/>
        <v>0</v>
      </c>
      <c r="S13" s="28"/>
    </row>
    <row r="14" spans="1:19" ht="15.75" customHeight="1" x14ac:dyDescent="0.35">
      <c r="A14" s="26">
        <v>45608</v>
      </c>
      <c r="B14" s="95"/>
      <c r="C14" s="9">
        <f t="shared" si="3"/>
        <v>300.7</v>
      </c>
      <c r="D14" s="9">
        <v>300.7</v>
      </c>
      <c r="E14" s="9">
        <v>212.3</v>
      </c>
      <c r="F14" s="9"/>
      <c r="G14" s="9"/>
      <c r="H14" s="9"/>
      <c r="I14" s="9"/>
      <c r="J14" s="9"/>
      <c r="K14" s="9"/>
      <c r="L14" s="9"/>
      <c r="M14" s="9"/>
      <c r="N14" s="97"/>
      <c r="O14" s="9">
        <v>90</v>
      </c>
      <c r="P14" s="99">
        <f t="shared" si="1"/>
        <v>302.3</v>
      </c>
      <c r="Q14" s="27">
        <f t="shared" si="2"/>
        <v>88.399999999999977</v>
      </c>
      <c r="R14" s="41">
        <f t="shared" si="0"/>
        <v>1.6000000000000227</v>
      </c>
      <c r="S14" s="28"/>
    </row>
    <row r="15" spans="1:19" ht="15.75" customHeight="1" x14ac:dyDescent="0.35">
      <c r="A15" s="26">
        <v>45609</v>
      </c>
      <c r="B15" s="95"/>
      <c r="C15" s="9">
        <f t="shared" si="3"/>
        <v>222</v>
      </c>
      <c r="D15" s="9">
        <v>222</v>
      </c>
      <c r="E15" s="9">
        <v>150.4</v>
      </c>
      <c r="F15" s="9"/>
      <c r="G15" s="9"/>
      <c r="H15" s="9"/>
      <c r="I15" s="9"/>
      <c r="J15" s="9"/>
      <c r="K15" s="9"/>
      <c r="L15" s="9"/>
      <c r="M15" s="9"/>
      <c r="N15" s="97"/>
      <c r="O15" s="9">
        <v>70</v>
      </c>
      <c r="P15" s="99">
        <f t="shared" si="1"/>
        <v>220.4</v>
      </c>
      <c r="Q15" s="27">
        <f t="shared" si="2"/>
        <v>71.599999999999994</v>
      </c>
      <c r="R15" s="41">
        <f t="shared" si="0"/>
        <v>-1.5999999999999943</v>
      </c>
      <c r="S15" s="28"/>
    </row>
    <row r="16" spans="1:19" ht="15.75" customHeight="1" x14ac:dyDescent="0.35">
      <c r="A16" s="26">
        <v>45610</v>
      </c>
      <c r="B16" s="95"/>
      <c r="C16" s="9">
        <f t="shared" si="3"/>
        <v>166.65</v>
      </c>
      <c r="D16" s="9">
        <v>166.65</v>
      </c>
      <c r="E16" s="9">
        <v>120.05</v>
      </c>
      <c r="F16" s="9"/>
      <c r="G16" s="9"/>
      <c r="H16" s="9"/>
      <c r="I16" s="9"/>
      <c r="J16" s="9"/>
      <c r="K16" s="9"/>
      <c r="L16" s="9"/>
      <c r="M16" s="9"/>
      <c r="N16" s="97"/>
      <c r="O16" s="9">
        <v>45</v>
      </c>
      <c r="P16" s="99">
        <f t="shared" si="1"/>
        <v>165.05</v>
      </c>
      <c r="Q16" s="27">
        <f t="shared" si="2"/>
        <v>46.599999999999994</v>
      </c>
      <c r="R16" s="41">
        <f t="shared" si="0"/>
        <v>-1.5999999999999943</v>
      </c>
      <c r="S16" s="28"/>
    </row>
    <row r="17" spans="1:19" ht="15.75" customHeight="1" x14ac:dyDescent="0.35">
      <c r="A17" s="26">
        <v>45611</v>
      </c>
      <c r="B17" s="95"/>
      <c r="C17" s="9">
        <f>D17</f>
        <v>171.75</v>
      </c>
      <c r="D17" s="9">
        <v>171.75</v>
      </c>
      <c r="E17" s="9">
        <v>150.25</v>
      </c>
      <c r="F17" s="9"/>
      <c r="G17" s="9"/>
      <c r="H17" s="9"/>
      <c r="I17" s="9"/>
      <c r="J17" s="9"/>
      <c r="K17" s="9"/>
      <c r="L17" s="9"/>
      <c r="M17" s="9"/>
      <c r="N17" s="97"/>
      <c r="O17" s="9">
        <v>20</v>
      </c>
      <c r="P17" s="99">
        <f t="shared" si="1"/>
        <v>170.25</v>
      </c>
      <c r="Q17" s="27">
        <f t="shared" si="2"/>
        <v>21.5</v>
      </c>
      <c r="R17" s="41">
        <f t="shared" si="0"/>
        <v>-1.5</v>
      </c>
      <c r="S17" s="28"/>
    </row>
    <row r="18" spans="1:19" ht="15.75" customHeight="1" x14ac:dyDescent="0.35">
      <c r="A18" s="26">
        <v>45612</v>
      </c>
      <c r="B18" s="95"/>
      <c r="C18" s="9">
        <f t="shared" si="3"/>
        <v>625.1</v>
      </c>
      <c r="D18" s="9">
        <v>625.1</v>
      </c>
      <c r="E18" s="9">
        <v>443.4</v>
      </c>
      <c r="F18" s="9"/>
      <c r="G18" s="9"/>
      <c r="H18" s="9"/>
      <c r="I18" s="9"/>
      <c r="J18" s="9"/>
      <c r="K18" s="9"/>
      <c r="L18" s="9"/>
      <c r="M18" s="9"/>
      <c r="N18" s="97"/>
      <c r="O18" s="9">
        <v>180</v>
      </c>
      <c r="P18" s="99">
        <f t="shared" si="1"/>
        <v>623.4</v>
      </c>
      <c r="Q18" s="27">
        <f t="shared" si="2"/>
        <v>181.70000000000005</v>
      </c>
      <c r="R18" s="41">
        <f t="shared" si="0"/>
        <v>-1.7000000000000455</v>
      </c>
      <c r="S18" s="28"/>
    </row>
    <row r="19" spans="1:19" ht="15.75" customHeight="1" x14ac:dyDescent="0.35">
      <c r="A19" s="26">
        <v>45613</v>
      </c>
      <c r="B19" s="95"/>
      <c r="C19" s="9">
        <f t="shared" si="3"/>
        <v>374.3</v>
      </c>
      <c r="D19" s="9">
        <v>374.3</v>
      </c>
      <c r="E19" s="9">
        <v>255.5</v>
      </c>
      <c r="F19" s="9"/>
      <c r="G19" s="9"/>
      <c r="H19" s="9"/>
      <c r="I19" s="9"/>
      <c r="J19" s="9"/>
      <c r="K19" s="9"/>
      <c r="L19" s="9"/>
      <c r="M19" s="9"/>
      <c r="N19" s="97"/>
      <c r="O19" s="9">
        <v>120</v>
      </c>
      <c r="P19" s="99">
        <f t="shared" si="1"/>
        <v>375.5</v>
      </c>
      <c r="Q19" s="27">
        <f t="shared" si="2"/>
        <v>118.80000000000001</v>
      </c>
      <c r="R19" s="41">
        <f t="shared" si="0"/>
        <v>1.1999999999999886</v>
      </c>
      <c r="S19" s="28"/>
    </row>
    <row r="20" spans="1:19" ht="15.75" customHeight="1" x14ac:dyDescent="0.35">
      <c r="A20" s="26">
        <v>45614</v>
      </c>
      <c r="B20" s="95"/>
      <c r="C20" s="9">
        <f t="shared" si="3"/>
        <v>0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7"/>
      <c r="O20" s="9"/>
      <c r="P20" s="99">
        <f t="shared" si="1"/>
        <v>0</v>
      </c>
      <c r="Q20" s="27">
        <f t="shared" si="2"/>
        <v>0</v>
      </c>
      <c r="R20" s="41">
        <f t="shared" si="0"/>
        <v>0</v>
      </c>
      <c r="S20" s="28"/>
    </row>
    <row r="21" spans="1:19" ht="15.75" customHeight="1" x14ac:dyDescent="0.35">
      <c r="A21" s="26">
        <v>45615</v>
      </c>
      <c r="B21" s="95"/>
      <c r="C21" s="9">
        <f t="shared" si="3"/>
        <v>147.30000000000001</v>
      </c>
      <c r="D21" s="9">
        <v>147.30000000000001</v>
      </c>
      <c r="E21" s="9">
        <v>110.4</v>
      </c>
      <c r="F21" s="9"/>
      <c r="G21" s="9"/>
      <c r="H21" s="9"/>
      <c r="I21" s="9"/>
      <c r="J21" s="9"/>
      <c r="K21" s="9"/>
      <c r="L21" s="9"/>
      <c r="M21" s="9"/>
      <c r="N21" s="97"/>
      <c r="O21" s="9">
        <v>35</v>
      </c>
      <c r="P21" s="99">
        <f t="shared" si="1"/>
        <v>145.4</v>
      </c>
      <c r="Q21" s="27">
        <f t="shared" si="2"/>
        <v>36.900000000000006</v>
      </c>
      <c r="R21" s="41">
        <f t="shared" si="0"/>
        <v>-1.9000000000000057</v>
      </c>
      <c r="S21" s="28"/>
    </row>
    <row r="22" spans="1:19" ht="15.75" customHeight="1" x14ac:dyDescent="0.35">
      <c r="A22" s="26">
        <v>45616</v>
      </c>
      <c r="B22" s="95"/>
      <c r="C22" s="9">
        <f t="shared" si="3"/>
        <v>121.1</v>
      </c>
      <c r="D22" s="9">
        <v>121.1</v>
      </c>
      <c r="E22" s="9">
        <v>81.3</v>
      </c>
      <c r="F22" s="9"/>
      <c r="G22" s="9"/>
      <c r="H22" s="9"/>
      <c r="I22" s="9"/>
      <c r="J22" s="9"/>
      <c r="K22" s="9"/>
      <c r="L22" s="9"/>
      <c r="M22" s="9"/>
      <c r="N22" s="97"/>
      <c r="O22" s="9">
        <v>40</v>
      </c>
      <c r="P22" s="99">
        <f t="shared" si="1"/>
        <v>121.3</v>
      </c>
      <c r="Q22" s="27">
        <f t="shared" si="2"/>
        <v>39.799999999999997</v>
      </c>
      <c r="R22" s="41">
        <f t="shared" si="0"/>
        <v>0.20000000000000284</v>
      </c>
      <c r="S22" s="28"/>
    </row>
    <row r="23" spans="1:19" ht="15.75" customHeight="1" x14ac:dyDescent="0.35">
      <c r="A23" s="26">
        <v>45617</v>
      </c>
      <c r="B23" s="95"/>
      <c r="C23" s="9">
        <f t="shared" si="3"/>
        <v>116.9</v>
      </c>
      <c r="D23" s="9">
        <v>116.9</v>
      </c>
      <c r="E23" s="9">
        <v>72</v>
      </c>
      <c r="F23" s="9"/>
      <c r="G23" s="9"/>
      <c r="H23" s="9"/>
      <c r="I23" s="9"/>
      <c r="J23" s="9"/>
      <c r="K23" s="9"/>
      <c r="L23" s="9"/>
      <c r="M23" s="9"/>
      <c r="N23" s="97"/>
      <c r="O23" s="9">
        <v>45</v>
      </c>
      <c r="P23" s="99">
        <f t="shared" si="1"/>
        <v>117</v>
      </c>
      <c r="Q23" s="27">
        <f t="shared" si="2"/>
        <v>44.900000000000006</v>
      </c>
      <c r="R23" s="41">
        <f t="shared" si="0"/>
        <v>9.9999999999994316E-2</v>
      </c>
      <c r="S23" s="28"/>
    </row>
    <row r="24" spans="1:19" ht="15.75" customHeight="1" x14ac:dyDescent="0.35">
      <c r="A24" s="26">
        <v>45618</v>
      </c>
      <c r="B24" s="95"/>
      <c r="C24" s="9">
        <f t="shared" si="3"/>
        <v>211</v>
      </c>
      <c r="D24" s="9">
        <v>211</v>
      </c>
      <c r="E24" s="9">
        <v>172</v>
      </c>
      <c r="F24" s="9"/>
      <c r="G24" s="9"/>
      <c r="H24" s="9"/>
      <c r="I24" s="9"/>
      <c r="J24" s="9"/>
      <c r="K24" s="9"/>
      <c r="L24" s="9"/>
      <c r="M24" s="9"/>
      <c r="N24" s="97"/>
      <c r="O24" s="9">
        <v>40</v>
      </c>
      <c r="P24" s="99">
        <f t="shared" si="1"/>
        <v>212</v>
      </c>
      <c r="Q24" s="27">
        <f t="shared" si="2"/>
        <v>39</v>
      </c>
      <c r="R24" s="41">
        <f t="shared" si="0"/>
        <v>1</v>
      </c>
      <c r="S24" s="28"/>
    </row>
    <row r="25" spans="1:19" ht="15.75" customHeight="1" x14ac:dyDescent="0.35">
      <c r="A25" s="26">
        <v>45619</v>
      </c>
      <c r="B25" s="95"/>
      <c r="C25" s="9">
        <f t="shared" si="3"/>
        <v>492.35</v>
      </c>
      <c r="D25" s="9">
        <v>492.35</v>
      </c>
      <c r="E25" s="9">
        <v>421.6</v>
      </c>
      <c r="F25" s="9"/>
      <c r="G25" s="9"/>
      <c r="H25" s="9"/>
      <c r="I25" s="9"/>
      <c r="J25" s="9"/>
      <c r="K25" s="9"/>
      <c r="L25" s="9"/>
      <c r="M25" s="9"/>
      <c r="N25" s="97"/>
      <c r="O25" s="9">
        <v>75</v>
      </c>
      <c r="P25" s="99">
        <f t="shared" si="1"/>
        <v>496.6</v>
      </c>
      <c r="Q25" s="27">
        <f t="shared" si="2"/>
        <v>70.75</v>
      </c>
      <c r="R25" s="41">
        <f t="shared" si="0"/>
        <v>4.25</v>
      </c>
      <c r="S25" s="28"/>
    </row>
    <row r="26" spans="1:19" ht="15.75" customHeight="1" x14ac:dyDescent="0.35">
      <c r="A26" s="26">
        <v>45620</v>
      </c>
      <c r="B26" s="95"/>
      <c r="C26" s="9">
        <f t="shared" si="3"/>
        <v>191.75</v>
      </c>
      <c r="D26" s="9">
        <v>191.75</v>
      </c>
      <c r="E26" s="9">
        <v>140.15</v>
      </c>
      <c r="F26" s="9"/>
      <c r="G26" s="9"/>
      <c r="H26" s="9"/>
      <c r="I26" s="9"/>
      <c r="J26" s="9"/>
      <c r="K26" s="9"/>
      <c r="L26" s="9"/>
      <c r="M26" s="9"/>
      <c r="N26" s="97"/>
      <c r="O26" s="9">
        <v>50</v>
      </c>
      <c r="P26" s="99">
        <f t="shared" si="1"/>
        <v>190.15</v>
      </c>
      <c r="Q26" s="27">
        <f>O26-R26</f>
        <v>51.599999999999994</v>
      </c>
      <c r="R26" s="41">
        <f t="shared" si="0"/>
        <v>-1.5999999999999943</v>
      </c>
      <c r="S26" s="28"/>
    </row>
    <row r="27" spans="1:19" ht="15.75" customHeight="1" x14ac:dyDescent="0.35">
      <c r="A27" s="26">
        <v>45621</v>
      </c>
      <c r="B27" s="95"/>
      <c r="C27" s="9">
        <f t="shared" si="3"/>
        <v>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7"/>
      <c r="O27" s="9"/>
      <c r="P27" s="99">
        <f t="shared" si="1"/>
        <v>0</v>
      </c>
      <c r="Q27" s="27">
        <f t="shared" si="2"/>
        <v>0</v>
      </c>
      <c r="R27" s="41">
        <f t="shared" si="0"/>
        <v>0</v>
      </c>
      <c r="S27" s="28"/>
    </row>
    <row r="28" spans="1:19" ht="15.75" customHeight="1" x14ac:dyDescent="0.35">
      <c r="A28" s="26">
        <v>45622</v>
      </c>
      <c r="B28" s="95"/>
      <c r="C28" s="9">
        <f t="shared" si="3"/>
        <v>275</v>
      </c>
      <c r="D28" s="9">
        <v>275</v>
      </c>
      <c r="E28" s="9">
        <v>189.8</v>
      </c>
      <c r="F28" s="9"/>
      <c r="G28" s="9"/>
      <c r="H28" s="9"/>
      <c r="I28" s="9"/>
      <c r="J28" s="9"/>
      <c r="K28" s="9"/>
      <c r="L28" s="9"/>
      <c r="M28" s="9"/>
      <c r="N28" s="97"/>
      <c r="O28" s="9">
        <v>85</v>
      </c>
      <c r="P28" s="99">
        <f t="shared" si="1"/>
        <v>274.8</v>
      </c>
      <c r="Q28" s="27">
        <f t="shared" si="2"/>
        <v>85.199999999999989</v>
      </c>
      <c r="R28" s="41">
        <f t="shared" si="0"/>
        <v>-0.19999999999998863</v>
      </c>
      <c r="S28" s="28"/>
    </row>
    <row r="29" spans="1:19" ht="15.75" customHeight="1" x14ac:dyDescent="0.35">
      <c r="A29" s="26">
        <v>45623</v>
      </c>
      <c r="B29" s="95"/>
      <c r="C29" s="9">
        <f t="shared" si="3"/>
        <v>217.11</v>
      </c>
      <c r="D29" s="9">
        <v>217.11</v>
      </c>
      <c r="E29" s="9">
        <v>169.25</v>
      </c>
      <c r="F29" s="9"/>
      <c r="G29" s="9"/>
      <c r="H29" s="9"/>
      <c r="I29" s="9"/>
      <c r="J29" s="9"/>
      <c r="K29" s="9"/>
      <c r="L29" s="9"/>
      <c r="M29" s="9"/>
      <c r="N29" s="97"/>
      <c r="O29" s="9">
        <v>50</v>
      </c>
      <c r="P29" s="99">
        <f t="shared" si="1"/>
        <v>219.25</v>
      </c>
      <c r="Q29" s="27">
        <f t="shared" si="2"/>
        <v>47.860000000000014</v>
      </c>
      <c r="R29" s="41">
        <f t="shared" si="0"/>
        <v>2.1399999999999864</v>
      </c>
      <c r="S29" s="28"/>
    </row>
    <row r="30" spans="1:19" ht="15.75" customHeight="1" x14ac:dyDescent="0.35">
      <c r="A30" s="26">
        <v>45624</v>
      </c>
      <c r="B30" s="95"/>
      <c r="C30" s="9">
        <f t="shared" si="3"/>
        <v>262.10000000000002</v>
      </c>
      <c r="D30" s="9">
        <v>262.10000000000002</v>
      </c>
      <c r="E30" s="9">
        <v>164.7</v>
      </c>
      <c r="F30" s="9"/>
      <c r="G30" s="9"/>
      <c r="H30" s="9"/>
      <c r="I30" s="9"/>
      <c r="J30" s="9"/>
      <c r="K30" s="9"/>
      <c r="L30" s="9"/>
      <c r="M30" s="9"/>
      <c r="N30" s="97"/>
      <c r="O30" s="9">
        <v>100</v>
      </c>
      <c r="P30" s="99">
        <f t="shared" si="1"/>
        <v>264.7</v>
      </c>
      <c r="Q30" s="27">
        <f t="shared" si="2"/>
        <v>97.400000000000034</v>
      </c>
      <c r="R30" s="41">
        <f t="shared" si="0"/>
        <v>2.5999999999999659</v>
      </c>
      <c r="S30" s="28"/>
    </row>
    <row r="31" spans="1:19" ht="15.75" customHeight="1" x14ac:dyDescent="0.35">
      <c r="A31" s="26">
        <v>45625</v>
      </c>
      <c r="B31" s="95"/>
      <c r="C31" s="9">
        <f t="shared" si="3"/>
        <v>217.29</v>
      </c>
      <c r="D31" s="9">
        <v>217.29</v>
      </c>
      <c r="E31" s="9">
        <v>177.53</v>
      </c>
      <c r="F31" s="9"/>
      <c r="G31" s="9"/>
      <c r="H31" s="9"/>
      <c r="I31" s="9"/>
      <c r="J31" s="9"/>
      <c r="K31" s="9"/>
      <c r="L31" s="9"/>
      <c r="M31" s="9"/>
      <c r="N31" s="97"/>
      <c r="O31" s="9">
        <v>40</v>
      </c>
      <c r="P31" s="99">
        <f t="shared" si="1"/>
        <v>217.53</v>
      </c>
      <c r="Q31" s="27">
        <f t="shared" si="2"/>
        <v>39.759999999999991</v>
      </c>
      <c r="R31" s="41">
        <f t="shared" si="0"/>
        <v>0.24000000000000909</v>
      </c>
      <c r="S31" s="28"/>
    </row>
    <row r="32" spans="1:19" ht="15.75" customHeight="1" x14ac:dyDescent="0.35">
      <c r="A32" s="26">
        <v>45626</v>
      </c>
      <c r="B32" s="95"/>
      <c r="C32" s="9">
        <f t="shared" si="3"/>
        <v>605.55999999999995</v>
      </c>
      <c r="D32" s="9">
        <v>605.55999999999995</v>
      </c>
      <c r="E32" s="9">
        <v>474.5</v>
      </c>
      <c r="F32" s="9"/>
      <c r="G32" s="9"/>
      <c r="H32" s="9"/>
      <c r="I32" s="9"/>
      <c r="J32" s="9"/>
      <c r="K32" s="9"/>
      <c r="L32" s="9"/>
      <c r="M32" s="9"/>
      <c r="N32" s="97"/>
      <c r="O32" s="9">
        <v>130</v>
      </c>
      <c r="P32" s="99">
        <f t="shared" si="1"/>
        <v>604.5</v>
      </c>
      <c r="Q32" s="27">
        <f t="shared" si="2"/>
        <v>131.05999999999995</v>
      </c>
      <c r="R32" s="41">
        <f t="shared" si="0"/>
        <v>-1.0599999999999454</v>
      </c>
      <c r="S32" s="28"/>
    </row>
    <row r="33" spans="1:19" ht="15.75" customHeight="1" x14ac:dyDescent="0.35">
      <c r="A33" s="26"/>
      <c r="B33" s="95"/>
      <c r="C33" s="9">
        <f t="shared" si="3"/>
        <v>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7"/>
      <c r="O33" s="9"/>
      <c r="P33" s="99">
        <f t="shared" si="1"/>
        <v>0</v>
      </c>
      <c r="Q33" s="27">
        <f t="shared" si="2"/>
        <v>0</v>
      </c>
      <c r="R33" s="41">
        <f t="shared" si="0"/>
        <v>0</v>
      </c>
      <c r="S33" s="28"/>
    </row>
    <row r="34" spans="1:19" ht="15.75" customHeight="1" x14ac:dyDescent="0.35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9158.5300000000007</v>
      </c>
      <c r="Q34" s="72">
        <f>P34-R34</f>
        <v>9147.0600000000013</v>
      </c>
      <c r="R34" s="49">
        <f>SUM(R3:R33)</f>
        <v>11.47000000000007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1">
    <dataValidation type="list" allowBlank="1" showInputMessage="1" showErrorMessage="1" sqref="B3:B33" xr:uid="{87B371E1-44ED-4357-B26B-E6251A3266E0}">
      <formula1>"Matosinhos;TimeOut;Bolhão"</formula1>
    </dataValidation>
  </dataValidations>
  <pageMargins left="0.75" right="0.75" top="1" bottom="1" header="0" footer="0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EBC4-CA0D-4448-86FF-ABD72CA5DD90}">
  <dimension ref="A2:S1001"/>
  <sheetViews>
    <sheetView workbookViewId="0">
      <pane ySplit="2" topLeftCell="A21" activePane="bottomLeft" state="frozen"/>
      <selection pane="bottomLeft" activeCell="S33" sqref="S33"/>
    </sheetView>
  </sheetViews>
  <sheetFormatPr defaultColWidth="11.25" defaultRowHeight="15" customHeight="1" x14ac:dyDescent="0.35"/>
  <cols>
    <col min="1" max="1" width="10.58203125" customWidth="1"/>
    <col min="2" max="2" width="24.75" hidden="1" customWidth="1"/>
    <col min="3" max="3" width="13.75" customWidth="1"/>
    <col min="4" max="4" width="19.08203125" customWidth="1"/>
    <col min="5" max="5" width="8" customWidth="1"/>
    <col min="6" max="6" width="11.5" customWidth="1"/>
    <col min="7" max="7" width="15" customWidth="1"/>
    <col min="8" max="8" width="16" customWidth="1"/>
    <col min="9" max="9" width="8.5" customWidth="1"/>
    <col min="10" max="10" width="10.33203125" customWidth="1"/>
    <col min="11" max="11" width="8.5" customWidth="1"/>
    <col min="12" max="12" width="4.5" customWidth="1"/>
    <col min="13" max="13" width="14.08203125" customWidth="1"/>
    <col min="14" max="14" width="16.33203125" customWidth="1"/>
    <col min="15" max="15" width="11.58203125" customWidth="1"/>
    <col min="16" max="16" width="13.33203125" customWidth="1"/>
    <col min="17" max="17" width="14.58203125" customWidth="1"/>
    <col min="18" max="18" width="10.58203125" customWidth="1"/>
    <col min="19" max="19" width="12.58203125" customWidth="1"/>
    <col min="20" max="27" width="11" customWidth="1"/>
  </cols>
  <sheetData>
    <row r="2" spans="1:19" ht="15.75" customHeight="1" x14ac:dyDescent="0.35">
      <c r="A2" s="22"/>
      <c r="B2" s="23" t="s">
        <v>2684</v>
      </c>
      <c r="C2" s="23" t="s">
        <v>2685</v>
      </c>
      <c r="D2" s="23" t="s">
        <v>2689</v>
      </c>
      <c r="E2" s="23" t="s">
        <v>2652</v>
      </c>
      <c r="F2" s="23" t="s">
        <v>2653</v>
      </c>
      <c r="G2" s="23" t="s">
        <v>2654</v>
      </c>
      <c r="H2" s="23" t="s">
        <v>2655</v>
      </c>
      <c r="I2" s="23" t="s">
        <v>2656</v>
      </c>
      <c r="J2" s="23" t="s">
        <v>2657</v>
      </c>
      <c r="K2" s="23" t="s">
        <v>2658</v>
      </c>
      <c r="L2" s="23" t="s">
        <v>2659</v>
      </c>
      <c r="M2" s="23" t="s">
        <v>2666</v>
      </c>
      <c r="N2" s="23" t="s">
        <v>2687</v>
      </c>
      <c r="O2" s="23" t="s">
        <v>2660</v>
      </c>
      <c r="P2" s="23" t="s">
        <v>2661</v>
      </c>
      <c r="Q2" s="23" t="s">
        <v>2662</v>
      </c>
      <c r="R2" s="24" t="s">
        <v>2663</v>
      </c>
      <c r="S2" s="25" t="s">
        <v>2664</v>
      </c>
    </row>
    <row r="3" spans="1:19" ht="15.75" customHeight="1" x14ac:dyDescent="0.35">
      <c r="A3" s="26">
        <v>45566</v>
      </c>
      <c r="B3" s="95" t="s">
        <v>2688</v>
      </c>
      <c r="C3" s="9">
        <f>D3+N3</f>
        <v>207</v>
      </c>
      <c r="D3" s="9">
        <v>207</v>
      </c>
      <c r="E3" s="9">
        <v>159.80000000000001</v>
      </c>
      <c r="F3" s="9">
        <v>0</v>
      </c>
      <c r="G3" s="9"/>
      <c r="H3" s="9"/>
      <c r="I3" s="9"/>
      <c r="J3" s="9"/>
      <c r="K3" s="9"/>
      <c r="L3" s="9"/>
      <c r="M3" s="9"/>
      <c r="N3" s="97"/>
      <c r="O3" s="9">
        <v>50</v>
      </c>
      <c r="P3" s="99">
        <f t="shared" ref="P3:P14" si="0">E3+F3+G3+H3+I3+J3+K3+L3+O3+M3+N3</f>
        <v>209.8</v>
      </c>
      <c r="Q3" s="27">
        <f t="shared" ref="Q3:Q19" si="1">O3-R3</f>
        <v>47.199999999999989</v>
      </c>
      <c r="R3" s="70">
        <f t="shared" ref="R3:R19" si="2">P3-C3-H3</f>
        <v>2.8000000000000114</v>
      </c>
      <c r="S3" s="28"/>
    </row>
    <row r="4" spans="1:19" ht="15.75" customHeight="1" x14ac:dyDescent="0.35">
      <c r="A4" s="26">
        <v>45567</v>
      </c>
      <c r="B4" s="95" t="s">
        <v>119</v>
      </c>
      <c r="C4" s="9">
        <f>D4+N4</f>
        <v>202</v>
      </c>
      <c r="D4" s="9">
        <v>202</v>
      </c>
      <c r="E4" s="9">
        <v>138.80000000000001</v>
      </c>
      <c r="F4" s="9">
        <v>0</v>
      </c>
      <c r="G4" s="9"/>
      <c r="H4" s="9"/>
      <c r="I4" s="9"/>
      <c r="J4" s="9"/>
      <c r="K4" s="9"/>
      <c r="L4" s="9"/>
      <c r="M4" s="9"/>
      <c r="N4" s="97"/>
      <c r="O4" s="9">
        <v>60</v>
      </c>
      <c r="P4" s="99">
        <f t="shared" si="0"/>
        <v>198.8</v>
      </c>
      <c r="Q4" s="27">
        <f t="shared" si="1"/>
        <v>63.199999999999989</v>
      </c>
      <c r="R4" s="70">
        <f t="shared" si="2"/>
        <v>-3.1999999999999886</v>
      </c>
      <c r="S4" s="28"/>
    </row>
    <row r="5" spans="1:19" ht="15.75" customHeight="1" x14ac:dyDescent="0.35">
      <c r="A5" s="26">
        <v>45568</v>
      </c>
      <c r="B5" s="95" t="s">
        <v>119</v>
      </c>
      <c r="C5" s="9">
        <f t="shared" ref="C5:C33" si="3">D5+N5</f>
        <v>287.10000000000002</v>
      </c>
      <c r="D5" s="9">
        <v>287.10000000000002</v>
      </c>
      <c r="E5" s="9">
        <v>186.8</v>
      </c>
      <c r="F5" s="9">
        <v>0</v>
      </c>
      <c r="G5" s="9"/>
      <c r="H5" s="9"/>
      <c r="I5" s="9"/>
      <c r="J5" s="9"/>
      <c r="K5" s="9"/>
      <c r="L5" s="9"/>
      <c r="M5" s="9"/>
      <c r="N5" s="97"/>
      <c r="O5" s="9">
        <v>95</v>
      </c>
      <c r="P5" s="99">
        <f t="shared" si="0"/>
        <v>281.8</v>
      </c>
      <c r="Q5" s="27">
        <f t="shared" si="1"/>
        <v>100.30000000000001</v>
      </c>
      <c r="R5" s="41">
        <f t="shared" si="2"/>
        <v>-5.3000000000000114</v>
      </c>
      <c r="S5" s="28"/>
    </row>
    <row r="6" spans="1:19" ht="15.75" customHeight="1" x14ac:dyDescent="0.35">
      <c r="A6" s="26">
        <v>45569</v>
      </c>
      <c r="B6" s="95" t="s">
        <v>119</v>
      </c>
      <c r="C6" s="9">
        <f t="shared" si="3"/>
        <v>323.05</v>
      </c>
      <c r="D6" s="9">
        <v>323.05</v>
      </c>
      <c r="E6" s="9">
        <v>174.25</v>
      </c>
      <c r="F6" s="9">
        <v>0</v>
      </c>
      <c r="G6" s="9"/>
      <c r="H6" s="9"/>
      <c r="I6" s="9"/>
      <c r="J6" s="9"/>
      <c r="K6" s="9"/>
      <c r="L6" s="9"/>
      <c r="M6" s="9"/>
      <c r="N6" s="97"/>
      <c r="O6" s="9">
        <v>150</v>
      </c>
      <c r="P6" s="99">
        <f t="shared" si="0"/>
        <v>324.25</v>
      </c>
      <c r="Q6" s="27">
        <f>O6-R6</f>
        <v>148.80000000000001</v>
      </c>
      <c r="R6" s="41">
        <f t="shared" si="2"/>
        <v>1.1999999999999886</v>
      </c>
      <c r="S6" s="28"/>
    </row>
    <row r="7" spans="1:19" ht="15.75" customHeight="1" x14ac:dyDescent="0.35">
      <c r="A7" s="26">
        <v>45570</v>
      </c>
      <c r="B7" s="95" t="s">
        <v>119</v>
      </c>
      <c r="C7" s="9">
        <f t="shared" si="3"/>
        <v>387.9</v>
      </c>
      <c r="D7" s="9">
        <v>387.9</v>
      </c>
      <c r="E7" s="9">
        <v>278.89999999999998</v>
      </c>
      <c r="F7" s="83">
        <v>0</v>
      </c>
      <c r="G7" s="9"/>
      <c r="H7" s="9"/>
      <c r="I7" s="9"/>
      <c r="J7" s="9"/>
      <c r="K7" s="9"/>
      <c r="L7" s="9"/>
      <c r="M7" s="9"/>
      <c r="N7" s="97"/>
      <c r="O7" s="9">
        <v>110</v>
      </c>
      <c r="P7" s="99">
        <f t="shared" si="0"/>
        <v>388.9</v>
      </c>
      <c r="Q7" s="27">
        <f t="shared" si="1"/>
        <v>109</v>
      </c>
      <c r="R7" s="41">
        <f t="shared" si="2"/>
        <v>1</v>
      </c>
      <c r="S7" s="28"/>
    </row>
    <row r="8" spans="1:19" ht="15.75" customHeight="1" x14ac:dyDescent="0.35">
      <c r="A8" s="26">
        <v>45571</v>
      </c>
      <c r="B8" s="95" t="s">
        <v>119</v>
      </c>
      <c r="C8" s="9">
        <f t="shared" si="3"/>
        <v>297.55</v>
      </c>
      <c r="D8" s="9">
        <v>297.55</v>
      </c>
      <c r="E8" s="9">
        <v>209.65</v>
      </c>
      <c r="F8" s="9">
        <v>0</v>
      </c>
      <c r="G8" s="9"/>
      <c r="H8" s="9"/>
      <c r="I8" s="9"/>
      <c r="J8" s="9"/>
      <c r="K8" s="9"/>
      <c r="L8" s="9"/>
      <c r="M8" s="9"/>
      <c r="N8" s="97"/>
      <c r="O8" s="9">
        <v>90</v>
      </c>
      <c r="P8" s="99">
        <f t="shared" si="0"/>
        <v>299.64999999999998</v>
      </c>
      <c r="Q8" s="27">
        <f t="shared" si="1"/>
        <v>87.900000000000034</v>
      </c>
      <c r="R8" s="41">
        <f t="shared" si="2"/>
        <v>2.0999999999999659</v>
      </c>
      <c r="S8" s="28"/>
    </row>
    <row r="9" spans="1:19" ht="15.75" customHeight="1" x14ac:dyDescent="0.35">
      <c r="A9" s="26">
        <v>45572</v>
      </c>
      <c r="B9" s="95"/>
      <c r="C9" s="9">
        <f t="shared" si="3"/>
        <v>0</v>
      </c>
      <c r="D9" s="9">
        <v>0</v>
      </c>
      <c r="E9" s="9">
        <v>0</v>
      </c>
      <c r="F9" s="9">
        <v>0</v>
      </c>
      <c r="G9" s="9"/>
      <c r="H9" s="9"/>
      <c r="I9" s="9"/>
      <c r="J9" s="9"/>
      <c r="K9" s="9"/>
      <c r="L9" s="9"/>
      <c r="M9" s="9"/>
      <c r="N9" s="97"/>
      <c r="O9" s="9"/>
      <c r="P9" s="99">
        <f t="shared" si="0"/>
        <v>0</v>
      </c>
      <c r="Q9" s="27">
        <f t="shared" si="1"/>
        <v>0</v>
      </c>
      <c r="R9" s="41">
        <f t="shared" si="2"/>
        <v>0</v>
      </c>
      <c r="S9" s="28"/>
    </row>
    <row r="10" spans="1:19" ht="15.75" customHeight="1" x14ac:dyDescent="0.35">
      <c r="A10" s="26">
        <v>45573</v>
      </c>
      <c r="B10" s="95"/>
      <c r="C10" s="9">
        <f t="shared" si="3"/>
        <v>244.05</v>
      </c>
      <c r="D10" s="9">
        <v>244.05</v>
      </c>
      <c r="E10" s="9">
        <v>172.55</v>
      </c>
      <c r="F10" s="9">
        <v>0</v>
      </c>
      <c r="G10" s="9"/>
      <c r="H10" s="9"/>
      <c r="I10" s="9"/>
      <c r="J10" s="9"/>
      <c r="K10" s="9"/>
      <c r="L10" s="9"/>
      <c r="M10" s="9"/>
      <c r="N10" s="97"/>
      <c r="O10" s="9">
        <v>70</v>
      </c>
      <c r="P10" s="99">
        <f t="shared" si="0"/>
        <v>242.55</v>
      </c>
      <c r="Q10" s="27">
        <f t="shared" si="1"/>
        <v>71.5</v>
      </c>
      <c r="R10" s="41">
        <f t="shared" si="2"/>
        <v>-1.5</v>
      </c>
      <c r="S10" s="28"/>
    </row>
    <row r="11" spans="1:19" ht="15.75" customHeight="1" x14ac:dyDescent="0.35">
      <c r="A11" s="26">
        <v>45574</v>
      </c>
      <c r="B11" s="95"/>
      <c r="C11" s="9">
        <f t="shared" si="3"/>
        <v>142.4</v>
      </c>
      <c r="D11" s="9">
        <v>142.4</v>
      </c>
      <c r="E11" s="9">
        <v>102.8</v>
      </c>
      <c r="F11" s="9">
        <v>0</v>
      </c>
      <c r="G11" s="9"/>
      <c r="H11" s="9"/>
      <c r="I11" s="9"/>
      <c r="J11" s="9"/>
      <c r="K11" s="9"/>
      <c r="L11" s="9"/>
      <c r="M11" s="9"/>
      <c r="N11" s="97"/>
      <c r="O11" s="9">
        <v>40</v>
      </c>
      <c r="P11" s="99">
        <f t="shared" si="0"/>
        <v>142.80000000000001</v>
      </c>
      <c r="Q11" s="27">
        <f t="shared" si="1"/>
        <v>39.599999999999994</v>
      </c>
      <c r="R11" s="41">
        <f t="shared" si="2"/>
        <v>0.40000000000000568</v>
      </c>
      <c r="S11" s="28"/>
    </row>
    <row r="12" spans="1:19" ht="15.75" customHeight="1" x14ac:dyDescent="0.35">
      <c r="A12" s="26">
        <v>45575</v>
      </c>
      <c r="B12" s="95"/>
      <c r="C12" s="9">
        <f t="shared" si="3"/>
        <v>231.9</v>
      </c>
      <c r="D12" s="9">
        <v>231.9</v>
      </c>
      <c r="E12" s="9">
        <v>182.4</v>
      </c>
      <c r="F12" s="9">
        <v>0</v>
      </c>
      <c r="G12" s="9"/>
      <c r="H12" s="9"/>
      <c r="I12" s="9"/>
      <c r="J12" s="9"/>
      <c r="K12" s="9"/>
      <c r="L12" s="9"/>
      <c r="M12" s="9"/>
      <c r="N12" s="97"/>
      <c r="O12" s="9">
        <v>50</v>
      </c>
      <c r="P12" s="99">
        <f t="shared" si="0"/>
        <v>232.4</v>
      </c>
      <c r="Q12" s="27">
        <f t="shared" si="1"/>
        <v>49.5</v>
      </c>
      <c r="R12" s="41">
        <f t="shared" si="2"/>
        <v>0.5</v>
      </c>
      <c r="S12" s="28"/>
    </row>
    <row r="13" spans="1:19" ht="15.75" customHeight="1" x14ac:dyDescent="0.35">
      <c r="A13" s="26">
        <v>45576</v>
      </c>
      <c r="B13" s="95"/>
      <c r="C13" s="9">
        <f t="shared" si="3"/>
        <v>320.5</v>
      </c>
      <c r="D13" s="9">
        <v>320.5</v>
      </c>
      <c r="E13" s="9">
        <v>226.7</v>
      </c>
      <c r="F13" s="9">
        <v>0</v>
      </c>
      <c r="G13" s="9"/>
      <c r="H13" s="9"/>
      <c r="I13" s="9"/>
      <c r="J13" s="9"/>
      <c r="K13" s="9"/>
      <c r="L13" s="9"/>
      <c r="M13" s="9"/>
      <c r="N13" s="97"/>
      <c r="O13" s="9">
        <v>90</v>
      </c>
      <c r="P13" s="99">
        <f t="shared" si="0"/>
        <v>316.7</v>
      </c>
      <c r="Q13" s="27">
        <f t="shared" si="1"/>
        <v>93.800000000000011</v>
      </c>
      <c r="R13" s="41">
        <f t="shared" si="2"/>
        <v>-3.8000000000000114</v>
      </c>
      <c r="S13" s="28"/>
    </row>
    <row r="14" spans="1:19" ht="15.75" customHeight="1" x14ac:dyDescent="0.35">
      <c r="A14" s="26">
        <v>45577</v>
      </c>
      <c r="B14" s="95"/>
      <c r="C14" s="9">
        <f t="shared" si="3"/>
        <v>860.5</v>
      </c>
      <c r="D14" s="9">
        <v>860.5</v>
      </c>
      <c r="E14" s="9">
        <v>634.29999999999995</v>
      </c>
      <c r="F14" s="9">
        <v>0</v>
      </c>
      <c r="G14" s="9"/>
      <c r="H14" s="9"/>
      <c r="I14" s="9"/>
      <c r="J14" s="9"/>
      <c r="K14" s="9"/>
      <c r="L14" s="9"/>
      <c r="M14" s="9"/>
      <c r="N14" s="97"/>
      <c r="O14" s="9">
        <v>225</v>
      </c>
      <c r="P14" s="99">
        <f t="shared" si="0"/>
        <v>859.3</v>
      </c>
      <c r="Q14" s="27">
        <f t="shared" si="1"/>
        <v>226.20000000000005</v>
      </c>
      <c r="R14" s="41">
        <f t="shared" si="2"/>
        <v>-1.2000000000000455</v>
      </c>
      <c r="S14" s="28"/>
    </row>
    <row r="15" spans="1:19" ht="15.75" customHeight="1" x14ac:dyDescent="0.35">
      <c r="A15" s="26">
        <v>45578</v>
      </c>
      <c r="B15" s="95"/>
      <c r="C15" s="9">
        <f t="shared" si="3"/>
        <v>672.56</v>
      </c>
      <c r="D15" s="9">
        <v>672.56</v>
      </c>
      <c r="E15" s="9">
        <v>528.5</v>
      </c>
      <c r="F15" s="9">
        <v>0</v>
      </c>
      <c r="G15" s="9"/>
      <c r="H15" s="9"/>
      <c r="I15" s="9"/>
      <c r="J15" s="9"/>
      <c r="K15" s="9"/>
      <c r="L15" s="9"/>
      <c r="M15" s="9"/>
      <c r="N15" s="97"/>
      <c r="O15" s="9">
        <v>150</v>
      </c>
      <c r="P15" s="99">
        <f t="shared" ref="P15:P33" si="4">E15+F15+G15+H15+I15+J15+K15+L15+O15+M15+N15</f>
        <v>678.5</v>
      </c>
      <c r="Q15" s="27">
        <f t="shared" si="1"/>
        <v>144.05999999999995</v>
      </c>
      <c r="R15" s="41">
        <f t="shared" si="2"/>
        <v>5.9400000000000546</v>
      </c>
      <c r="S15" s="28"/>
    </row>
    <row r="16" spans="1:19" ht="15.75" customHeight="1" x14ac:dyDescent="0.35">
      <c r="A16" s="26">
        <v>45579</v>
      </c>
      <c r="B16" s="95"/>
      <c r="C16" s="9">
        <f t="shared" si="3"/>
        <v>0</v>
      </c>
      <c r="D16" s="9">
        <v>0</v>
      </c>
      <c r="E16" s="9">
        <v>0</v>
      </c>
      <c r="F16" s="9">
        <v>0</v>
      </c>
      <c r="G16" s="9"/>
      <c r="H16" s="9"/>
      <c r="I16" s="9"/>
      <c r="J16" s="9"/>
      <c r="K16" s="9"/>
      <c r="L16" s="9"/>
      <c r="M16" s="9"/>
      <c r="N16" s="97"/>
      <c r="O16" s="9"/>
      <c r="P16" s="99">
        <f t="shared" si="4"/>
        <v>0</v>
      </c>
      <c r="Q16" s="27">
        <f t="shared" si="1"/>
        <v>0</v>
      </c>
      <c r="R16" s="41">
        <f t="shared" si="2"/>
        <v>0</v>
      </c>
      <c r="S16" s="28"/>
    </row>
    <row r="17" spans="1:19" ht="15.75" customHeight="1" x14ac:dyDescent="0.35">
      <c r="A17" s="26">
        <v>45580</v>
      </c>
      <c r="B17" s="95"/>
      <c r="C17" s="9">
        <f t="shared" si="3"/>
        <v>418.1</v>
      </c>
      <c r="D17" s="9">
        <v>418.1</v>
      </c>
      <c r="E17" s="9">
        <v>270.8</v>
      </c>
      <c r="F17" s="9">
        <v>0</v>
      </c>
      <c r="G17" s="9"/>
      <c r="H17" s="9"/>
      <c r="I17" s="9"/>
      <c r="J17" s="9"/>
      <c r="K17" s="9"/>
      <c r="L17" s="9"/>
      <c r="M17" s="9"/>
      <c r="N17" s="97"/>
      <c r="O17" s="9">
        <v>145</v>
      </c>
      <c r="P17" s="99">
        <f t="shared" si="4"/>
        <v>415.8</v>
      </c>
      <c r="Q17" s="27">
        <f t="shared" si="1"/>
        <v>147.30000000000001</v>
      </c>
      <c r="R17" s="41">
        <f t="shared" si="2"/>
        <v>-2.3000000000000114</v>
      </c>
      <c r="S17" s="28"/>
    </row>
    <row r="18" spans="1:19" ht="15.75" customHeight="1" x14ac:dyDescent="0.35">
      <c r="A18" s="26">
        <v>45581</v>
      </c>
      <c r="B18" s="95"/>
      <c r="C18" s="9">
        <f t="shared" si="3"/>
        <v>268.89999999999998</v>
      </c>
      <c r="D18" s="9">
        <v>268.89999999999998</v>
      </c>
      <c r="E18" s="9">
        <v>182.3</v>
      </c>
      <c r="F18" s="9">
        <v>0</v>
      </c>
      <c r="G18" s="9"/>
      <c r="H18" s="9"/>
      <c r="I18" s="9"/>
      <c r="J18" s="9"/>
      <c r="K18" s="9"/>
      <c r="L18" s="9"/>
      <c r="M18" s="9"/>
      <c r="N18" s="97"/>
      <c r="O18" s="9">
        <v>85</v>
      </c>
      <c r="P18" s="99">
        <f t="shared" si="4"/>
        <v>267.3</v>
      </c>
      <c r="Q18" s="27">
        <f t="shared" si="1"/>
        <v>86.599999999999966</v>
      </c>
      <c r="R18" s="41">
        <f t="shared" si="2"/>
        <v>-1.5999999999999659</v>
      </c>
      <c r="S18" s="28"/>
    </row>
    <row r="19" spans="1:19" ht="15.75" customHeight="1" x14ac:dyDescent="0.35">
      <c r="A19" s="26">
        <v>45582</v>
      </c>
      <c r="B19" s="95"/>
      <c r="C19" s="9">
        <f t="shared" si="3"/>
        <v>289</v>
      </c>
      <c r="D19" s="9">
        <v>289</v>
      </c>
      <c r="E19" s="9">
        <v>188</v>
      </c>
      <c r="F19" s="9">
        <v>0</v>
      </c>
      <c r="G19" s="9"/>
      <c r="H19" s="9"/>
      <c r="I19" s="9"/>
      <c r="J19" s="9"/>
      <c r="K19" s="9"/>
      <c r="L19" s="9"/>
      <c r="M19" s="9"/>
      <c r="N19" s="97"/>
      <c r="O19" s="9">
        <v>95</v>
      </c>
      <c r="P19" s="99">
        <f t="shared" si="4"/>
        <v>283</v>
      </c>
      <c r="Q19" s="27">
        <f t="shared" si="1"/>
        <v>101</v>
      </c>
      <c r="R19" s="41">
        <f t="shared" si="2"/>
        <v>-6</v>
      </c>
      <c r="S19" s="28"/>
    </row>
    <row r="20" spans="1:19" ht="15.75" customHeight="1" x14ac:dyDescent="0.35">
      <c r="A20" s="26">
        <v>45583</v>
      </c>
      <c r="B20" s="95"/>
      <c r="C20" s="9">
        <f t="shared" si="3"/>
        <v>426.1</v>
      </c>
      <c r="D20" s="9">
        <v>426.1</v>
      </c>
      <c r="E20" s="9">
        <v>252.8</v>
      </c>
      <c r="F20" s="9">
        <v>0</v>
      </c>
      <c r="G20" s="9"/>
      <c r="H20" s="9"/>
      <c r="I20" s="9"/>
      <c r="J20" s="9"/>
      <c r="K20" s="9"/>
      <c r="L20" s="9"/>
      <c r="M20" s="9"/>
      <c r="N20" s="97"/>
      <c r="O20" s="9">
        <v>170</v>
      </c>
      <c r="P20" s="99">
        <f t="shared" si="4"/>
        <v>422.8</v>
      </c>
      <c r="Q20" s="27">
        <f t="shared" ref="Q20:Q33" si="5">O20-R20</f>
        <v>173.3</v>
      </c>
      <c r="R20" s="41">
        <f t="shared" ref="R20:R33" si="6">P20-C20-H20</f>
        <v>-3.3000000000000114</v>
      </c>
      <c r="S20" s="28"/>
    </row>
    <row r="21" spans="1:19" ht="15.75" customHeight="1" x14ac:dyDescent="0.35">
      <c r="A21" s="26">
        <v>45584</v>
      </c>
      <c r="B21" s="95"/>
      <c r="C21" s="9">
        <f t="shared" si="3"/>
        <v>494.1</v>
      </c>
      <c r="D21" s="9">
        <v>494.1</v>
      </c>
      <c r="E21" s="9">
        <v>353.9</v>
      </c>
      <c r="F21" s="9">
        <v>0</v>
      </c>
      <c r="G21" s="9"/>
      <c r="H21" s="9"/>
      <c r="I21" s="9"/>
      <c r="J21" s="9"/>
      <c r="K21" s="9"/>
      <c r="L21" s="9"/>
      <c r="M21" s="9"/>
      <c r="N21" s="97"/>
      <c r="O21" s="9">
        <v>140</v>
      </c>
      <c r="P21" s="99">
        <f t="shared" si="4"/>
        <v>493.9</v>
      </c>
      <c r="Q21" s="27">
        <f t="shared" si="5"/>
        <v>140.20000000000005</v>
      </c>
      <c r="R21" s="41">
        <f t="shared" si="6"/>
        <v>-0.20000000000004547</v>
      </c>
      <c r="S21" s="28"/>
    </row>
    <row r="22" spans="1:19" ht="15.75" customHeight="1" x14ac:dyDescent="0.35">
      <c r="A22" s="26">
        <v>45585</v>
      </c>
      <c r="B22" s="95"/>
      <c r="C22" s="9">
        <f t="shared" si="3"/>
        <v>576.95000000000005</v>
      </c>
      <c r="D22" s="9">
        <v>576.95000000000005</v>
      </c>
      <c r="E22" s="9">
        <v>419.45</v>
      </c>
      <c r="F22" s="9">
        <v>0</v>
      </c>
      <c r="G22" s="9"/>
      <c r="H22" s="9"/>
      <c r="I22" s="9"/>
      <c r="J22" s="9"/>
      <c r="K22" s="9"/>
      <c r="L22" s="9"/>
      <c r="M22" s="9"/>
      <c r="N22" s="97"/>
      <c r="O22" s="9">
        <v>160</v>
      </c>
      <c r="P22" s="99">
        <f t="shared" si="4"/>
        <v>579.45000000000005</v>
      </c>
      <c r="Q22" s="27">
        <f t="shared" si="5"/>
        <v>157.5</v>
      </c>
      <c r="R22" s="41">
        <f t="shared" si="6"/>
        <v>2.5</v>
      </c>
      <c r="S22" s="28"/>
    </row>
    <row r="23" spans="1:19" ht="15.75" customHeight="1" x14ac:dyDescent="0.35">
      <c r="A23" s="26">
        <v>45586</v>
      </c>
      <c r="B23" s="95"/>
      <c r="C23" s="9">
        <f t="shared" si="3"/>
        <v>0</v>
      </c>
      <c r="D23" s="9">
        <v>0</v>
      </c>
      <c r="E23" s="9">
        <v>0</v>
      </c>
      <c r="F23" s="9">
        <v>0</v>
      </c>
      <c r="G23" s="9"/>
      <c r="H23" s="9"/>
      <c r="I23" s="9"/>
      <c r="J23" s="9"/>
      <c r="K23" s="9"/>
      <c r="L23" s="9"/>
      <c r="M23" s="9"/>
      <c r="N23" s="97"/>
      <c r="O23" s="9"/>
      <c r="P23" s="99">
        <f t="shared" si="4"/>
        <v>0</v>
      </c>
      <c r="Q23" s="27">
        <f t="shared" si="5"/>
        <v>0</v>
      </c>
      <c r="R23" s="41">
        <f t="shared" si="6"/>
        <v>0</v>
      </c>
      <c r="S23" s="28"/>
    </row>
    <row r="24" spans="1:19" ht="15.75" customHeight="1" x14ac:dyDescent="0.35">
      <c r="A24" s="26">
        <v>45587</v>
      </c>
      <c r="B24" s="95"/>
      <c r="C24" s="9">
        <f t="shared" si="3"/>
        <v>416.2</v>
      </c>
      <c r="D24" s="9">
        <v>416.2</v>
      </c>
      <c r="E24" s="9">
        <v>278.5</v>
      </c>
      <c r="F24" s="9">
        <v>0</v>
      </c>
      <c r="G24" s="9"/>
      <c r="H24" s="9"/>
      <c r="I24" s="9"/>
      <c r="J24" s="9"/>
      <c r="K24" s="9"/>
      <c r="L24" s="9"/>
      <c r="M24" s="9"/>
      <c r="N24" s="97"/>
      <c r="O24" s="9">
        <v>140</v>
      </c>
      <c r="P24" s="99">
        <f t="shared" si="4"/>
        <v>418.5</v>
      </c>
      <c r="Q24" s="27">
        <f t="shared" si="5"/>
        <v>137.69999999999999</v>
      </c>
      <c r="R24" s="41">
        <f t="shared" si="6"/>
        <v>2.3000000000000114</v>
      </c>
      <c r="S24" s="28"/>
    </row>
    <row r="25" spans="1:19" ht="15.75" customHeight="1" x14ac:dyDescent="0.35">
      <c r="A25" s="26">
        <v>45588</v>
      </c>
      <c r="B25" s="95"/>
      <c r="C25" s="9">
        <f t="shared" si="3"/>
        <v>414.5</v>
      </c>
      <c r="D25" s="9">
        <v>414.5</v>
      </c>
      <c r="E25" s="9">
        <v>243.5</v>
      </c>
      <c r="F25" s="9">
        <v>0</v>
      </c>
      <c r="G25" s="9"/>
      <c r="H25" s="9"/>
      <c r="I25" s="9"/>
      <c r="J25" s="9"/>
      <c r="K25" s="9"/>
      <c r="L25" s="9"/>
      <c r="M25" s="9"/>
      <c r="N25" s="97"/>
      <c r="O25" s="9">
        <v>170</v>
      </c>
      <c r="P25" s="99">
        <f t="shared" si="4"/>
        <v>413.5</v>
      </c>
      <c r="Q25" s="27">
        <f t="shared" si="5"/>
        <v>171</v>
      </c>
      <c r="R25" s="41">
        <f t="shared" si="6"/>
        <v>-1</v>
      </c>
      <c r="S25" s="28"/>
    </row>
    <row r="26" spans="1:19" ht="15.75" customHeight="1" x14ac:dyDescent="0.35">
      <c r="A26" s="26">
        <v>45589</v>
      </c>
      <c r="B26" s="95"/>
      <c r="C26" s="9">
        <f t="shared" si="3"/>
        <v>439.2</v>
      </c>
      <c r="D26" s="9">
        <v>439.2</v>
      </c>
      <c r="E26" s="9">
        <v>287.10000000000002</v>
      </c>
      <c r="F26" s="9">
        <v>0</v>
      </c>
      <c r="G26" s="9"/>
      <c r="H26" s="9"/>
      <c r="I26" s="9"/>
      <c r="J26" s="9"/>
      <c r="K26" s="9"/>
      <c r="L26" s="9"/>
      <c r="M26" s="9"/>
      <c r="N26" s="97"/>
      <c r="O26" s="9">
        <v>160</v>
      </c>
      <c r="P26" s="99">
        <f t="shared" si="4"/>
        <v>447.1</v>
      </c>
      <c r="Q26" s="27">
        <f t="shared" si="5"/>
        <v>152.09999999999997</v>
      </c>
      <c r="R26" s="41">
        <f t="shared" si="6"/>
        <v>7.9000000000000341</v>
      </c>
      <c r="S26" s="28"/>
    </row>
    <row r="27" spans="1:19" ht="15.75" customHeight="1" x14ac:dyDescent="0.35">
      <c r="A27" s="26">
        <v>45590</v>
      </c>
      <c r="B27" s="95"/>
      <c r="C27" s="9">
        <f t="shared" si="3"/>
        <v>284.5</v>
      </c>
      <c r="D27" s="9">
        <v>284.5</v>
      </c>
      <c r="E27" s="9">
        <v>158.4</v>
      </c>
      <c r="F27" s="9">
        <v>0</v>
      </c>
      <c r="G27" s="9"/>
      <c r="H27" s="9"/>
      <c r="I27" s="9"/>
      <c r="J27" s="9"/>
      <c r="K27" s="9"/>
      <c r="L27" s="9"/>
      <c r="M27" s="9"/>
      <c r="N27" s="97"/>
      <c r="O27" s="9">
        <v>125</v>
      </c>
      <c r="P27" s="99">
        <f t="shared" si="4"/>
        <v>283.39999999999998</v>
      </c>
      <c r="Q27" s="27">
        <f t="shared" si="5"/>
        <v>126.10000000000002</v>
      </c>
      <c r="R27" s="41">
        <f t="shared" si="6"/>
        <v>-1.1000000000000227</v>
      </c>
      <c r="S27" s="28"/>
    </row>
    <row r="28" spans="1:19" ht="15.75" customHeight="1" x14ac:dyDescent="0.35">
      <c r="A28" s="26">
        <v>45591</v>
      </c>
      <c r="B28" s="95"/>
      <c r="C28" s="9">
        <f t="shared" si="3"/>
        <v>518.04999999999995</v>
      </c>
      <c r="D28" s="9">
        <v>518.04999999999995</v>
      </c>
      <c r="E28" s="9">
        <v>375.55</v>
      </c>
      <c r="F28" s="9">
        <v>0</v>
      </c>
      <c r="G28" s="9"/>
      <c r="H28" s="9"/>
      <c r="I28" s="9"/>
      <c r="J28" s="9"/>
      <c r="K28" s="9"/>
      <c r="L28" s="9"/>
      <c r="M28" s="9"/>
      <c r="N28" s="97"/>
      <c r="O28" s="9">
        <v>140</v>
      </c>
      <c r="P28" s="99">
        <f t="shared" si="4"/>
        <v>515.54999999999995</v>
      </c>
      <c r="Q28" s="27">
        <f t="shared" si="5"/>
        <v>142.5</v>
      </c>
      <c r="R28" s="41">
        <f t="shared" si="6"/>
        <v>-2.5</v>
      </c>
      <c r="S28" s="28"/>
    </row>
    <row r="29" spans="1:19" ht="15.75" customHeight="1" x14ac:dyDescent="0.35">
      <c r="A29" s="26">
        <v>45592</v>
      </c>
      <c r="B29" s="95"/>
      <c r="C29" s="9">
        <f t="shared" si="3"/>
        <v>545.29999999999995</v>
      </c>
      <c r="D29" s="9">
        <v>545.29999999999995</v>
      </c>
      <c r="E29" s="9">
        <v>377.2</v>
      </c>
      <c r="F29" s="9">
        <v>0</v>
      </c>
      <c r="G29" s="9"/>
      <c r="H29" s="9"/>
      <c r="I29" s="9"/>
      <c r="J29" s="9"/>
      <c r="K29" s="9"/>
      <c r="L29" s="9"/>
      <c r="M29" s="9"/>
      <c r="N29" s="97"/>
      <c r="O29" s="9">
        <v>170</v>
      </c>
      <c r="P29" s="99">
        <f t="shared" si="4"/>
        <v>547.20000000000005</v>
      </c>
      <c r="Q29" s="27">
        <f t="shared" si="5"/>
        <v>168.09999999999991</v>
      </c>
      <c r="R29" s="41">
        <f t="shared" si="6"/>
        <v>1.9000000000000909</v>
      </c>
      <c r="S29" s="28"/>
    </row>
    <row r="30" spans="1:19" ht="15.75" customHeight="1" x14ac:dyDescent="0.35">
      <c r="A30" s="26">
        <v>45593</v>
      </c>
      <c r="B30" s="95"/>
      <c r="C30" s="9">
        <f t="shared" si="3"/>
        <v>0</v>
      </c>
      <c r="D30" s="9">
        <v>0</v>
      </c>
      <c r="E30" s="9">
        <v>0</v>
      </c>
      <c r="F30" s="9">
        <v>0</v>
      </c>
      <c r="G30" s="9"/>
      <c r="H30" s="9"/>
      <c r="I30" s="9"/>
      <c r="J30" s="9"/>
      <c r="K30" s="9"/>
      <c r="L30" s="9"/>
      <c r="M30" s="9"/>
      <c r="N30" s="97"/>
      <c r="O30" s="9"/>
      <c r="P30" s="99">
        <f t="shared" si="4"/>
        <v>0</v>
      </c>
      <c r="Q30" s="27">
        <f t="shared" si="5"/>
        <v>0</v>
      </c>
      <c r="R30" s="41">
        <f t="shared" si="6"/>
        <v>0</v>
      </c>
      <c r="S30" s="28"/>
    </row>
    <row r="31" spans="1:19" ht="15.75" customHeight="1" x14ac:dyDescent="0.35">
      <c r="A31" s="26">
        <v>45594</v>
      </c>
      <c r="B31" s="95"/>
      <c r="C31" s="9">
        <f t="shared" si="3"/>
        <v>331.3</v>
      </c>
      <c r="D31" s="9">
        <v>331.3</v>
      </c>
      <c r="E31" s="9">
        <v>227</v>
      </c>
      <c r="F31" s="9">
        <v>0</v>
      </c>
      <c r="G31" s="9"/>
      <c r="H31" s="9"/>
      <c r="I31" s="9"/>
      <c r="J31" s="9"/>
      <c r="K31" s="9"/>
      <c r="L31" s="9"/>
      <c r="M31" s="9"/>
      <c r="N31" s="97"/>
      <c r="O31" s="9">
        <v>110</v>
      </c>
      <c r="P31" s="99">
        <f t="shared" si="4"/>
        <v>337</v>
      </c>
      <c r="Q31" s="27">
        <f t="shared" si="5"/>
        <v>104.30000000000001</v>
      </c>
      <c r="R31" s="41">
        <f t="shared" si="6"/>
        <v>5.6999999999999886</v>
      </c>
      <c r="S31" s="28"/>
    </row>
    <row r="32" spans="1:19" ht="15.75" customHeight="1" x14ac:dyDescent="0.35">
      <c r="A32" s="26">
        <v>45595</v>
      </c>
      <c r="B32" s="95"/>
      <c r="C32" s="9">
        <f t="shared" si="3"/>
        <v>450.1</v>
      </c>
      <c r="D32" s="9">
        <v>450.1</v>
      </c>
      <c r="E32" s="9">
        <v>302.3</v>
      </c>
      <c r="F32" s="9">
        <v>0</v>
      </c>
      <c r="G32" s="9"/>
      <c r="H32" s="9"/>
      <c r="I32" s="9"/>
      <c r="J32" s="9"/>
      <c r="K32" s="9"/>
      <c r="L32" s="9"/>
      <c r="M32" s="9"/>
      <c r="N32" s="97"/>
      <c r="O32" s="9">
        <v>150</v>
      </c>
      <c r="P32" s="99">
        <f t="shared" si="4"/>
        <v>452.3</v>
      </c>
      <c r="Q32" s="27">
        <f t="shared" si="5"/>
        <v>147.80000000000001</v>
      </c>
      <c r="R32" s="41">
        <f t="shared" si="6"/>
        <v>2.1999999999999886</v>
      </c>
      <c r="S32" s="28"/>
    </row>
    <row r="33" spans="1:19" ht="15.75" customHeight="1" x14ac:dyDescent="0.35">
      <c r="A33" s="26">
        <v>45596</v>
      </c>
      <c r="B33" s="95"/>
      <c r="C33" s="9">
        <f t="shared" si="3"/>
        <v>285.89999999999998</v>
      </c>
      <c r="D33" s="9">
        <v>285.89999999999998</v>
      </c>
      <c r="E33" s="9">
        <v>209</v>
      </c>
      <c r="F33" s="9">
        <v>0</v>
      </c>
      <c r="G33" s="9"/>
      <c r="H33" s="9"/>
      <c r="I33" s="9"/>
      <c r="J33" s="9"/>
      <c r="K33" s="9"/>
      <c r="L33" s="9"/>
      <c r="M33" s="9"/>
      <c r="N33" s="97"/>
      <c r="O33" s="9">
        <v>80</v>
      </c>
      <c r="P33" s="99">
        <f t="shared" si="4"/>
        <v>289</v>
      </c>
      <c r="Q33" s="27">
        <f t="shared" si="5"/>
        <v>76.899999999999977</v>
      </c>
      <c r="R33" s="41">
        <f t="shared" si="6"/>
        <v>3.1000000000000227</v>
      </c>
      <c r="S33" s="28"/>
    </row>
    <row r="34" spans="1:19" ht="15.75" customHeight="1" x14ac:dyDescent="0.35">
      <c r="A34" s="270" t="s">
        <v>2661</v>
      </c>
      <c r="B34" s="273"/>
      <c r="C34" s="273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2"/>
      <c r="P34" s="48">
        <f>SUM(P3:P33)</f>
        <v>10341.25</v>
      </c>
      <c r="Q34" s="72">
        <f>P34-R34</f>
        <v>10334.709999999999</v>
      </c>
      <c r="R34" s="49">
        <f>SUM(R3:R33)</f>
        <v>6.5400000000000489</v>
      </c>
      <c r="S34" s="50"/>
    </row>
    <row r="35" spans="1:19" ht="15.75" customHeight="1" x14ac:dyDescent="0.35"/>
    <row r="36" spans="1:19" ht="15.75" customHeight="1" x14ac:dyDescent="0.35"/>
    <row r="37" spans="1:19" ht="15.75" customHeight="1" x14ac:dyDescent="0.35"/>
    <row r="38" spans="1:19" ht="15.75" customHeight="1" x14ac:dyDescent="0.35"/>
    <row r="39" spans="1:19" ht="15.75" customHeight="1" x14ac:dyDescent="0.35"/>
    <row r="40" spans="1:19" ht="15.75" customHeight="1" x14ac:dyDescent="0.35"/>
    <row r="41" spans="1:19" ht="15.75" customHeight="1" x14ac:dyDescent="0.35"/>
    <row r="42" spans="1:19" ht="15.75" customHeight="1" x14ac:dyDescent="0.35"/>
    <row r="43" spans="1:19" ht="15.75" customHeight="1" x14ac:dyDescent="0.35"/>
    <row r="44" spans="1:19" ht="15.75" customHeight="1" x14ac:dyDescent="0.35"/>
    <row r="45" spans="1:19" ht="15.75" customHeight="1" x14ac:dyDescent="0.35"/>
    <row r="46" spans="1:19" ht="15.75" customHeight="1" x14ac:dyDescent="0.35"/>
    <row r="47" spans="1:19" ht="15.75" customHeight="1" x14ac:dyDescent="0.35"/>
    <row r="48" spans="1:1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34:O34"/>
  </mergeCells>
  <dataValidations count="1">
    <dataValidation type="list" allowBlank="1" showInputMessage="1" showErrorMessage="1" sqref="B3:B33" xr:uid="{16ABE329-B788-4FC8-8DAF-7AC59D8ACF63}">
      <formula1>"Matosinhos;TimeOut;Bolhão"</formula1>
    </dataValidation>
  </dataValidations>
  <pageMargins left="0.75" right="0.75" top="1" bottom="1" header="0" footer="0"/>
  <pageSetup paperSize="9" orientation="portrait" r:id="rId1"/>
</worksheet>
</file>

<file path=docMetadata/LabelInfo.xml><?xml version="1.0" encoding="utf-8"?>
<clbl:labelList xmlns:clbl="http://schemas.microsoft.com/office/2020/mipLabelMetadata">
  <clbl:label id="{a82f69d8-d8f9-451b-8bdb-582a92f30e54}" enabled="1" method="Privileged" siteId="{c966f82c-42fb-40e2-9370-3a7a3da6cb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Formosa</vt:lpstr>
      <vt:lpstr>BD_Movimentos</vt:lpstr>
      <vt:lpstr>Fundo de Caixa</vt:lpstr>
      <vt:lpstr>Depositos Matosinhos</vt:lpstr>
      <vt:lpstr>Maio</vt:lpstr>
      <vt:lpstr>Junho</vt:lpstr>
      <vt:lpstr>Julho</vt:lpstr>
      <vt:lpstr>Agosto</vt:lpstr>
      <vt:lpstr>Setembro</vt:lpstr>
      <vt:lpstr>Novembro</vt:lpstr>
      <vt:lpstr>Maio 23</vt:lpstr>
      <vt:lpstr>Jun 23 </vt:lpstr>
      <vt:lpstr>Depositos Bolhão</vt:lpstr>
      <vt:lpstr>Jul 23</vt:lpstr>
      <vt:lpstr>Outubro</vt:lpstr>
      <vt:lpstr>Nov 23</vt:lpstr>
      <vt:lpstr>Dezembro</vt:lpstr>
      <vt:lpstr>Dez 23</vt:lpstr>
      <vt:lpstr>Jan 23</vt:lpstr>
      <vt:lpstr>Fev 23 </vt:lpstr>
      <vt:lpstr>Mar 23</vt:lpstr>
      <vt:lpstr>Abril 23</vt:lpstr>
      <vt:lpstr>Jan 24</vt:lpstr>
      <vt:lpstr>Fev 24</vt:lpstr>
      <vt:lpstr>Mar 24</vt:lpstr>
      <vt:lpstr>Abr 24 </vt:lpstr>
      <vt:lpstr>Mai 24</vt:lpstr>
      <vt:lpstr>Jun 24</vt:lpstr>
      <vt:lpstr>Jul 24</vt:lpstr>
      <vt:lpstr>Ago 23</vt:lpstr>
      <vt:lpstr>Ago 24</vt:lpstr>
      <vt:lpstr>Set 23</vt:lpstr>
      <vt:lpstr>Out 23</vt:lpstr>
      <vt:lpstr>Set 24 Mat</vt:lpstr>
      <vt:lpstr>Set 24 Bolhão</vt:lpstr>
      <vt:lpstr>Jan 25 Bolhao</vt:lpstr>
      <vt:lpstr>Jan 25Mat</vt:lpstr>
      <vt:lpstr>Dez 24 Bolhao</vt:lpstr>
      <vt:lpstr>Dez 24 Mat</vt:lpstr>
      <vt:lpstr>Nov 24 Mat</vt:lpstr>
      <vt:lpstr>Out 24 Mat</vt:lpstr>
      <vt:lpstr>Nov 24 Bolhão</vt:lpstr>
      <vt:lpstr>Out 24 Bolhão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G</dc:creator>
  <cp:keywords/>
  <dc:description/>
  <cp:lastModifiedBy>Carlos Jorge Moreira</cp:lastModifiedBy>
  <cp:revision/>
  <dcterms:created xsi:type="dcterms:W3CDTF">2022-05-12T15:01:38Z</dcterms:created>
  <dcterms:modified xsi:type="dcterms:W3CDTF">2026-03-23T11:44:18Z</dcterms:modified>
  <cp:category/>
  <cp:contentStatus/>
</cp:coreProperties>
</file>