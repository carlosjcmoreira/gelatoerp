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51d3917e3898588/Niva Porto/2. Contabilidade/Registo de Faturas/2026/"/>
    </mc:Choice>
  </mc:AlternateContent>
  <xr:revisionPtr revIDLastSave="0" documentId="8_{B2D01B52-344F-4635-AD8B-195531EC409D}" xr6:coauthVersionLast="47" xr6:coauthVersionMax="47" xr10:uidLastSave="{00000000-0000-0000-0000-000000000000}"/>
  <bookViews>
    <workbookView xWindow="-98" yWindow="-98" windowWidth="22695" windowHeight="14476" xr2:uid="{B860B449-B5FA-439F-B076-F0BFDC6499D3}"/>
  </bookViews>
  <sheets>
    <sheet name="15_01_2026" sheetId="1" r:id="rId1"/>
  </sheets>
  <definedNames>
    <definedName name="_xlnm._FilterDatabase" localSheetId="0" hidden="1">'15_01_2026'!$A$1:$L$113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5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3" i="1"/>
  <c r="G4" i="1"/>
  <c r="G2" i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3" i="1"/>
  <c r="G93" i="1" s="1"/>
  <c r="E94" i="1"/>
  <c r="G94" i="1" s="1"/>
  <c r="E95" i="1"/>
  <c r="G95" i="1" s="1"/>
  <c r="E96" i="1"/>
  <c r="G96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09" i="1"/>
  <c r="G109" i="1" s="1"/>
  <c r="E110" i="1"/>
  <c r="G110" i="1" s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3" i="1"/>
  <c r="G123" i="1" s="1"/>
  <c r="E124" i="1"/>
  <c r="G124" i="1" s="1"/>
  <c r="E125" i="1"/>
  <c r="G125" i="1" s="1"/>
  <c r="E126" i="1"/>
  <c r="G126" i="1" s="1"/>
  <c r="E127" i="1"/>
  <c r="G127" i="1" s="1"/>
  <c r="E128" i="1"/>
  <c r="G128" i="1" s="1"/>
  <c r="E129" i="1"/>
  <c r="G129" i="1" s="1"/>
  <c r="E130" i="1"/>
  <c r="G130" i="1" s="1"/>
  <c r="E131" i="1"/>
  <c r="G131" i="1" s="1"/>
  <c r="E132" i="1"/>
  <c r="G132" i="1" s="1"/>
  <c r="E133" i="1"/>
  <c r="G133" i="1" s="1"/>
  <c r="E134" i="1"/>
  <c r="G134" i="1" s="1"/>
  <c r="E135" i="1"/>
  <c r="G135" i="1" s="1"/>
  <c r="E136" i="1"/>
  <c r="G136" i="1" s="1"/>
  <c r="E137" i="1"/>
  <c r="G137" i="1" s="1"/>
  <c r="E138" i="1"/>
  <c r="G138" i="1" s="1"/>
  <c r="E139" i="1"/>
  <c r="G139" i="1" s="1"/>
  <c r="E140" i="1"/>
  <c r="G140" i="1" s="1"/>
  <c r="E141" i="1"/>
  <c r="G141" i="1" s="1"/>
  <c r="E142" i="1"/>
  <c r="G142" i="1" s="1"/>
  <c r="E143" i="1"/>
  <c r="G143" i="1" s="1"/>
  <c r="E144" i="1"/>
  <c r="G144" i="1" s="1"/>
  <c r="E145" i="1"/>
  <c r="G145" i="1" s="1"/>
  <c r="E146" i="1"/>
  <c r="G146" i="1" s="1"/>
  <c r="E147" i="1"/>
  <c r="G147" i="1" s="1"/>
  <c r="E148" i="1"/>
  <c r="G148" i="1" s="1"/>
  <c r="E149" i="1"/>
  <c r="G149" i="1" s="1"/>
  <c r="E150" i="1"/>
  <c r="G150" i="1" s="1"/>
  <c r="E151" i="1"/>
  <c r="G151" i="1" s="1"/>
  <c r="E152" i="1"/>
  <c r="G152" i="1" s="1"/>
  <c r="E153" i="1"/>
  <c r="G153" i="1" s="1"/>
  <c r="E154" i="1"/>
  <c r="G154" i="1" s="1"/>
  <c r="E155" i="1"/>
  <c r="G155" i="1" s="1"/>
  <c r="E156" i="1"/>
  <c r="G156" i="1" s="1"/>
  <c r="E157" i="1"/>
  <c r="G157" i="1" s="1"/>
  <c r="E158" i="1"/>
  <c r="G158" i="1" s="1"/>
  <c r="E159" i="1"/>
  <c r="G159" i="1" s="1"/>
  <c r="E160" i="1"/>
  <c r="G160" i="1" s="1"/>
  <c r="E161" i="1"/>
  <c r="G161" i="1" s="1"/>
  <c r="E162" i="1"/>
  <c r="G162" i="1" s="1"/>
  <c r="E163" i="1"/>
  <c r="G163" i="1" s="1"/>
  <c r="E164" i="1"/>
  <c r="G16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71" i="1"/>
  <c r="G171" i="1" s="1"/>
  <c r="E172" i="1"/>
  <c r="G172" i="1" s="1"/>
  <c r="E173" i="1"/>
  <c r="G173" i="1" s="1"/>
  <c r="E174" i="1"/>
  <c r="G174" i="1" s="1"/>
  <c r="E175" i="1"/>
  <c r="G175" i="1" s="1"/>
  <c r="E176" i="1"/>
  <c r="G176" i="1" s="1"/>
  <c r="E177" i="1"/>
  <c r="G177" i="1" s="1"/>
  <c r="E178" i="1"/>
  <c r="G178" i="1" s="1"/>
  <c r="E179" i="1"/>
  <c r="G179" i="1" s="1"/>
  <c r="E180" i="1"/>
  <c r="G180" i="1" s="1"/>
  <c r="E181" i="1"/>
  <c r="G181" i="1" s="1"/>
  <c r="E182" i="1"/>
  <c r="G182" i="1" s="1"/>
  <c r="E183" i="1"/>
  <c r="G183" i="1" s="1"/>
  <c r="E184" i="1"/>
  <c r="G184" i="1" s="1"/>
  <c r="G185" i="1"/>
  <c r="E186" i="1"/>
  <c r="G186" i="1" s="1"/>
  <c r="E187" i="1"/>
  <c r="G187" i="1" s="1"/>
  <c r="E188" i="1"/>
  <c r="G188" i="1" s="1"/>
  <c r="E189" i="1"/>
  <c r="G189" i="1" s="1"/>
  <c r="E190" i="1"/>
  <c r="G190" i="1" s="1"/>
  <c r="E191" i="1"/>
  <c r="G191" i="1" s="1"/>
  <c r="E192" i="1"/>
  <c r="G192" i="1" s="1"/>
  <c r="E193" i="1"/>
  <c r="G193" i="1" s="1"/>
  <c r="E194" i="1"/>
  <c r="G194" i="1" s="1"/>
  <c r="E195" i="1"/>
  <c r="G195" i="1" s="1"/>
  <c r="E196" i="1"/>
  <c r="G196" i="1" s="1"/>
  <c r="E197" i="1"/>
  <c r="G197" i="1" s="1"/>
  <c r="E198" i="1"/>
  <c r="G198" i="1" s="1"/>
  <c r="E199" i="1"/>
  <c r="G199" i="1" s="1"/>
  <c r="E200" i="1"/>
  <c r="G200" i="1" s="1"/>
  <c r="E201" i="1"/>
  <c r="G201" i="1" s="1"/>
  <c r="E202" i="1"/>
  <c r="G202" i="1" s="1"/>
  <c r="E203" i="1"/>
  <c r="G203" i="1" s="1"/>
  <c r="E204" i="1"/>
  <c r="G204" i="1" s="1"/>
  <c r="E205" i="1"/>
  <c r="G205" i="1" s="1"/>
  <c r="E206" i="1"/>
  <c r="G206" i="1" s="1"/>
  <c r="E207" i="1"/>
  <c r="G207" i="1" s="1"/>
  <c r="E208" i="1"/>
  <c r="G208" i="1" s="1"/>
  <c r="E209" i="1"/>
  <c r="G209" i="1" s="1"/>
  <c r="E210" i="1"/>
  <c r="G210" i="1" s="1"/>
  <c r="E211" i="1"/>
  <c r="G211" i="1" s="1"/>
  <c r="E212" i="1"/>
  <c r="G212" i="1" s="1"/>
  <c r="E213" i="1"/>
  <c r="G213" i="1" s="1"/>
  <c r="E214" i="1"/>
  <c r="G214" i="1" s="1"/>
  <c r="E215" i="1"/>
  <c r="G215" i="1" s="1"/>
  <c r="E216" i="1"/>
  <c r="G216" i="1" s="1"/>
  <c r="E217" i="1"/>
  <c r="G217" i="1" s="1"/>
  <c r="E218" i="1"/>
  <c r="G218" i="1" s="1"/>
  <c r="E219" i="1"/>
  <c r="G219" i="1" s="1"/>
  <c r="E220" i="1"/>
  <c r="G220" i="1" s="1"/>
  <c r="E221" i="1"/>
  <c r="G221" i="1" s="1"/>
  <c r="E222" i="1"/>
  <c r="G222" i="1" s="1"/>
  <c r="E223" i="1"/>
  <c r="G223" i="1" s="1"/>
  <c r="E224" i="1"/>
  <c r="G224" i="1" s="1"/>
  <c r="E225" i="1"/>
  <c r="G225" i="1" s="1"/>
  <c r="E226" i="1"/>
  <c r="G226" i="1" s="1"/>
  <c r="E227" i="1"/>
  <c r="G227" i="1" s="1"/>
  <c r="E228" i="1"/>
  <c r="G228" i="1" s="1"/>
  <c r="E229" i="1"/>
  <c r="G229" i="1" s="1"/>
  <c r="E230" i="1"/>
  <c r="G230" i="1" s="1"/>
  <c r="E231" i="1"/>
  <c r="G231" i="1" s="1"/>
  <c r="E232" i="1"/>
  <c r="G232" i="1" s="1"/>
  <c r="E233" i="1"/>
  <c r="G233" i="1" s="1"/>
  <c r="E234" i="1"/>
  <c r="G234" i="1" s="1"/>
  <c r="E235" i="1"/>
  <c r="G235" i="1" s="1"/>
  <c r="E236" i="1"/>
  <c r="G236" i="1" s="1"/>
  <c r="E237" i="1"/>
  <c r="G237" i="1" s="1"/>
  <c r="E238" i="1"/>
  <c r="G238" i="1" s="1"/>
  <c r="E239" i="1"/>
  <c r="G239" i="1" s="1"/>
  <c r="E240" i="1"/>
  <c r="G240" i="1" s="1"/>
  <c r="E241" i="1"/>
  <c r="G241" i="1" s="1"/>
  <c r="E242" i="1"/>
  <c r="G242" i="1" s="1"/>
  <c r="E243" i="1"/>
  <c r="G243" i="1" s="1"/>
  <c r="E244" i="1"/>
  <c r="G244" i="1" s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53" i="1"/>
  <c r="G253" i="1" s="1"/>
  <c r="E254" i="1"/>
  <c r="G254" i="1" s="1"/>
  <c r="E255" i="1"/>
  <c r="G255" i="1" s="1"/>
  <c r="K27" i="1"/>
  <c r="L27" i="1"/>
  <c r="K171" i="1"/>
  <c r="L171" i="1" s="1"/>
  <c r="K93" i="1"/>
  <c r="L93" i="1" s="1"/>
  <c r="K94" i="1"/>
  <c r="L94" i="1" s="1"/>
  <c r="K224" i="1"/>
  <c r="L224" i="1" s="1"/>
  <c r="K225" i="1"/>
  <c r="L225" i="1" s="1"/>
  <c r="K228" i="1"/>
  <c r="L228" i="1" s="1"/>
  <c r="K168" i="1"/>
  <c r="L168" i="1" s="1"/>
  <c r="K169" i="1"/>
  <c r="L169" i="1" s="1"/>
  <c r="K86" i="1"/>
  <c r="L86" i="1" s="1"/>
  <c r="K16" i="1"/>
  <c r="K118" i="1"/>
  <c r="K97" i="1"/>
  <c r="L97" i="1" s="1"/>
  <c r="K98" i="1"/>
  <c r="L98" i="1" s="1"/>
  <c r="K99" i="1"/>
  <c r="L99" i="1" s="1"/>
  <c r="K100" i="1"/>
  <c r="L100" i="1" s="1"/>
  <c r="K117" i="1"/>
  <c r="K247" i="1"/>
  <c r="L247" i="1" s="1"/>
  <c r="K167" i="1"/>
  <c r="L167" i="1" s="1"/>
  <c r="K165" i="1"/>
  <c r="L165" i="1" s="1"/>
  <c r="K166" i="1"/>
  <c r="L166" i="1" s="1"/>
  <c r="K164" i="1"/>
  <c r="L164" i="1" s="1"/>
  <c r="K163" i="1"/>
  <c r="L163" i="1" s="1"/>
  <c r="L253" i="1"/>
  <c r="L254" i="1"/>
  <c r="L255" i="1"/>
  <c r="L120" i="1"/>
  <c r="H67" i="1"/>
  <c r="H68" i="1"/>
  <c r="K139" i="1"/>
  <c r="L139" i="1" s="1"/>
  <c r="K161" i="1"/>
  <c r="L161" i="1" s="1"/>
  <c r="L84" i="1"/>
  <c r="L16" i="1"/>
  <c r="L117" i="1"/>
  <c r="L118" i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119" i="1"/>
  <c r="L119" i="1" s="1"/>
  <c r="K26" i="1"/>
  <c r="K121" i="1"/>
  <c r="K122" i="1"/>
  <c r="K115" i="1"/>
  <c r="K114" i="1"/>
  <c r="L114" i="1"/>
  <c r="L115" i="1"/>
  <c r="H37" i="1"/>
  <c r="K170" i="1"/>
  <c r="L170" i="1" s="1"/>
  <c r="H102" i="1"/>
  <c r="H207" i="1"/>
  <c r="H112" i="1"/>
  <c r="K15" i="1"/>
  <c r="L15" i="1" s="1"/>
  <c r="K13" i="1"/>
  <c r="L13" i="1" s="1"/>
  <c r="H111" i="1"/>
  <c r="H110" i="1"/>
  <c r="H212" i="1"/>
  <c r="H210" i="1"/>
  <c r="K159" i="1"/>
  <c r="L159" i="1" s="1"/>
  <c r="K160" i="1"/>
  <c r="L160" i="1" s="1"/>
  <c r="K162" i="1"/>
  <c r="L162" i="1" s="1"/>
  <c r="K245" i="1"/>
  <c r="L245" i="1" s="1"/>
  <c r="K242" i="1"/>
  <c r="L242" i="1" s="1"/>
  <c r="K229" i="1"/>
  <c r="L229" i="1" s="1"/>
  <c r="K195" i="1"/>
  <c r="K196" i="1"/>
  <c r="L196" i="1" s="1"/>
  <c r="L195" i="1"/>
  <c r="K181" i="1"/>
  <c r="L181" i="1"/>
  <c r="K179" i="1"/>
  <c r="L179" i="1" s="1"/>
  <c r="K124" i="1"/>
  <c r="L124" i="1" s="1"/>
  <c r="K142" i="1"/>
  <c r="L142" i="1" s="1"/>
  <c r="K90" i="1"/>
  <c r="L90" i="1" s="1"/>
  <c r="K157" i="1"/>
  <c r="L157" i="1" s="1"/>
  <c r="H106" i="1"/>
  <c r="H69" i="1"/>
  <c r="H71" i="1"/>
  <c r="H70" i="1"/>
  <c r="H222" i="1"/>
  <c r="K158" i="1"/>
  <c r="L158" i="1" s="1"/>
  <c r="K252" i="1"/>
  <c r="L252" i="1" s="1"/>
  <c r="K146" i="1"/>
  <c r="L146" i="1" s="1"/>
  <c r="K238" i="1"/>
  <c r="K240" i="1"/>
  <c r="L238" i="1"/>
  <c r="L240" i="1"/>
  <c r="K243" i="1"/>
  <c r="L243" i="1" s="1"/>
  <c r="K80" i="1"/>
  <c r="L80" i="1" s="1"/>
  <c r="K251" i="1"/>
  <c r="L251" i="1"/>
  <c r="K250" i="1"/>
  <c r="L250" i="1" s="1"/>
  <c r="K155" i="1"/>
  <c r="L155" i="1" s="1"/>
  <c r="K184" i="1"/>
  <c r="L184" i="1" s="1"/>
  <c r="K249" i="1"/>
  <c r="L249" i="1" s="1"/>
  <c r="K200" i="1"/>
  <c r="L200" i="1" s="1"/>
  <c r="K201" i="1"/>
  <c r="L201" i="1" s="1"/>
  <c r="K202" i="1"/>
  <c r="L202" i="1" s="1"/>
  <c r="K199" i="1"/>
  <c r="L199" i="1" s="1"/>
  <c r="K183" i="1"/>
  <c r="L183" i="1" s="1"/>
  <c r="K177" i="1"/>
  <c r="L177" i="1" s="1"/>
  <c r="K193" i="1"/>
  <c r="L193" i="1" s="1"/>
  <c r="K194" i="1"/>
  <c r="L194" i="1" s="1"/>
  <c r="K172" i="1"/>
  <c r="L172" i="1" s="1"/>
  <c r="K197" i="1"/>
  <c r="L197" i="1" s="1"/>
  <c r="K198" i="1"/>
  <c r="L198" i="1" s="1"/>
  <c r="K112" i="1"/>
  <c r="L112" i="1" s="1"/>
  <c r="K116" i="1"/>
  <c r="L116" i="1" s="1"/>
  <c r="K232" i="1"/>
  <c r="L232" i="1" s="1"/>
  <c r="K81" i="1"/>
  <c r="L81" i="1" s="1"/>
  <c r="K246" i="1"/>
  <c r="L246" i="1" s="1"/>
  <c r="K204" i="1"/>
  <c r="L204" i="1"/>
  <c r="K205" i="1"/>
  <c r="K206" i="1"/>
  <c r="L205" i="1"/>
  <c r="L206" i="1"/>
  <c r="K156" i="1"/>
  <c r="L156" i="1" s="1"/>
  <c r="K76" i="1"/>
  <c r="L76" i="1" s="1"/>
  <c r="K77" i="1"/>
  <c r="L77" i="1" s="1"/>
  <c r="K78" i="1"/>
  <c r="L78" i="1" s="1"/>
  <c r="K79" i="1"/>
  <c r="L79" i="1" s="1"/>
  <c r="K153" i="1"/>
  <c r="K154" i="1"/>
  <c r="L153" i="1"/>
  <c r="L154" i="1"/>
  <c r="K147" i="1"/>
  <c r="L147" i="1" s="1"/>
  <c r="K5" i="1"/>
  <c r="K6" i="1"/>
  <c r="K7" i="1"/>
  <c r="K8" i="1"/>
  <c r="K9" i="1"/>
  <c r="K10" i="1"/>
  <c r="K11" i="1"/>
  <c r="K12" i="1"/>
  <c r="L5" i="1"/>
  <c r="L6" i="1"/>
  <c r="L7" i="1"/>
  <c r="L8" i="1"/>
  <c r="L9" i="1"/>
  <c r="L10" i="1"/>
  <c r="L11" i="1"/>
  <c r="L12" i="1"/>
  <c r="K101" i="1"/>
  <c r="K102" i="1"/>
  <c r="K103" i="1"/>
  <c r="K104" i="1"/>
  <c r="K105" i="1"/>
  <c r="K106" i="1"/>
  <c r="K107" i="1"/>
  <c r="K109" i="1"/>
  <c r="K110" i="1"/>
  <c r="K111" i="1"/>
  <c r="K113" i="1"/>
  <c r="K108" i="1"/>
  <c r="K237" i="1"/>
  <c r="K239" i="1"/>
  <c r="K241" i="1"/>
  <c r="K244" i="1"/>
  <c r="K248" i="1"/>
  <c r="L101" i="1"/>
  <c r="L102" i="1"/>
  <c r="L103" i="1"/>
  <c r="L104" i="1"/>
  <c r="L105" i="1"/>
  <c r="L106" i="1"/>
  <c r="L107" i="1"/>
  <c r="L109" i="1"/>
  <c r="L110" i="1"/>
  <c r="L111" i="1"/>
  <c r="L113" i="1"/>
  <c r="L108" i="1"/>
  <c r="L237" i="1"/>
  <c r="L239" i="1"/>
  <c r="L241" i="1"/>
  <c r="L244" i="1"/>
  <c r="L248" i="1"/>
  <c r="K151" i="1"/>
  <c r="L151" i="1"/>
  <c r="K152" i="1"/>
  <c r="L152" i="1"/>
  <c r="K143" i="1"/>
  <c r="K141" i="1"/>
  <c r="L141" i="1"/>
  <c r="L143" i="1"/>
  <c r="K75" i="1"/>
  <c r="L75" i="1"/>
  <c r="K2" i="1"/>
  <c r="L2" i="1"/>
  <c r="K3" i="1"/>
  <c r="L3" i="1"/>
  <c r="K4" i="1"/>
  <c r="L4" i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207" i="1"/>
  <c r="L207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87" i="1"/>
  <c r="L87" i="1" s="1"/>
  <c r="K126" i="1"/>
  <c r="L126" i="1" s="1"/>
  <c r="K88" i="1"/>
  <c r="L88" i="1" s="1"/>
  <c r="K89" i="1"/>
  <c r="L89" i="1" s="1"/>
  <c r="K91" i="1"/>
  <c r="L91" i="1" s="1"/>
  <c r="K92" i="1"/>
  <c r="L92" i="1" s="1"/>
  <c r="K95" i="1"/>
  <c r="L95" i="1" s="1"/>
  <c r="K96" i="1"/>
  <c r="L96" i="1" s="1"/>
  <c r="K83" i="1"/>
  <c r="L83" i="1" s="1"/>
  <c r="K17" i="1"/>
  <c r="L17" i="1" s="1"/>
  <c r="K18" i="1"/>
  <c r="L18" i="1" s="1"/>
  <c r="K19" i="1"/>
  <c r="L19" i="1" s="1"/>
  <c r="L26" i="1"/>
  <c r="K14" i="1"/>
  <c r="L14" i="1" s="1"/>
  <c r="L122" i="1"/>
  <c r="K123" i="1"/>
  <c r="L123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75" i="1"/>
  <c r="L175" i="1" s="1"/>
  <c r="K173" i="1"/>
  <c r="L173" i="1" s="1"/>
  <c r="K174" i="1"/>
  <c r="L174" i="1" s="1"/>
  <c r="K176" i="1"/>
  <c r="L176" i="1" s="1"/>
  <c r="K180" i="1"/>
  <c r="L180" i="1" s="1"/>
  <c r="K182" i="1"/>
  <c r="L182" i="1" s="1"/>
  <c r="K185" i="1"/>
  <c r="L185" i="1" s="1"/>
  <c r="K186" i="1"/>
  <c r="L186" i="1" s="1"/>
  <c r="K188" i="1"/>
  <c r="L188" i="1" s="1"/>
  <c r="K187" i="1"/>
  <c r="L187" i="1" s="1"/>
  <c r="K135" i="1"/>
  <c r="L135" i="1" s="1"/>
  <c r="K189" i="1"/>
  <c r="L189" i="1" s="1"/>
  <c r="K192" i="1"/>
  <c r="L192" i="1" s="1"/>
  <c r="K190" i="1"/>
  <c r="L190" i="1" s="1"/>
  <c r="K191" i="1"/>
  <c r="L191" i="1" s="1"/>
  <c r="K178" i="1"/>
  <c r="L178" i="1" s="1"/>
  <c r="K203" i="1"/>
  <c r="L203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82" i="1"/>
  <c r="L82" i="1" s="1"/>
  <c r="K226" i="1"/>
  <c r="L226" i="1" s="1"/>
  <c r="K230" i="1"/>
  <c r="L230" i="1" s="1"/>
  <c r="K231" i="1"/>
  <c r="L231" i="1" s="1"/>
  <c r="K233" i="1"/>
  <c r="L233" i="1" s="1"/>
  <c r="K85" i="1"/>
  <c r="L85" i="1" s="1"/>
  <c r="K136" i="1"/>
  <c r="L136" i="1" s="1"/>
  <c r="K137" i="1"/>
  <c r="L137" i="1" s="1"/>
  <c r="K138" i="1"/>
  <c r="L138" i="1" s="1"/>
  <c r="K140" i="1"/>
  <c r="L140" i="1" s="1"/>
  <c r="K144" i="1"/>
  <c r="L144" i="1" s="1"/>
  <c r="K145" i="1"/>
  <c r="L145" i="1" s="1"/>
  <c r="K148" i="1"/>
  <c r="L148" i="1" s="1"/>
  <c r="K149" i="1"/>
  <c r="L149" i="1" s="1"/>
  <c r="K236" i="1"/>
  <c r="L236" i="1" s="1"/>
  <c r="K150" i="1"/>
  <c r="L150" i="1" s="1"/>
  <c r="K227" i="1"/>
  <c r="L227" i="1" s="1"/>
  <c r="K125" i="1"/>
  <c r="L125" i="1" s="1"/>
  <c r="L121" i="1"/>
  <c r="K235" i="1"/>
  <c r="L235" i="1" s="1"/>
  <c r="K234" i="1"/>
  <c r="L234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L256" i="1" l="1"/>
</calcChain>
</file>

<file path=xl/sharedStrings.xml><?xml version="1.0" encoding="utf-8"?>
<sst xmlns="http://schemas.openxmlformats.org/spreadsheetml/2006/main" count="770" uniqueCount="297">
  <si>
    <r>
      <rPr>
        <b/>
        <sz val="12"/>
        <color rgb="FFFFFFFF"/>
        <rFont val="Arial"/>
        <family val="2"/>
      </rPr>
      <t>Fornecedor</t>
    </r>
  </si>
  <si>
    <r>
      <rPr>
        <b/>
        <sz val="12"/>
        <color rgb="FFFFFFFF"/>
        <rFont val="Arial"/>
        <family val="2"/>
      </rPr>
      <t>Produto</t>
    </r>
  </si>
  <si>
    <r>
      <rPr>
        <b/>
        <sz val="12"/>
        <color rgb="FFFFFFFF"/>
        <rFont val="Arial"/>
        <family val="2"/>
      </rPr>
      <t>Un</t>
    </r>
  </si>
  <si>
    <r>
      <rPr>
        <b/>
        <sz val="12"/>
        <color rgb="FFFFFFFF"/>
        <rFont val="Arial"/>
        <family val="2"/>
      </rPr>
      <t>Valor Kg/L/UnValor total/sem iva</t>
    </r>
  </si>
  <si>
    <t>QT Total 01.01</t>
  </si>
  <si>
    <t>Quant Balan.</t>
  </si>
  <si>
    <t>Valor Total 01.01</t>
  </si>
  <si>
    <t>Mat. 15 Jan</t>
  </si>
  <si>
    <t>Bolhão</t>
  </si>
  <si>
    <t>Garagem</t>
  </si>
  <si>
    <t>QT Total</t>
  </si>
  <si>
    <t>Valor Total</t>
  </si>
  <si>
    <t>Cespan</t>
  </si>
  <si>
    <t>Dextrose 25kg</t>
  </si>
  <si>
    <t>Kg</t>
  </si>
  <si>
    <t>Açúcar 25kg</t>
  </si>
  <si>
    <t>Chocolate branco 28% - Blanxart Professional</t>
  </si>
  <si>
    <t>Chocolate ao leite 34%</t>
  </si>
  <si>
    <t>kg</t>
  </si>
  <si>
    <t xml:space="preserve">Chocolate caramelo 36% - Weiss France </t>
  </si>
  <si>
    <t>Chocolate 55% - Weiss France</t>
  </si>
  <si>
    <t>Chocolate 71%</t>
  </si>
  <si>
    <t>Pure de Manga</t>
  </si>
  <si>
    <t>Pure Framboesa</t>
  </si>
  <si>
    <t>Pure de tangerina</t>
  </si>
  <si>
    <t>Eritritol</t>
  </si>
  <si>
    <t>Confeipan</t>
  </si>
  <si>
    <t>Caixa para bolo kraft c/ janela 18x18x18</t>
  </si>
  <si>
    <t>Un</t>
  </si>
  <si>
    <t>Caixa para bolo kraft c/ janela 20x20x20</t>
  </si>
  <si>
    <t>Caixa Para bolos kraft c/ janela 28x28x30</t>
  </si>
  <si>
    <t>Caixa para bolo kraft c/ janela 25x25x25</t>
  </si>
  <si>
    <t>Caixa para bolo branca c/ janela 20x20x7,5</t>
  </si>
  <si>
    <t>Caixa para bolo branca c/ janela 28x28x7,5</t>
  </si>
  <si>
    <t>Caixa retangular (eventos) 38x28x9,5</t>
  </si>
  <si>
    <t xml:space="preserve">Base bolo 8 cm </t>
  </si>
  <si>
    <t xml:space="preserve">Base bolo 14 cm </t>
  </si>
  <si>
    <t xml:space="preserve">Base bolo 16 cm </t>
  </si>
  <si>
    <t>Base bolo 20cm</t>
  </si>
  <si>
    <t>Base bolo 24cm</t>
  </si>
  <si>
    <t>Base bolo 28cm</t>
  </si>
  <si>
    <t>Base bolo quadrada 32x32</t>
  </si>
  <si>
    <t>Degar</t>
  </si>
  <si>
    <t>Base Branca</t>
  </si>
  <si>
    <t>Base Negra em Pó</t>
  </si>
  <si>
    <t>Base All natural</t>
  </si>
  <si>
    <t>Fructsoft</t>
  </si>
  <si>
    <t>Inulina</t>
  </si>
  <si>
    <t>Cacau em Pó 22/24%</t>
  </si>
  <si>
    <t>Chocolate extra negro 75%</t>
  </si>
  <si>
    <t>Chocolate negro 56% Domori</t>
  </si>
  <si>
    <t>Chocolate branco</t>
  </si>
  <si>
    <t>Extrato de café Illy</t>
  </si>
  <si>
    <t>Palhinha Milkshake</t>
  </si>
  <si>
    <t>Baunilha</t>
  </si>
  <si>
    <t>Gelso</t>
  </si>
  <si>
    <t>Gema de ovo açucarada</t>
  </si>
  <si>
    <t>Leite de Coco em pó</t>
  </si>
  <si>
    <t>Yoggi</t>
  </si>
  <si>
    <t>Figo Caremelizado</t>
  </si>
  <si>
    <t>Castanha caramelizada</t>
  </si>
  <si>
    <t>Amareti</t>
  </si>
  <si>
    <t>Amarena</t>
  </si>
  <si>
    <t>Licor Gran Marnier</t>
  </si>
  <si>
    <t>L</t>
  </si>
  <si>
    <t>Pasta de Laranja</t>
  </si>
  <si>
    <t>Caramelo</t>
  </si>
  <si>
    <t>Pasta de Noz</t>
  </si>
  <si>
    <t>Pasta de Avelã</t>
  </si>
  <si>
    <t>Pasta de Pistacchio</t>
  </si>
  <si>
    <t>Pasta de gianduia Domori</t>
  </si>
  <si>
    <t>Pasta de Castanha</t>
  </si>
  <si>
    <t>Ricotta</t>
  </si>
  <si>
    <t>Misto agrumi</t>
  </si>
  <si>
    <t>Vinho Zibibbo</t>
  </si>
  <si>
    <t>Vinho Marsala</t>
  </si>
  <si>
    <t>Cannolo</t>
  </si>
  <si>
    <t>Base pão de ló</t>
  </si>
  <si>
    <t>Chocolates Decorativos niva</t>
  </si>
  <si>
    <t>Marroni pezzi</t>
  </si>
  <si>
    <t>Avelã fruto</t>
  </si>
  <si>
    <t>Pasta de Amendoas</t>
  </si>
  <si>
    <t>Guardanapos 25x25 Niva</t>
  </si>
  <si>
    <t>Cones de papel niva roxo (copricono logato)</t>
  </si>
  <si>
    <t>Copos milkshake V50</t>
  </si>
  <si>
    <t xml:space="preserve">Copos café V04 </t>
  </si>
  <si>
    <t xml:space="preserve">Copo capuccino O80Z/V08 </t>
  </si>
  <si>
    <t>Copo kids/mini/niva T06</t>
  </si>
  <si>
    <t>Copo pequeno/roxo T08</t>
  </si>
  <si>
    <t>Copo medio/rosa T12</t>
  </si>
  <si>
    <t>Copo grande/branco ou dourado T16</t>
  </si>
  <si>
    <t>Copo Maxi/verde CC350</t>
  </si>
  <si>
    <t>Biscoito</t>
  </si>
  <si>
    <t>Cx</t>
  </si>
  <si>
    <t>Âmendoa caramelizada</t>
  </si>
  <si>
    <t xml:space="preserve">Amêndoa </t>
  </si>
  <si>
    <t>Avelã granella</t>
  </si>
  <si>
    <t>Pasta de amendoim com caramelo salgado</t>
  </si>
  <si>
    <t>Noz inteira</t>
  </si>
  <si>
    <t>Licor Strega 70cl</t>
  </si>
  <si>
    <t>Pasta de biscoito speculoos</t>
  </si>
  <si>
    <t>Pistacchio granella</t>
  </si>
  <si>
    <t>Caixa Para bolo kraft (Itália) 13x13x10</t>
  </si>
  <si>
    <t>Colheres de papel - açaí (sacos)</t>
  </si>
  <si>
    <t>Saco Nivà</t>
  </si>
  <si>
    <t>Saco Nivà pequeno</t>
  </si>
  <si>
    <t>Fita autocolante Nivà (caixas take way)</t>
  </si>
  <si>
    <t>Pannetone Tradicional</t>
  </si>
  <si>
    <t>Pannetone Zabaione</t>
  </si>
  <si>
    <t>Caixa pannetone</t>
  </si>
  <si>
    <t>Recheio Gianduia</t>
  </si>
  <si>
    <t>Recheio Pistacchio</t>
  </si>
  <si>
    <t xml:space="preserve">Caixa take way empilhável </t>
  </si>
  <si>
    <t xml:space="preserve">Parte empilhavel da caixa </t>
  </si>
  <si>
    <t>Grasumos</t>
  </si>
  <si>
    <t>Café Illy capsula</t>
  </si>
  <si>
    <t xml:space="preserve">Descafeinado Illy capsula </t>
  </si>
  <si>
    <t>Chá Black</t>
  </si>
  <si>
    <t>Chá Lime</t>
  </si>
  <si>
    <t>Chá Citrus</t>
  </si>
  <si>
    <t>Chá Red Fruits</t>
  </si>
  <si>
    <t>Greenpack</t>
  </si>
  <si>
    <t>Palhinha Milkshake 8mm</t>
  </si>
  <si>
    <t>Tampas capuccino/bebida quente 80mm</t>
  </si>
  <si>
    <t>Tampa Milkshake 9cm papel</t>
  </si>
  <si>
    <t>Saquinho pastelaria celofane 70x220x20mm</t>
  </si>
  <si>
    <t>Palito madeira grande 114x10x2mm</t>
  </si>
  <si>
    <t>GreenPack</t>
  </si>
  <si>
    <t>Copo água cartão 7,5 Oz</t>
  </si>
  <si>
    <t>Copo com tampa kraft 240ml</t>
  </si>
  <si>
    <t>Copo com tampa branco 200ml (25und)</t>
  </si>
  <si>
    <t>GreenPack/Inoc.</t>
  </si>
  <si>
    <t>Saco para mini cones kraft 11x26x6</t>
  </si>
  <si>
    <t>Pratinho Nivotto 65x65mm</t>
  </si>
  <si>
    <t>Caixa Kraft 12x10x4,5 800ml (pequena)</t>
  </si>
  <si>
    <t>Caixa Kraft 1050ml (grande)</t>
  </si>
  <si>
    <t>Palhinha misturador café 9cm - 2000und</t>
  </si>
  <si>
    <t xml:space="preserve">Pote para molho/topping </t>
  </si>
  <si>
    <t xml:space="preserve">Tampa para molho/topping </t>
  </si>
  <si>
    <t>Papel vegetal marron 25x27</t>
  </si>
  <si>
    <t>Inocentro</t>
  </si>
  <si>
    <t>Suporte para ovo de páscoa</t>
  </si>
  <si>
    <t>Caixa para ovo de páscoa 22x12x10</t>
  </si>
  <si>
    <t xml:space="preserve">Base branca retangular (eventos) 25x35 </t>
  </si>
  <si>
    <t>Papel vegetal rest. (Inopizza Lamina 15x15)</t>
  </si>
  <si>
    <t>Lactogal</t>
  </si>
  <si>
    <t>Manteiga 1Kg</t>
  </si>
  <si>
    <t>Leite gordo gresso</t>
  </si>
  <si>
    <t>Nata fresca gresso 2,5l</t>
  </si>
  <si>
    <t>Nata UHT gresso 1l</t>
  </si>
  <si>
    <t>Magofri</t>
  </si>
  <si>
    <t>Puré Maracujá com sementes</t>
  </si>
  <si>
    <t>Açai</t>
  </si>
  <si>
    <t>Sumo de limão 1l</t>
  </si>
  <si>
    <t>Makro</t>
  </si>
  <si>
    <t>Coco Ralado</t>
  </si>
  <si>
    <t>Manteiga de amendoim creme - Skippy</t>
  </si>
  <si>
    <t>Manteiga de amendoim c/ pedaços - Skippy</t>
  </si>
  <si>
    <t>Mel Diamir (3l)</t>
  </si>
  <si>
    <t xml:space="preserve">Xarope de Acer 251ml </t>
  </si>
  <si>
    <t>Granola Bio 800g</t>
  </si>
  <si>
    <t>Pratos descartáveis cana de açúcar 20x20</t>
  </si>
  <si>
    <t>Sabão Loiça manual 4L</t>
  </si>
  <si>
    <t xml:space="preserve">Azeite Oliveira Serra </t>
  </si>
  <si>
    <t>Ovos</t>
  </si>
  <si>
    <t>Papel vegetal 30cm x 50m</t>
  </si>
  <si>
    <t>Saco de pasteleiro 23x45</t>
  </si>
  <si>
    <t>Dark Chocolate 64% pepitas - Chocovic</t>
  </si>
  <si>
    <t xml:space="preserve">Maizena </t>
  </si>
  <si>
    <t>Açúcar sache - Rioba (1000un 6kg)</t>
  </si>
  <si>
    <t xml:space="preserve">Adoçante em pó - Rioba 250g (sache 1g) </t>
  </si>
  <si>
    <t>Fermento 226g</t>
  </si>
  <si>
    <t>Canela em pau 80g</t>
  </si>
  <si>
    <t>Canela em pau 500g</t>
  </si>
  <si>
    <t>Canela em pó</t>
  </si>
  <si>
    <t>Açúcar mascavado</t>
  </si>
  <si>
    <t>Farinha Trigo Tipo 55 - Espiga</t>
  </si>
  <si>
    <t>Flor de sal</t>
  </si>
  <si>
    <t>Sal fino</t>
  </si>
  <si>
    <t xml:space="preserve">Óleo vegetal </t>
  </si>
  <si>
    <t>Avelã inteira</t>
  </si>
  <si>
    <t>Pistacchio inteiro sem pele</t>
  </si>
  <si>
    <t>Desinfetante de superficies - Alcool 80% - 5l</t>
  </si>
  <si>
    <t>Bolacha maria (800g)</t>
  </si>
  <si>
    <t>Macadâmia</t>
  </si>
  <si>
    <t>Bicarbonato de sódio 700g</t>
  </si>
  <si>
    <t>Puré laranja sanguinea</t>
  </si>
  <si>
    <t>Framboesa congelada</t>
  </si>
  <si>
    <t>Talheres de madeira (conjunto)</t>
  </si>
  <si>
    <t>Queijo phipadephia</t>
  </si>
  <si>
    <t>Álcool 96% 250ml</t>
  </si>
  <si>
    <t>Esponja lava loiça</t>
  </si>
  <si>
    <t>Saco congelação 1l</t>
  </si>
  <si>
    <t>Saco congelação 3l</t>
  </si>
  <si>
    <t>Cheirinho WC</t>
  </si>
  <si>
    <t>Lixívia spray Neoblanc</t>
  </si>
  <si>
    <t>Neoblac tira manchas</t>
  </si>
  <si>
    <t>Palhinha fina - sumo</t>
  </si>
  <si>
    <t>Gás/recarga para sifão (panna)</t>
  </si>
  <si>
    <t>Porto higiene</t>
  </si>
  <si>
    <t>Luvas Nitrilo S emb. 100</t>
  </si>
  <si>
    <t>Luvas Nitrilo M emb. 100</t>
  </si>
  <si>
    <t>Luvas Nitrilo L emb. 100</t>
  </si>
  <si>
    <t xml:space="preserve">Toalha de mão zig-zag 21x24 12pct </t>
  </si>
  <si>
    <t>Pct</t>
  </si>
  <si>
    <t>Rolo de toalha de papel autocorte (6x160)</t>
  </si>
  <si>
    <t>Guardanapo tipo L sem impresão</t>
  </si>
  <si>
    <t>Papel higiénico (6 und.)</t>
  </si>
  <si>
    <t>Saco lixo 10l (45x40)</t>
  </si>
  <si>
    <t>Saco lixo 50 l (60x80)</t>
  </si>
  <si>
    <t>Saco lixo 60x80 10kg</t>
  </si>
  <si>
    <t>Saco lixo 100 l</t>
  </si>
  <si>
    <t>Saco lixo 130l (80x120)</t>
  </si>
  <si>
    <t>Limpa Vidros 5l</t>
  </si>
  <si>
    <t>Secante Abrilhantador 5l</t>
  </si>
  <si>
    <t>Detergente multiusos Bioálcool 5L</t>
  </si>
  <si>
    <t>Ecomix</t>
  </si>
  <si>
    <t>Sabonete gel  (wc)</t>
  </si>
  <si>
    <t xml:space="preserve">Sabonete líquido bactericida </t>
  </si>
  <si>
    <t>Lava loiça máquina 5l</t>
  </si>
  <si>
    <t>PH WC Higiene 5l</t>
  </si>
  <si>
    <t>Película aderente</t>
  </si>
  <si>
    <t>Proteção para calçado "pezinhos" 100un</t>
  </si>
  <si>
    <t>Álcool etílico 70% 5l</t>
  </si>
  <si>
    <t>Álcool em gel 5l</t>
  </si>
  <si>
    <t>Lixívia 5l</t>
  </si>
  <si>
    <t>Toucas descartáveis pretas - 100und.</t>
  </si>
  <si>
    <t>Rolo de papel térmico 80x60x11 (caixa)</t>
  </si>
  <si>
    <t>Rolo de papel térmico 57x40x11 (cartão )</t>
  </si>
  <si>
    <t xml:space="preserve">Atocloro - Desinfetante de Frutas </t>
  </si>
  <si>
    <t>Desengordurante 5l</t>
  </si>
  <si>
    <t>Descalcificador - 5l</t>
  </si>
  <si>
    <t>Progelcone</t>
  </si>
  <si>
    <t>C. de Cereais crocantes (kroccoo White) 2,5kg</t>
  </si>
  <si>
    <t>Mini cone (Cód 2093 - 920)</t>
  </si>
  <si>
    <t>Yoggi Cód. 04204</t>
  </si>
  <si>
    <t xml:space="preserve">Cacau em pó 1kg </t>
  </si>
  <si>
    <t>Tampas milkshake plástico</t>
  </si>
  <si>
    <t>Siculabriosce</t>
  </si>
  <si>
    <t>Brioche</t>
  </si>
  <si>
    <t>Sumol Compal</t>
  </si>
  <si>
    <t>Água Serra da Estrela 0,33l</t>
  </si>
  <si>
    <t>Pepsi normal 0,33l</t>
  </si>
  <si>
    <t>Pepsi zero 0,33l</t>
  </si>
  <si>
    <t>Frize sem sabor - com gás</t>
  </si>
  <si>
    <t>Frize laranja 0,25l</t>
  </si>
  <si>
    <t>Frize limão 0,25l</t>
  </si>
  <si>
    <t>Frize maracujá</t>
  </si>
  <si>
    <t>Compal manga laranja 0,2l</t>
  </si>
  <si>
    <t>Compal pêssego 0,2l</t>
  </si>
  <si>
    <t>Suvita</t>
  </si>
  <si>
    <t>Doce de leite</t>
  </si>
  <si>
    <t>Cones pequenos 40"</t>
  </si>
  <si>
    <t>Cones medios 45"</t>
  </si>
  <si>
    <t>Caixa para gelado takeaway 350/500</t>
  </si>
  <si>
    <t>Caixa para gelado takeaway 750/1000</t>
  </si>
  <si>
    <t>Caixa para gelado takeaway 1000/1500</t>
  </si>
  <si>
    <t>Caixa restauração (174 und)</t>
  </si>
  <si>
    <t>Tampa restauração (174 und)</t>
  </si>
  <si>
    <t>Puré Framboesa</t>
  </si>
  <si>
    <t>Puré Maracujá</t>
  </si>
  <si>
    <t>Puré Ananás</t>
  </si>
  <si>
    <t>Puré Bergamota</t>
  </si>
  <si>
    <t>Copo mini branco sem logo T6 - 60ml</t>
  </si>
  <si>
    <t>Copo pequeno branco sem logo T8 - 80ml</t>
  </si>
  <si>
    <t>Copo branco sem logo kraft pequeno</t>
  </si>
  <si>
    <t>Colheres gelado</t>
  </si>
  <si>
    <t>Lubrificante para equipamento alimentar</t>
  </si>
  <si>
    <t>Leite em pó magro</t>
  </si>
  <si>
    <t>Chocolate Ruby Callebaut</t>
  </si>
  <si>
    <t>Amazon</t>
  </si>
  <si>
    <t>Cacau Black 200g</t>
  </si>
  <si>
    <t>Pasta de abóbora</t>
  </si>
  <si>
    <t>Antonio P. Pinto</t>
  </si>
  <si>
    <t>Queijo da Serra - Flor D' Beira</t>
  </si>
  <si>
    <t>Pingo Doce</t>
  </si>
  <si>
    <t>Vinho do Porto Velhotes 75cl</t>
  </si>
  <si>
    <t>Milho de Pipoca 250g</t>
  </si>
  <si>
    <t>Amêndoa sem pele 200g</t>
  </si>
  <si>
    <t>Rum Captain Morgan 70cl</t>
  </si>
  <si>
    <t xml:space="preserve">Panetone Granducale </t>
  </si>
  <si>
    <t>Queijo mascarpone 250g</t>
  </si>
  <si>
    <t>Óleo de coco sem sabor 415g</t>
  </si>
  <si>
    <t>Esfregona</t>
  </si>
  <si>
    <t>Pasta se sésamo negro</t>
  </si>
  <si>
    <t>Leroy Merlin</t>
  </si>
  <si>
    <t>Desincrustante chão - Siril 5l</t>
  </si>
  <si>
    <t xml:space="preserve">Ginja Espinheira </t>
  </si>
  <si>
    <t>Vermuth Soberbo</t>
  </si>
  <si>
    <t>Brinc. com sabor</t>
  </si>
  <si>
    <t>Açúcar anti - humidade</t>
  </si>
  <si>
    <t>Palito madeira pequeno</t>
  </si>
  <si>
    <t xml:space="preserve">Garcias, SA </t>
  </si>
  <si>
    <t xml:space="preserve">Chá Hortelão Pimenta (Soalheiro) </t>
  </si>
  <si>
    <t>Chá Cidreira (Soalheiro)</t>
  </si>
  <si>
    <t>Chá Tomilho (Soalheiro)</t>
  </si>
  <si>
    <t>Chá Lúcia Lima (Soalheiro)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</si>
</sst>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816]_-;\-* #,##0.00\ [$€-816]_-;_-* &quot;-&quot;??\ [$€-816]_-;_-@_-"/>
  </numFmts>
  <fonts count="8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rgb="FFFFFFFF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55F82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44B3E0"/>
      </left>
      <right/>
      <top style="thin">
        <color rgb="FF44B3E0"/>
      </top>
      <bottom/>
      <diagonal/>
    </border>
    <border>
      <left/>
      <right/>
      <top style="thin">
        <color rgb="FF44B3E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6" fillId="0" borderId="4" xfId="0" applyNumberFormat="1" applyFont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 wrapText="1"/>
    </xf>
    <xf numFmtId="164" fontId="5" fillId="0" borderId="3" xfId="0" applyNumberFormat="1" applyFont="1" applyFill="1" applyBorder="1" applyAlignment="1">
      <alignment horizontal="center" vertical="top" shrinkToFit="1"/>
    </xf>
    <xf numFmtId="0" fontId="5" fillId="0" borderId="3" xfId="0" applyFont="1" applyFill="1" applyBorder="1" applyAlignment="1">
      <alignment horizontal="left" vertical="top"/>
    </xf>
    <xf numFmtId="164" fontId="5" fillId="0" borderId="3" xfId="0" applyNumberFormat="1" applyFont="1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center" vertical="top" shrinkToFit="1"/>
    </xf>
    <xf numFmtId="3" fontId="5" fillId="0" borderId="3" xfId="0" applyNumberFormat="1" applyFont="1" applyFill="1" applyBorder="1" applyAlignment="1">
      <alignment horizontal="left" vertical="top"/>
    </xf>
    <xf numFmtId="164" fontId="5" fillId="4" borderId="3" xfId="0" applyNumberFormat="1" applyFont="1" applyFill="1" applyBorder="1" applyAlignment="1">
      <alignment horizontal="center" vertical="top" shrinkToFit="1"/>
    </xf>
    <xf numFmtId="164" fontId="5" fillId="3" borderId="3" xfId="0" applyNumberFormat="1" applyFont="1" applyFill="1" applyBorder="1" applyAlignment="1">
      <alignment horizontal="center" wrapText="1"/>
    </xf>
    <xf numFmtId="164" fontId="5" fillId="3" borderId="3" xfId="0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center" wrapText="1"/>
    </xf>
    <xf numFmtId="164" fontId="5" fillId="4" borderId="0" xfId="0" applyNumberFormat="1" applyFont="1" applyFill="1" applyBorder="1" applyAlignment="1">
      <alignment horizontal="left" vertical="top"/>
    </xf>
    <xf numFmtId="164" fontId="5" fillId="0" borderId="0" xfId="0" applyNumberFormat="1" applyFont="1" applyFill="1" applyBorder="1" applyAlignment="1">
      <alignment horizontal="left" vertical="top"/>
    </xf>
    <xf numFmtId="164" fontId="7" fillId="3" borderId="3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E97E-44C7-4B3B-8349-6418EE5D8410}">
  <dimension ref="A1:L321"/>
  <sheetViews>
    <sheetView tabSelected="1" topLeftCell="A248" workbookViewId="0">
      <selection activeCell="F1" sqref="F1"/>
    </sheetView>
  </sheetViews>
  <sheetFormatPr defaultColWidth="8.42578125" defaultRowHeight="15"/>
  <cols>
    <col min="1" max="1" width="19.140625" style="4" customWidth="1"/>
    <col min="2" max="2" width="50" style="4" customWidth="1"/>
    <col min="3" max="3" width="7" style="19" customWidth="1"/>
    <col min="4" max="5" width="22" style="7" customWidth="1"/>
    <col min="6" max="6" width="17.5703125" style="7" hidden="1" customWidth="1"/>
    <col min="7" max="7" width="22" style="7" customWidth="1"/>
    <col min="8" max="8" width="21.28515625" style="4" hidden="1" customWidth="1"/>
    <col min="9" max="9" width="11.85546875" style="4" hidden="1" customWidth="1"/>
    <col min="10" max="10" width="11.140625" style="4" hidden="1" customWidth="1"/>
    <col min="11" max="11" width="11.28515625" style="4" hidden="1" customWidth="1"/>
    <col min="12" max="12" width="15.140625" style="4" hidden="1" customWidth="1"/>
    <col min="13" max="16384" width="8.42578125" style="4"/>
  </cols>
  <sheetData>
    <row r="1" spans="1:12" ht="17.25" customHeight="1">
      <c r="A1" s="1" t="s">
        <v>0</v>
      </c>
      <c r="B1" s="2" t="s">
        <v>1</v>
      </c>
      <c r="C1" s="15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9" t="s">
        <v>12</v>
      </c>
      <c r="B2" s="9" t="s">
        <v>13</v>
      </c>
      <c r="C2" s="16" t="s">
        <v>14</v>
      </c>
      <c r="D2" s="23">
        <v>1.36</v>
      </c>
      <c r="E2" s="11">
        <f>K2+F2</f>
        <v>47.5</v>
      </c>
      <c r="F2" s="11">
        <v>12.5</v>
      </c>
      <c r="G2" s="23">
        <f>E2*D2</f>
        <v>64.600000000000009</v>
      </c>
      <c r="H2" s="11">
        <v>35</v>
      </c>
      <c r="I2" s="11"/>
      <c r="J2" s="11"/>
      <c r="K2" s="11">
        <f>H2+I2+J2</f>
        <v>35</v>
      </c>
      <c r="L2" s="12">
        <f>K2*D2</f>
        <v>47.6</v>
      </c>
    </row>
    <row r="3" spans="1:12">
      <c r="A3" s="9" t="s">
        <v>12</v>
      </c>
      <c r="B3" s="9" t="s">
        <v>15</v>
      </c>
      <c r="C3" s="16" t="s">
        <v>14</v>
      </c>
      <c r="D3" s="23">
        <v>0.76</v>
      </c>
      <c r="E3" s="11">
        <f t="shared" ref="E3:E26" si="0">K3+F3</f>
        <v>48</v>
      </c>
      <c r="F3" s="11">
        <v>13</v>
      </c>
      <c r="G3" s="23">
        <f t="shared" ref="G3:G66" si="1">E3*D3</f>
        <v>36.480000000000004</v>
      </c>
      <c r="H3" s="11">
        <v>35</v>
      </c>
      <c r="I3" s="11"/>
      <c r="J3" s="11"/>
      <c r="K3" s="11">
        <f>H3+I3+J3</f>
        <v>35</v>
      </c>
      <c r="L3" s="12">
        <f>K3*D3</f>
        <v>26.6</v>
      </c>
    </row>
    <row r="4" spans="1:12" ht="17.25" customHeight="1">
      <c r="A4" s="9" t="s">
        <v>12</v>
      </c>
      <c r="B4" s="9" t="s">
        <v>16</v>
      </c>
      <c r="C4" s="16" t="s">
        <v>14</v>
      </c>
      <c r="D4" s="23">
        <v>12.96</v>
      </c>
      <c r="E4" s="11">
        <f t="shared" si="0"/>
        <v>13.4</v>
      </c>
      <c r="F4" s="11">
        <v>3.4</v>
      </c>
      <c r="G4" s="23">
        <f t="shared" si="1"/>
        <v>173.66400000000002</v>
      </c>
      <c r="H4" s="11">
        <v>10</v>
      </c>
      <c r="I4" s="11"/>
      <c r="J4" s="11"/>
      <c r="K4" s="11">
        <f>H4+I4+J4</f>
        <v>10</v>
      </c>
      <c r="L4" s="12">
        <f>K4*D4</f>
        <v>129.60000000000002</v>
      </c>
    </row>
    <row r="5" spans="1:12" ht="17.25" customHeight="1">
      <c r="A5" s="9" t="s">
        <v>12</v>
      </c>
      <c r="B5" s="9" t="s">
        <v>17</v>
      </c>
      <c r="C5" s="16" t="s">
        <v>18</v>
      </c>
      <c r="D5" s="23">
        <v>13.2</v>
      </c>
      <c r="E5" s="11">
        <f t="shared" si="0"/>
        <v>6.5</v>
      </c>
      <c r="F5" s="11">
        <v>1.5</v>
      </c>
      <c r="G5" s="23">
        <f t="shared" si="1"/>
        <v>85.8</v>
      </c>
      <c r="H5" s="11">
        <v>5</v>
      </c>
      <c r="I5" s="11"/>
      <c r="J5" s="11"/>
      <c r="K5" s="11">
        <f t="shared" ref="K5:K12" si="2">H5+I5+J5</f>
        <v>5</v>
      </c>
      <c r="L5" s="12">
        <f>K5*D5</f>
        <v>66</v>
      </c>
    </row>
    <row r="6" spans="1:12" ht="17.25" customHeight="1">
      <c r="A6" s="9" t="s">
        <v>12</v>
      </c>
      <c r="B6" s="9" t="s">
        <v>19</v>
      </c>
      <c r="C6" s="16" t="s">
        <v>18</v>
      </c>
      <c r="D6" s="23">
        <v>29.9</v>
      </c>
      <c r="E6" s="11">
        <f t="shared" si="0"/>
        <v>2.5</v>
      </c>
      <c r="F6" s="11">
        <v>0.5</v>
      </c>
      <c r="G6" s="23">
        <f t="shared" si="1"/>
        <v>74.75</v>
      </c>
      <c r="H6" s="11">
        <v>2</v>
      </c>
      <c r="I6" s="11"/>
      <c r="J6" s="11"/>
      <c r="K6" s="11">
        <f t="shared" si="2"/>
        <v>2</v>
      </c>
      <c r="L6" s="12">
        <f>K6*D6</f>
        <v>59.8</v>
      </c>
    </row>
    <row r="7" spans="1:12" ht="17.25" customHeight="1">
      <c r="A7" s="9" t="s">
        <v>12</v>
      </c>
      <c r="B7" s="9" t="s">
        <v>20</v>
      </c>
      <c r="C7" s="16" t="s">
        <v>18</v>
      </c>
      <c r="D7" s="23">
        <v>13.74</v>
      </c>
      <c r="E7" s="11">
        <f t="shared" si="0"/>
        <v>7</v>
      </c>
      <c r="F7" s="11">
        <v>2</v>
      </c>
      <c r="G7" s="23">
        <f t="shared" si="1"/>
        <v>96.18</v>
      </c>
      <c r="H7" s="11">
        <v>5</v>
      </c>
      <c r="I7" s="11"/>
      <c r="J7" s="11"/>
      <c r="K7" s="11">
        <f t="shared" si="2"/>
        <v>5</v>
      </c>
      <c r="L7" s="12">
        <f>K7*D7</f>
        <v>68.7</v>
      </c>
    </row>
    <row r="8" spans="1:12" ht="17.25" customHeight="1">
      <c r="A8" s="9" t="s">
        <v>12</v>
      </c>
      <c r="B8" s="9" t="s">
        <v>21</v>
      </c>
      <c r="C8" s="16" t="s">
        <v>18</v>
      </c>
      <c r="D8" s="23">
        <v>14.56</v>
      </c>
      <c r="E8" s="11">
        <f t="shared" si="0"/>
        <v>6</v>
      </c>
      <c r="F8" s="11">
        <v>1</v>
      </c>
      <c r="G8" s="23">
        <f t="shared" si="1"/>
        <v>87.36</v>
      </c>
      <c r="H8" s="11">
        <v>5</v>
      </c>
      <c r="I8" s="11"/>
      <c r="J8" s="11"/>
      <c r="K8" s="11">
        <f t="shared" si="2"/>
        <v>5</v>
      </c>
      <c r="L8" s="12">
        <f>K8*D8</f>
        <v>72.8</v>
      </c>
    </row>
    <row r="9" spans="1:12" ht="17.25" customHeight="1">
      <c r="A9" s="9" t="s">
        <v>12</v>
      </c>
      <c r="B9" s="9" t="s">
        <v>22</v>
      </c>
      <c r="C9" s="16" t="s">
        <v>18</v>
      </c>
      <c r="D9" s="23">
        <v>9.6999999999999993</v>
      </c>
      <c r="E9" s="11">
        <f t="shared" si="0"/>
        <v>13.4</v>
      </c>
      <c r="F9" s="11">
        <v>8.4</v>
      </c>
      <c r="G9" s="23">
        <f t="shared" si="1"/>
        <v>129.97999999999999</v>
      </c>
      <c r="H9" s="11">
        <v>5</v>
      </c>
      <c r="I9" s="11"/>
      <c r="J9" s="11"/>
      <c r="K9" s="11">
        <f t="shared" si="2"/>
        <v>5</v>
      </c>
      <c r="L9" s="12">
        <f>K9*D9</f>
        <v>48.5</v>
      </c>
    </row>
    <row r="10" spans="1:12" ht="17.25" customHeight="1">
      <c r="A10" s="9" t="s">
        <v>12</v>
      </c>
      <c r="B10" s="9" t="s">
        <v>23</v>
      </c>
      <c r="C10" s="16" t="s">
        <v>18</v>
      </c>
      <c r="D10" s="23">
        <v>13.09</v>
      </c>
      <c r="E10" s="11">
        <f t="shared" si="0"/>
        <v>16</v>
      </c>
      <c r="F10" s="11">
        <v>7</v>
      </c>
      <c r="G10" s="23">
        <f t="shared" si="1"/>
        <v>209.44</v>
      </c>
      <c r="H10" s="11">
        <v>9</v>
      </c>
      <c r="I10" s="11"/>
      <c r="J10" s="11"/>
      <c r="K10" s="11">
        <f t="shared" si="2"/>
        <v>9</v>
      </c>
      <c r="L10" s="12">
        <f>K10*D10</f>
        <v>117.81</v>
      </c>
    </row>
    <row r="11" spans="1:12" ht="17.25" customHeight="1">
      <c r="A11" s="9" t="s">
        <v>12</v>
      </c>
      <c r="B11" s="9" t="s">
        <v>24</v>
      </c>
      <c r="C11" s="16" t="s">
        <v>14</v>
      </c>
      <c r="D11" s="23">
        <v>9.36</v>
      </c>
      <c r="E11" s="11">
        <f t="shared" si="0"/>
        <v>8</v>
      </c>
      <c r="F11" s="11"/>
      <c r="G11" s="23">
        <f t="shared" si="1"/>
        <v>74.88</v>
      </c>
      <c r="H11" s="11">
        <v>8</v>
      </c>
      <c r="I11" s="11"/>
      <c r="J11" s="11"/>
      <c r="K11" s="11">
        <f t="shared" si="2"/>
        <v>8</v>
      </c>
      <c r="L11" s="12">
        <f>K11*D11</f>
        <v>74.88</v>
      </c>
    </row>
    <row r="12" spans="1:12" ht="17.25" customHeight="1">
      <c r="A12" s="9" t="s">
        <v>12</v>
      </c>
      <c r="B12" s="9" t="s">
        <v>25</v>
      </c>
      <c r="C12" s="16" t="s">
        <v>14</v>
      </c>
      <c r="D12" s="23">
        <v>38.46</v>
      </c>
      <c r="E12" s="11">
        <f t="shared" si="0"/>
        <v>1</v>
      </c>
      <c r="F12" s="11"/>
      <c r="G12" s="23">
        <f t="shared" si="1"/>
        <v>38.46</v>
      </c>
      <c r="H12" s="11">
        <v>1</v>
      </c>
      <c r="I12" s="11"/>
      <c r="J12" s="11"/>
      <c r="K12" s="11">
        <f t="shared" si="2"/>
        <v>1</v>
      </c>
      <c r="L12" s="12">
        <f>K12*D12</f>
        <v>38.46</v>
      </c>
    </row>
    <row r="13" spans="1:12" ht="17.25" customHeight="1">
      <c r="A13" s="9" t="s">
        <v>26</v>
      </c>
      <c r="B13" s="9" t="s">
        <v>27</v>
      </c>
      <c r="C13" s="16" t="s">
        <v>28</v>
      </c>
      <c r="D13" s="23">
        <v>2</v>
      </c>
      <c r="E13" s="11">
        <f t="shared" si="0"/>
        <v>5</v>
      </c>
      <c r="F13" s="11"/>
      <c r="G13" s="23">
        <f t="shared" si="1"/>
        <v>10</v>
      </c>
      <c r="H13" s="11">
        <v>5</v>
      </c>
      <c r="I13" s="11"/>
      <c r="J13" s="11"/>
      <c r="K13" s="11">
        <f>H13+I13+J13</f>
        <v>5</v>
      </c>
      <c r="L13" s="12">
        <f>K13*D13</f>
        <v>10</v>
      </c>
    </row>
    <row r="14" spans="1:12" ht="17.25" customHeight="1">
      <c r="A14" s="9" t="s">
        <v>26</v>
      </c>
      <c r="B14" s="9" t="s">
        <v>29</v>
      </c>
      <c r="C14" s="16" t="s">
        <v>28</v>
      </c>
      <c r="D14" s="23">
        <v>2</v>
      </c>
      <c r="E14" s="11">
        <f t="shared" si="0"/>
        <v>9</v>
      </c>
      <c r="F14" s="11">
        <v>1</v>
      </c>
      <c r="G14" s="23">
        <f t="shared" si="1"/>
        <v>18</v>
      </c>
      <c r="H14" s="11">
        <v>8</v>
      </c>
      <c r="I14" s="11"/>
      <c r="J14" s="11"/>
      <c r="K14" s="11">
        <f>H14+I14+J14</f>
        <v>8</v>
      </c>
      <c r="L14" s="12">
        <f>K14*D14</f>
        <v>16</v>
      </c>
    </row>
    <row r="15" spans="1:12" ht="17.25" customHeight="1">
      <c r="A15" s="9" t="s">
        <v>26</v>
      </c>
      <c r="B15" s="9" t="s">
        <v>30</v>
      </c>
      <c r="C15" s="16" t="s">
        <v>28</v>
      </c>
      <c r="D15" s="23">
        <v>3</v>
      </c>
      <c r="E15" s="11">
        <f t="shared" si="0"/>
        <v>1</v>
      </c>
      <c r="F15" s="11"/>
      <c r="G15" s="23">
        <f t="shared" si="1"/>
        <v>3</v>
      </c>
      <c r="H15" s="11">
        <v>1</v>
      </c>
      <c r="I15" s="11"/>
      <c r="J15" s="11"/>
      <c r="K15" s="11">
        <f>H15+I15+J15</f>
        <v>1</v>
      </c>
      <c r="L15" s="12">
        <f>K15*D15</f>
        <v>3</v>
      </c>
    </row>
    <row r="16" spans="1:12" ht="17.25" customHeight="1">
      <c r="A16" s="9" t="s">
        <v>26</v>
      </c>
      <c r="B16" s="9" t="s">
        <v>31</v>
      </c>
      <c r="C16" s="16" t="s">
        <v>28</v>
      </c>
      <c r="D16" s="23">
        <v>2.6</v>
      </c>
      <c r="E16" s="11">
        <f t="shared" si="0"/>
        <v>6</v>
      </c>
      <c r="F16" s="11"/>
      <c r="G16" s="23">
        <f t="shared" si="1"/>
        <v>15.600000000000001</v>
      </c>
      <c r="H16" s="11">
        <v>6</v>
      </c>
      <c r="I16" s="11"/>
      <c r="J16" s="11"/>
      <c r="K16" s="11">
        <f>H16+I16+J16</f>
        <v>6</v>
      </c>
      <c r="L16" s="12">
        <f>K16*D16</f>
        <v>15.600000000000001</v>
      </c>
    </row>
    <row r="17" spans="1:12" ht="17.25" customHeight="1">
      <c r="A17" s="9" t="s">
        <v>26</v>
      </c>
      <c r="B17" s="9" t="s">
        <v>32</v>
      </c>
      <c r="C17" s="16" t="s">
        <v>28</v>
      </c>
      <c r="D17" s="23">
        <v>0.43</v>
      </c>
      <c r="E17" s="11">
        <f t="shared" si="0"/>
        <v>30</v>
      </c>
      <c r="F17" s="11"/>
      <c r="G17" s="23">
        <f t="shared" si="1"/>
        <v>12.9</v>
      </c>
      <c r="H17" s="11">
        <v>30</v>
      </c>
      <c r="I17" s="11"/>
      <c r="J17" s="11"/>
      <c r="K17" s="11">
        <f>H17+I17+J17</f>
        <v>30</v>
      </c>
      <c r="L17" s="12">
        <f>K17*D17</f>
        <v>12.9</v>
      </c>
    </row>
    <row r="18" spans="1:12" ht="17.25" customHeight="1">
      <c r="A18" s="9" t="s">
        <v>26</v>
      </c>
      <c r="B18" s="9" t="s">
        <v>33</v>
      </c>
      <c r="C18" s="16" t="s">
        <v>28</v>
      </c>
      <c r="D18" s="23">
        <v>0.68</v>
      </c>
      <c r="E18" s="11">
        <f t="shared" si="0"/>
        <v>25</v>
      </c>
      <c r="F18" s="11"/>
      <c r="G18" s="23">
        <f t="shared" si="1"/>
        <v>17</v>
      </c>
      <c r="H18" s="11">
        <v>25</v>
      </c>
      <c r="I18" s="11"/>
      <c r="J18" s="11"/>
      <c r="K18" s="11">
        <f>H18+I18+J18</f>
        <v>25</v>
      </c>
      <c r="L18" s="12">
        <f>K18*D18</f>
        <v>17</v>
      </c>
    </row>
    <row r="19" spans="1:12" ht="17.25" customHeight="1">
      <c r="A19" s="9" t="s">
        <v>26</v>
      </c>
      <c r="B19" s="9" t="s">
        <v>34</v>
      </c>
      <c r="C19" s="16" t="s">
        <v>28</v>
      </c>
      <c r="D19" s="23">
        <v>0.78</v>
      </c>
      <c r="E19" s="11">
        <f t="shared" si="0"/>
        <v>11</v>
      </c>
      <c r="F19" s="11"/>
      <c r="G19" s="23">
        <f t="shared" si="1"/>
        <v>8.58</v>
      </c>
      <c r="H19" s="11">
        <v>11</v>
      </c>
      <c r="I19" s="11"/>
      <c r="J19" s="11"/>
      <c r="K19" s="11">
        <f>H19+I19+J19</f>
        <v>11</v>
      </c>
      <c r="L19" s="12">
        <f>K19*D19</f>
        <v>8.58</v>
      </c>
    </row>
    <row r="20" spans="1:12" ht="17.25" customHeight="1">
      <c r="A20" s="9" t="s">
        <v>26</v>
      </c>
      <c r="B20" s="9" t="s">
        <v>35</v>
      </c>
      <c r="C20" s="16" t="s">
        <v>28</v>
      </c>
      <c r="D20" s="23">
        <v>0.1</v>
      </c>
      <c r="E20" s="11">
        <f t="shared" si="0"/>
        <v>28</v>
      </c>
      <c r="F20" s="11"/>
      <c r="G20" s="23">
        <f t="shared" si="1"/>
        <v>2.8000000000000003</v>
      </c>
      <c r="H20" s="11">
        <v>28</v>
      </c>
      <c r="I20" s="11"/>
      <c r="J20" s="11"/>
      <c r="K20" s="11">
        <f>H20+I20+J20</f>
        <v>28</v>
      </c>
      <c r="L20" s="12">
        <f>K20*D20</f>
        <v>2.8000000000000003</v>
      </c>
    </row>
    <row r="21" spans="1:12" ht="17.25" customHeight="1">
      <c r="A21" s="9" t="s">
        <v>26</v>
      </c>
      <c r="B21" s="9" t="s">
        <v>36</v>
      </c>
      <c r="C21" s="16" t="s">
        <v>28</v>
      </c>
      <c r="D21" s="23">
        <v>0.16</v>
      </c>
      <c r="E21" s="11">
        <f t="shared" si="0"/>
        <v>16</v>
      </c>
      <c r="F21" s="11"/>
      <c r="G21" s="23">
        <f t="shared" si="1"/>
        <v>2.56</v>
      </c>
      <c r="H21" s="11">
        <v>16</v>
      </c>
      <c r="I21" s="11"/>
      <c r="J21" s="11"/>
      <c r="K21" s="11">
        <f>H21+I21+J21</f>
        <v>16</v>
      </c>
      <c r="L21" s="12">
        <f>K21*D21</f>
        <v>2.56</v>
      </c>
    </row>
    <row r="22" spans="1:12" ht="17.25" customHeight="1">
      <c r="A22" s="9" t="s">
        <v>26</v>
      </c>
      <c r="B22" s="9" t="s">
        <v>37</v>
      </c>
      <c r="C22" s="16" t="s">
        <v>28</v>
      </c>
      <c r="D22" s="23">
        <v>0.19</v>
      </c>
      <c r="E22" s="11">
        <f t="shared" si="0"/>
        <v>4</v>
      </c>
      <c r="F22" s="11"/>
      <c r="G22" s="23">
        <f t="shared" si="1"/>
        <v>0.76</v>
      </c>
      <c r="H22" s="11">
        <v>4</v>
      </c>
      <c r="I22" s="11"/>
      <c r="J22" s="11"/>
      <c r="K22" s="11">
        <f>H22+I22+J22</f>
        <v>4</v>
      </c>
      <c r="L22" s="12">
        <f>K22*D22</f>
        <v>0.76</v>
      </c>
    </row>
    <row r="23" spans="1:12" ht="17.25" customHeight="1">
      <c r="A23" s="9" t="s">
        <v>26</v>
      </c>
      <c r="B23" s="9" t="s">
        <v>38</v>
      </c>
      <c r="C23" s="16" t="s">
        <v>28</v>
      </c>
      <c r="D23" s="23">
        <v>0.254</v>
      </c>
      <c r="E23" s="11">
        <f t="shared" si="0"/>
        <v>23</v>
      </c>
      <c r="F23" s="11">
        <v>1</v>
      </c>
      <c r="G23" s="23">
        <f t="shared" si="1"/>
        <v>5.8420000000000005</v>
      </c>
      <c r="H23" s="11">
        <v>22</v>
      </c>
      <c r="I23" s="11"/>
      <c r="J23" s="11"/>
      <c r="K23" s="11">
        <f>H23+I23+J23</f>
        <v>22</v>
      </c>
      <c r="L23" s="12">
        <f>K23*D23</f>
        <v>5.5880000000000001</v>
      </c>
    </row>
    <row r="24" spans="1:12" ht="17.25" customHeight="1">
      <c r="A24" s="9" t="s">
        <v>26</v>
      </c>
      <c r="B24" s="9" t="s">
        <v>39</v>
      </c>
      <c r="C24" s="16" t="s">
        <v>28</v>
      </c>
      <c r="D24" s="23">
        <v>0.37680000000000002</v>
      </c>
      <c r="E24" s="11">
        <f t="shared" si="0"/>
        <v>32</v>
      </c>
      <c r="F24" s="11"/>
      <c r="G24" s="23">
        <f t="shared" si="1"/>
        <v>12.057600000000001</v>
      </c>
      <c r="H24" s="11">
        <v>32</v>
      </c>
      <c r="I24" s="11"/>
      <c r="J24" s="11"/>
      <c r="K24" s="11">
        <f>H24+I24+J24</f>
        <v>32</v>
      </c>
      <c r="L24" s="12">
        <f>K24*D24</f>
        <v>12.057600000000001</v>
      </c>
    </row>
    <row r="25" spans="1:12" ht="17.25" customHeight="1">
      <c r="A25" s="9" t="s">
        <v>26</v>
      </c>
      <c r="B25" s="9" t="s">
        <v>40</v>
      </c>
      <c r="C25" s="16" t="s">
        <v>28</v>
      </c>
      <c r="D25" s="23">
        <v>0.8</v>
      </c>
      <c r="E25" s="11">
        <f t="shared" si="0"/>
        <v>28</v>
      </c>
      <c r="F25" s="11"/>
      <c r="G25" s="23">
        <f t="shared" si="1"/>
        <v>22.400000000000002</v>
      </c>
      <c r="H25" s="11">
        <v>28</v>
      </c>
      <c r="I25" s="11"/>
      <c r="J25" s="11"/>
      <c r="K25" s="11">
        <f>H25+I25+J25</f>
        <v>28</v>
      </c>
      <c r="L25" s="12">
        <f>K25*D25</f>
        <v>22.400000000000002</v>
      </c>
    </row>
    <row r="26" spans="1:12" ht="17.25" customHeight="1">
      <c r="A26" s="9" t="s">
        <v>26</v>
      </c>
      <c r="B26" s="9" t="s">
        <v>41</v>
      </c>
      <c r="C26" s="16" t="s">
        <v>28</v>
      </c>
      <c r="D26" s="23">
        <v>1.06</v>
      </c>
      <c r="E26" s="11">
        <f t="shared" si="0"/>
        <v>2</v>
      </c>
      <c r="F26" s="11"/>
      <c r="G26" s="23">
        <f t="shared" si="1"/>
        <v>2.12</v>
      </c>
      <c r="H26" s="11">
        <v>2</v>
      </c>
      <c r="I26" s="11"/>
      <c r="J26" s="11"/>
      <c r="K26" s="11">
        <f>H26+I26+J26</f>
        <v>2</v>
      </c>
      <c r="L26" s="12">
        <f>K26*D26</f>
        <v>2.12</v>
      </c>
    </row>
    <row r="27" spans="1:12" ht="17.25" customHeight="1">
      <c r="A27" s="9" t="s">
        <v>42</v>
      </c>
      <c r="B27" s="9" t="s">
        <v>43</v>
      </c>
      <c r="C27" s="16" t="s">
        <v>14</v>
      </c>
      <c r="D27" s="23">
        <v>4.5</v>
      </c>
      <c r="E27" s="11">
        <f>K27+F27</f>
        <v>963</v>
      </c>
      <c r="F27" s="11">
        <v>258</v>
      </c>
      <c r="G27" s="23">
        <f t="shared" si="1"/>
        <v>4333.5</v>
      </c>
      <c r="H27" s="11">
        <v>705</v>
      </c>
      <c r="I27" s="11"/>
      <c r="J27" s="11"/>
      <c r="K27" s="11">
        <f>H27+I27+J27</f>
        <v>705</v>
      </c>
      <c r="L27" s="12">
        <f>K27*D27</f>
        <v>3172.5</v>
      </c>
    </row>
    <row r="28" spans="1:12" ht="17.25" customHeight="1">
      <c r="A28" s="9" t="s">
        <v>42</v>
      </c>
      <c r="B28" s="9" t="s">
        <v>44</v>
      </c>
      <c r="C28" s="16" t="s">
        <v>14</v>
      </c>
      <c r="D28" s="23">
        <v>7.98</v>
      </c>
      <c r="E28" s="11">
        <f t="shared" ref="E28:E91" si="3">K28+F28</f>
        <v>25</v>
      </c>
      <c r="F28" s="11">
        <v>3</v>
      </c>
      <c r="G28" s="23">
        <f t="shared" si="1"/>
        <v>199.5</v>
      </c>
      <c r="H28" s="11">
        <v>22</v>
      </c>
      <c r="I28" s="11"/>
      <c r="J28" s="11"/>
      <c r="K28" s="11">
        <f t="shared" ref="K28:K118" si="4">H28+I28+J28</f>
        <v>22</v>
      </c>
      <c r="L28" s="12">
        <f>K28*D28</f>
        <v>175.56</v>
      </c>
    </row>
    <row r="29" spans="1:12" ht="17.25" customHeight="1">
      <c r="A29" s="9" t="s">
        <v>42</v>
      </c>
      <c r="B29" s="9" t="s">
        <v>45</v>
      </c>
      <c r="C29" s="16" t="s">
        <v>14</v>
      </c>
      <c r="D29" s="10">
        <v>8.49</v>
      </c>
      <c r="E29" s="11">
        <f t="shared" si="3"/>
        <v>103</v>
      </c>
      <c r="F29" s="11">
        <v>10</v>
      </c>
      <c r="G29" s="23">
        <f t="shared" si="1"/>
        <v>874.47</v>
      </c>
      <c r="H29" s="11">
        <v>93</v>
      </c>
      <c r="I29" s="11"/>
      <c r="J29" s="11"/>
      <c r="K29" s="11">
        <f t="shared" si="4"/>
        <v>93</v>
      </c>
      <c r="L29" s="12">
        <f>K29*D29</f>
        <v>789.57</v>
      </c>
    </row>
    <row r="30" spans="1:12" ht="17.25" customHeight="1">
      <c r="A30" s="9" t="s">
        <v>42</v>
      </c>
      <c r="B30" s="9" t="s">
        <v>46</v>
      </c>
      <c r="C30" s="16" t="s">
        <v>14</v>
      </c>
      <c r="D30" s="23">
        <v>4.41</v>
      </c>
      <c r="E30" s="11">
        <f t="shared" si="3"/>
        <v>13</v>
      </c>
      <c r="F30" s="11">
        <v>1</v>
      </c>
      <c r="G30" s="23">
        <f t="shared" si="1"/>
        <v>57.33</v>
      </c>
      <c r="H30" s="11">
        <v>12</v>
      </c>
      <c r="I30" s="11"/>
      <c r="J30" s="11"/>
      <c r="K30" s="11">
        <f t="shared" si="4"/>
        <v>12</v>
      </c>
      <c r="L30" s="12">
        <f>K30*D30</f>
        <v>52.92</v>
      </c>
    </row>
    <row r="31" spans="1:12" ht="17.25" customHeight="1">
      <c r="A31" s="9" t="s">
        <v>42</v>
      </c>
      <c r="B31" s="9" t="s">
        <v>47</v>
      </c>
      <c r="C31" s="16" t="s">
        <v>14</v>
      </c>
      <c r="D31" s="10">
        <v>10.31</v>
      </c>
      <c r="E31" s="11">
        <f t="shared" si="3"/>
        <v>8.6</v>
      </c>
      <c r="F31" s="11">
        <v>0.6</v>
      </c>
      <c r="G31" s="23">
        <f t="shared" si="1"/>
        <v>88.665999999999997</v>
      </c>
      <c r="H31" s="11">
        <v>8</v>
      </c>
      <c r="I31" s="11"/>
      <c r="J31" s="11"/>
      <c r="K31" s="11">
        <f t="shared" si="4"/>
        <v>8</v>
      </c>
      <c r="L31" s="12">
        <f>K31*D31</f>
        <v>82.48</v>
      </c>
    </row>
    <row r="32" spans="1:12" ht="17.25" customHeight="1">
      <c r="A32" s="9" t="s">
        <v>42</v>
      </c>
      <c r="B32" s="9" t="s">
        <v>48</v>
      </c>
      <c r="C32" s="16" t="s">
        <v>14</v>
      </c>
      <c r="D32" s="23">
        <v>19.23</v>
      </c>
      <c r="E32" s="11">
        <f t="shared" si="3"/>
        <v>55.7</v>
      </c>
      <c r="F32" s="11">
        <v>7.7</v>
      </c>
      <c r="G32" s="23">
        <f t="shared" si="1"/>
        <v>1071.1110000000001</v>
      </c>
      <c r="H32" s="11">
        <v>48</v>
      </c>
      <c r="I32" s="11"/>
      <c r="J32" s="11"/>
      <c r="K32" s="11">
        <f t="shared" si="4"/>
        <v>48</v>
      </c>
      <c r="L32" s="12">
        <f>K32*D32</f>
        <v>923.04</v>
      </c>
    </row>
    <row r="33" spans="1:12" ht="17.25" customHeight="1">
      <c r="A33" s="9" t="s">
        <v>42</v>
      </c>
      <c r="B33" s="9" t="s">
        <v>49</v>
      </c>
      <c r="C33" s="16" t="s">
        <v>14</v>
      </c>
      <c r="D33" s="23">
        <v>19.66</v>
      </c>
      <c r="E33" s="11">
        <f t="shared" si="3"/>
        <v>36</v>
      </c>
      <c r="F33" s="11">
        <v>3</v>
      </c>
      <c r="G33" s="23">
        <f t="shared" si="1"/>
        <v>707.76</v>
      </c>
      <c r="H33" s="11">
        <v>33</v>
      </c>
      <c r="I33" s="11"/>
      <c r="J33" s="11"/>
      <c r="K33" s="11">
        <f t="shared" si="4"/>
        <v>33</v>
      </c>
      <c r="L33" s="12">
        <f>K33*D33</f>
        <v>648.78</v>
      </c>
    </row>
    <row r="34" spans="1:12" ht="17.25" customHeight="1">
      <c r="A34" s="9" t="s">
        <v>42</v>
      </c>
      <c r="B34" s="9" t="s">
        <v>50</v>
      </c>
      <c r="C34" s="16" t="s">
        <v>14</v>
      </c>
      <c r="D34" s="23">
        <v>17.23</v>
      </c>
      <c r="E34" s="11">
        <f t="shared" si="3"/>
        <v>25</v>
      </c>
      <c r="F34" s="11">
        <v>10</v>
      </c>
      <c r="G34" s="23">
        <f t="shared" si="1"/>
        <v>430.75</v>
      </c>
      <c r="H34" s="11">
        <v>15</v>
      </c>
      <c r="I34" s="11"/>
      <c r="J34" s="11"/>
      <c r="K34" s="11">
        <f t="shared" si="4"/>
        <v>15</v>
      </c>
      <c r="L34" s="12">
        <f>K34*D34</f>
        <v>258.45</v>
      </c>
    </row>
    <row r="35" spans="1:12" ht="17.25" customHeight="1">
      <c r="A35" s="9" t="s">
        <v>42</v>
      </c>
      <c r="B35" s="9" t="s">
        <v>51</v>
      </c>
      <c r="C35" s="16" t="s">
        <v>14</v>
      </c>
      <c r="D35" s="23">
        <v>16.25</v>
      </c>
      <c r="E35" s="11">
        <f t="shared" si="3"/>
        <v>0</v>
      </c>
      <c r="F35" s="11"/>
      <c r="G35" s="23">
        <f t="shared" si="1"/>
        <v>0</v>
      </c>
      <c r="H35" s="11">
        <v>0</v>
      </c>
      <c r="I35" s="11"/>
      <c r="J35" s="11"/>
      <c r="K35" s="11">
        <f t="shared" si="4"/>
        <v>0</v>
      </c>
      <c r="L35" s="12">
        <f>K35*D35</f>
        <v>0</v>
      </c>
    </row>
    <row r="36" spans="1:12" ht="17.25" customHeight="1">
      <c r="A36" s="9" t="s">
        <v>42</v>
      </c>
      <c r="B36" s="9" t="s">
        <v>52</v>
      </c>
      <c r="C36" s="16" t="s">
        <v>14</v>
      </c>
      <c r="D36" s="23">
        <v>35.700000000000003</v>
      </c>
      <c r="E36" s="11">
        <f t="shared" si="3"/>
        <v>5.97</v>
      </c>
      <c r="F36" s="11">
        <v>0.47</v>
      </c>
      <c r="G36" s="23">
        <f t="shared" si="1"/>
        <v>213.12900000000002</v>
      </c>
      <c r="H36" s="11">
        <v>5.5</v>
      </c>
      <c r="I36" s="11"/>
      <c r="J36" s="11"/>
      <c r="K36" s="11">
        <f t="shared" si="4"/>
        <v>5.5</v>
      </c>
      <c r="L36" s="12">
        <f>K36*D36</f>
        <v>196.35000000000002</v>
      </c>
    </row>
    <row r="37" spans="1:12" ht="17.25" customHeight="1">
      <c r="A37" s="9" t="s">
        <v>42</v>
      </c>
      <c r="B37" s="9" t="s">
        <v>53</v>
      </c>
      <c r="C37" s="16" t="s">
        <v>28</v>
      </c>
      <c r="D37" s="10">
        <v>3.6700000000000003E-2</v>
      </c>
      <c r="E37" s="11">
        <f t="shared" si="3"/>
        <v>4319</v>
      </c>
      <c r="F37" s="11">
        <v>30</v>
      </c>
      <c r="G37" s="23">
        <f t="shared" si="1"/>
        <v>158.50730000000001</v>
      </c>
      <c r="H37" s="11">
        <f>+(3750+139)</f>
        <v>3889</v>
      </c>
      <c r="I37" s="11">
        <v>400</v>
      </c>
      <c r="J37" s="11"/>
      <c r="K37" s="11">
        <f t="shared" si="4"/>
        <v>4289</v>
      </c>
      <c r="L37" s="12">
        <f>K37*D37</f>
        <v>157.40630000000002</v>
      </c>
    </row>
    <row r="38" spans="1:12" ht="17.25" customHeight="1">
      <c r="A38" s="9" t="s">
        <v>42</v>
      </c>
      <c r="B38" s="9" t="s">
        <v>54</v>
      </c>
      <c r="C38" s="16" t="s">
        <v>14</v>
      </c>
      <c r="D38" s="23">
        <v>33.11</v>
      </c>
      <c r="E38" s="11">
        <f t="shared" si="3"/>
        <v>16.737000000000002</v>
      </c>
      <c r="F38" s="11">
        <v>1.2370000000000001</v>
      </c>
      <c r="G38" s="23">
        <f t="shared" si="1"/>
        <v>554.16207000000009</v>
      </c>
      <c r="H38" s="11">
        <v>15.5</v>
      </c>
      <c r="I38" s="11"/>
      <c r="J38" s="11"/>
      <c r="K38" s="11">
        <f t="shared" si="4"/>
        <v>15.5</v>
      </c>
      <c r="L38" s="12">
        <f>K38*D38</f>
        <v>513.20500000000004</v>
      </c>
    </row>
    <row r="39" spans="1:12" ht="17.25" customHeight="1">
      <c r="A39" s="9" t="s">
        <v>55</v>
      </c>
      <c r="B39" s="9" t="s">
        <v>56</v>
      </c>
      <c r="C39" s="16" t="s">
        <v>14</v>
      </c>
      <c r="D39" s="23">
        <v>8.27</v>
      </c>
      <c r="E39" s="11">
        <f t="shared" si="3"/>
        <v>22.8</v>
      </c>
      <c r="F39" s="11">
        <v>2.8</v>
      </c>
      <c r="G39" s="23">
        <f t="shared" si="1"/>
        <v>188.55599999999998</v>
      </c>
      <c r="H39" s="11">
        <v>20</v>
      </c>
      <c r="I39" s="11"/>
      <c r="J39" s="11"/>
      <c r="K39" s="11">
        <f t="shared" si="4"/>
        <v>20</v>
      </c>
      <c r="L39" s="12">
        <f>K39*D39</f>
        <v>165.39999999999998</v>
      </c>
    </row>
    <row r="40" spans="1:12" ht="17.25" customHeight="1">
      <c r="A40" s="9" t="s">
        <v>42</v>
      </c>
      <c r="B40" s="9" t="s">
        <v>57</v>
      </c>
      <c r="C40" s="16" t="s">
        <v>14</v>
      </c>
      <c r="D40" s="23">
        <v>13.75</v>
      </c>
      <c r="E40" s="11">
        <f t="shared" si="3"/>
        <v>34.799999999999997</v>
      </c>
      <c r="F40" s="11">
        <v>1.8</v>
      </c>
      <c r="G40" s="23">
        <f t="shared" si="1"/>
        <v>478.49999999999994</v>
      </c>
      <c r="H40" s="11">
        <v>33</v>
      </c>
      <c r="I40" s="11"/>
      <c r="J40" s="11"/>
      <c r="K40" s="11">
        <f t="shared" si="4"/>
        <v>33</v>
      </c>
      <c r="L40" s="12">
        <f>K40*D40</f>
        <v>453.75</v>
      </c>
    </row>
    <row r="41" spans="1:12" ht="17.25" customHeight="1">
      <c r="A41" s="9" t="s">
        <v>42</v>
      </c>
      <c r="B41" s="9" t="s">
        <v>58</v>
      </c>
      <c r="C41" s="16" t="s">
        <v>14</v>
      </c>
      <c r="D41" s="23">
        <v>23.75</v>
      </c>
      <c r="E41" s="11">
        <f t="shared" si="3"/>
        <v>0</v>
      </c>
      <c r="F41" s="11"/>
      <c r="G41" s="23">
        <f t="shared" si="1"/>
        <v>0</v>
      </c>
      <c r="H41" s="11">
        <v>0</v>
      </c>
      <c r="I41" s="11"/>
      <c r="J41" s="11"/>
      <c r="K41" s="11">
        <f t="shared" si="4"/>
        <v>0</v>
      </c>
      <c r="L41" s="12">
        <f>K41*D41</f>
        <v>0</v>
      </c>
    </row>
    <row r="42" spans="1:12" ht="17.25" customHeight="1">
      <c r="A42" s="9" t="s">
        <v>42</v>
      </c>
      <c r="B42" s="9" t="s">
        <v>59</v>
      </c>
      <c r="C42" s="16" t="s">
        <v>14</v>
      </c>
      <c r="D42" s="23">
        <v>15.06</v>
      </c>
      <c r="E42" s="11">
        <f t="shared" si="3"/>
        <v>12.9</v>
      </c>
      <c r="F42" s="11">
        <v>0.9</v>
      </c>
      <c r="G42" s="23">
        <f t="shared" si="1"/>
        <v>194.274</v>
      </c>
      <c r="H42" s="11">
        <v>12</v>
      </c>
      <c r="I42" s="11"/>
      <c r="J42" s="11"/>
      <c r="K42" s="11">
        <f t="shared" si="4"/>
        <v>12</v>
      </c>
      <c r="L42" s="12">
        <f>K42*D42</f>
        <v>180.72</v>
      </c>
    </row>
    <row r="43" spans="1:12" ht="17.25" customHeight="1">
      <c r="A43" s="9" t="s">
        <v>55</v>
      </c>
      <c r="B43" s="9" t="s">
        <v>60</v>
      </c>
      <c r="C43" s="16" t="s">
        <v>14</v>
      </c>
      <c r="D43" s="23">
        <v>13.86</v>
      </c>
      <c r="E43" s="11">
        <f t="shared" si="3"/>
        <v>8</v>
      </c>
      <c r="F43" s="11"/>
      <c r="G43" s="23">
        <f t="shared" si="1"/>
        <v>110.88</v>
      </c>
      <c r="H43" s="11">
        <v>8</v>
      </c>
      <c r="I43" s="11"/>
      <c r="J43" s="11"/>
      <c r="K43" s="11">
        <f t="shared" si="4"/>
        <v>8</v>
      </c>
      <c r="L43" s="12">
        <f>K43*D43</f>
        <v>110.88</v>
      </c>
    </row>
    <row r="44" spans="1:12" ht="17.25" customHeight="1">
      <c r="A44" s="9" t="s">
        <v>42</v>
      </c>
      <c r="B44" s="9" t="s">
        <v>61</v>
      </c>
      <c r="C44" s="16" t="s">
        <v>14</v>
      </c>
      <c r="D44" s="23">
        <v>23</v>
      </c>
      <c r="E44" s="11">
        <f t="shared" si="3"/>
        <v>7200</v>
      </c>
      <c r="F44" s="11"/>
      <c r="G44" s="23">
        <f t="shared" si="1"/>
        <v>165600</v>
      </c>
      <c r="H44" s="11">
        <v>7200</v>
      </c>
      <c r="I44" s="11"/>
      <c r="J44" s="11"/>
      <c r="K44" s="11">
        <f t="shared" si="4"/>
        <v>7200</v>
      </c>
      <c r="L44" s="12">
        <f>K44*D44</f>
        <v>165600</v>
      </c>
    </row>
    <row r="45" spans="1:12" ht="17.25" customHeight="1">
      <c r="A45" s="9" t="s">
        <v>42</v>
      </c>
      <c r="B45" s="9" t="s">
        <v>62</v>
      </c>
      <c r="C45" s="16" t="s">
        <v>14</v>
      </c>
      <c r="D45" s="23">
        <v>15.73</v>
      </c>
      <c r="E45" s="11">
        <f t="shared" si="3"/>
        <v>28</v>
      </c>
      <c r="F45" s="11">
        <v>1</v>
      </c>
      <c r="G45" s="23">
        <f t="shared" si="1"/>
        <v>440.44</v>
      </c>
      <c r="H45" s="11">
        <v>25</v>
      </c>
      <c r="I45" s="11">
        <v>2</v>
      </c>
      <c r="J45" s="11"/>
      <c r="K45" s="11">
        <f t="shared" si="4"/>
        <v>27</v>
      </c>
      <c r="L45" s="12">
        <f>K45*D45</f>
        <v>424.71000000000004</v>
      </c>
    </row>
    <row r="46" spans="1:12" ht="17.25" customHeight="1">
      <c r="A46" s="9" t="s">
        <v>55</v>
      </c>
      <c r="B46" s="9" t="s">
        <v>63</v>
      </c>
      <c r="C46" s="16" t="s">
        <v>64</v>
      </c>
      <c r="D46" s="23">
        <v>28</v>
      </c>
      <c r="E46" s="11">
        <f t="shared" si="3"/>
        <v>0.60000000000000009</v>
      </c>
      <c r="F46" s="11">
        <v>0.2</v>
      </c>
      <c r="G46" s="23">
        <f t="shared" si="1"/>
        <v>16.800000000000004</v>
      </c>
      <c r="H46" s="11">
        <v>0.4</v>
      </c>
      <c r="I46" s="11"/>
      <c r="J46" s="11"/>
      <c r="K46" s="11">
        <f t="shared" si="4"/>
        <v>0.4</v>
      </c>
      <c r="L46" s="12">
        <f>K46*D46</f>
        <v>11.200000000000001</v>
      </c>
    </row>
    <row r="47" spans="1:12" ht="17.25" customHeight="1">
      <c r="A47" s="9" t="s">
        <v>42</v>
      </c>
      <c r="B47" s="9" t="s">
        <v>65</v>
      </c>
      <c r="C47" s="16" t="s">
        <v>14</v>
      </c>
      <c r="D47" s="21">
        <v>12.6</v>
      </c>
      <c r="E47" s="11">
        <f t="shared" si="3"/>
        <v>1.7</v>
      </c>
      <c r="F47" s="11">
        <v>1.2</v>
      </c>
      <c r="G47" s="23">
        <f t="shared" si="1"/>
        <v>21.419999999999998</v>
      </c>
      <c r="H47" s="11">
        <v>0.5</v>
      </c>
      <c r="I47" s="11"/>
      <c r="J47" s="11"/>
      <c r="K47" s="11">
        <f t="shared" si="4"/>
        <v>0.5</v>
      </c>
      <c r="L47" s="12">
        <f>K47*D47</f>
        <v>6.3</v>
      </c>
    </row>
    <row r="48" spans="1:12" ht="17.25" customHeight="1">
      <c r="A48" s="9" t="s">
        <v>42</v>
      </c>
      <c r="B48" s="9" t="s">
        <v>66</v>
      </c>
      <c r="C48" s="16" t="s">
        <v>14</v>
      </c>
      <c r="D48" s="21">
        <v>9.85</v>
      </c>
      <c r="E48" s="11">
        <f t="shared" si="3"/>
        <v>38.799999999999997</v>
      </c>
      <c r="F48" s="11">
        <v>3.8</v>
      </c>
      <c r="G48" s="23">
        <f t="shared" si="1"/>
        <v>382.17999999999995</v>
      </c>
      <c r="H48" s="11">
        <v>35</v>
      </c>
      <c r="I48" s="11"/>
      <c r="J48" s="11"/>
      <c r="K48" s="11">
        <f t="shared" si="4"/>
        <v>35</v>
      </c>
      <c r="L48" s="12">
        <f>K48*D48</f>
        <v>344.75</v>
      </c>
    </row>
    <row r="49" spans="1:12" ht="17.25" customHeight="1">
      <c r="A49" s="9" t="s">
        <v>42</v>
      </c>
      <c r="B49" s="9" t="s">
        <v>67</v>
      </c>
      <c r="C49" s="16" t="s">
        <v>14</v>
      </c>
      <c r="D49" s="21">
        <v>22.5</v>
      </c>
      <c r="E49" s="11">
        <f t="shared" si="3"/>
        <v>4.9000000000000004</v>
      </c>
      <c r="F49" s="11">
        <v>0.9</v>
      </c>
      <c r="G49" s="23">
        <f t="shared" si="1"/>
        <v>110.25000000000001</v>
      </c>
      <c r="H49" s="11">
        <v>4</v>
      </c>
      <c r="I49" s="11"/>
      <c r="J49" s="11"/>
      <c r="K49" s="11">
        <f t="shared" si="4"/>
        <v>4</v>
      </c>
      <c r="L49" s="12">
        <f>K49*D49</f>
        <v>90</v>
      </c>
    </row>
    <row r="50" spans="1:12" ht="17.25" customHeight="1">
      <c r="A50" s="9" t="s">
        <v>42</v>
      </c>
      <c r="B50" s="9" t="s">
        <v>68</v>
      </c>
      <c r="C50" s="16" t="s">
        <v>14</v>
      </c>
      <c r="D50" s="23">
        <v>17.760000000000002</v>
      </c>
      <c r="E50" s="11">
        <f t="shared" si="3"/>
        <v>35.200000000000003</v>
      </c>
      <c r="F50" s="11">
        <v>4.2</v>
      </c>
      <c r="G50" s="23">
        <f t="shared" si="1"/>
        <v>625.15200000000016</v>
      </c>
      <c r="H50" s="11">
        <v>31</v>
      </c>
      <c r="I50" s="11"/>
      <c r="J50" s="11"/>
      <c r="K50" s="11">
        <f t="shared" si="4"/>
        <v>31</v>
      </c>
      <c r="L50" s="12">
        <f>K50*D50</f>
        <v>550.56000000000006</v>
      </c>
    </row>
    <row r="51" spans="1:12" ht="17.25" customHeight="1">
      <c r="A51" s="9" t="s">
        <v>42</v>
      </c>
      <c r="B51" s="9" t="s">
        <v>69</v>
      </c>
      <c r="C51" s="16" t="s">
        <v>14</v>
      </c>
      <c r="D51" s="23">
        <v>33.119999999999997</v>
      </c>
      <c r="E51" s="11">
        <f t="shared" si="3"/>
        <v>69.3</v>
      </c>
      <c r="F51" s="11">
        <v>7.3</v>
      </c>
      <c r="G51" s="23">
        <f t="shared" si="1"/>
        <v>2295.2159999999999</v>
      </c>
      <c r="H51" s="11">
        <v>62</v>
      </c>
      <c r="I51" s="11"/>
      <c r="J51" s="11"/>
      <c r="K51" s="11">
        <f t="shared" si="4"/>
        <v>62</v>
      </c>
      <c r="L51" s="12">
        <f>K51*D51</f>
        <v>2053.44</v>
      </c>
    </row>
    <row r="52" spans="1:12" ht="17.25" customHeight="1">
      <c r="A52" s="9" t="s">
        <v>42</v>
      </c>
      <c r="B52" s="9" t="s">
        <v>70</v>
      </c>
      <c r="C52" s="16" t="s">
        <v>14</v>
      </c>
      <c r="D52" s="23">
        <v>11.81</v>
      </c>
      <c r="E52" s="11">
        <f t="shared" si="3"/>
        <v>4</v>
      </c>
      <c r="F52" s="11">
        <v>4</v>
      </c>
      <c r="G52" s="23">
        <f t="shared" si="1"/>
        <v>47.24</v>
      </c>
      <c r="H52" s="11">
        <v>0</v>
      </c>
      <c r="I52" s="11"/>
      <c r="J52" s="11"/>
      <c r="K52" s="11">
        <f t="shared" si="4"/>
        <v>0</v>
      </c>
      <c r="L52" s="12">
        <f>K52*D52</f>
        <v>0</v>
      </c>
    </row>
    <row r="53" spans="1:12" ht="17.25" customHeight="1">
      <c r="A53" s="9" t="s">
        <v>42</v>
      </c>
      <c r="B53" s="9" t="s">
        <v>71</v>
      </c>
      <c r="C53" s="16" t="s">
        <v>14</v>
      </c>
      <c r="D53" s="23">
        <v>5.98</v>
      </c>
      <c r="E53" s="11">
        <f t="shared" si="3"/>
        <v>10</v>
      </c>
      <c r="F53" s="11"/>
      <c r="G53" s="23">
        <f t="shared" si="1"/>
        <v>59.800000000000004</v>
      </c>
      <c r="H53" s="11">
        <v>10</v>
      </c>
      <c r="I53" s="11"/>
      <c r="J53" s="11"/>
      <c r="K53" s="11">
        <f t="shared" si="4"/>
        <v>10</v>
      </c>
      <c r="L53" s="12">
        <f>K53*D53</f>
        <v>59.800000000000004</v>
      </c>
    </row>
    <row r="54" spans="1:12" ht="17.25" customHeight="1">
      <c r="A54" s="9" t="s">
        <v>42</v>
      </c>
      <c r="B54" s="9" t="s">
        <v>72</v>
      </c>
      <c r="C54" s="16" t="s">
        <v>14</v>
      </c>
      <c r="D54" s="23">
        <v>7.5</v>
      </c>
      <c r="E54" s="11">
        <f t="shared" si="3"/>
        <v>21.7</v>
      </c>
      <c r="F54" s="11">
        <v>5.7</v>
      </c>
      <c r="G54" s="23">
        <f t="shared" si="1"/>
        <v>162.75</v>
      </c>
      <c r="H54" s="11">
        <v>14</v>
      </c>
      <c r="I54" s="11">
        <v>2</v>
      </c>
      <c r="J54" s="11"/>
      <c r="K54" s="11">
        <f t="shared" si="4"/>
        <v>16</v>
      </c>
      <c r="L54" s="12">
        <f>K54*D54</f>
        <v>120</v>
      </c>
    </row>
    <row r="55" spans="1:12" ht="17.25" customHeight="1">
      <c r="A55" s="9" t="s">
        <v>42</v>
      </c>
      <c r="B55" s="9" t="s">
        <v>73</v>
      </c>
      <c r="C55" s="16" t="s">
        <v>14</v>
      </c>
      <c r="D55" s="24"/>
      <c r="E55" s="11">
        <f t="shared" si="3"/>
        <v>0</v>
      </c>
      <c r="F55" s="11"/>
      <c r="G55" s="23">
        <f t="shared" si="1"/>
        <v>0</v>
      </c>
      <c r="H55" s="11">
        <v>0</v>
      </c>
      <c r="I55" s="11"/>
      <c r="J55" s="11"/>
      <c r="K55" s="11">
        <f t="shared" si="4"/>
        <v>0</v>
      </c>
      <c r="L55" s="12">
        <f>K55*D55</f>
        <v>0</v>
      </c>
    </row>
    <row r="56" spans="1:12" ht="17.25" customHeight="1">
      <c r="A56" s="9" t="s">
        <v>42</v>
      </c>
      <c r="B56" s="9" t="s">
        <v>74</v>
      </c>
      <c r="C56" s="16" t="s">
        <v>64</v>
      </c>
      <c r="D56" s="23">
        <v>5.5</v>
      </c>
      <c r="E56" s="11">
        <f t="shared" si="3"/>
        <v>0.75</v>
      </c>
      <c r="F56" s="11"/>
      <c r="G56" s="23">
        <f t="shared" si="1"/>
        <v>4.125</v>
      </c>
      <c r="H56" s="11">
        <v>0.75</v>
      </c>
      <c r="I56" s="11"/>
      <c r="J56" s="11"/>
      <c r="K56" s="11">
        <f t="shared" si="4"/>
        <v>0.75</v>
      </c>
      <c r="L56" s="12">
        <f>K56*D56</f>
        <v>4.125</v>
      </c>
    </row>
    <row r="57" spans="1:12" ht="17.25" customHeight="1">
      <c r="A57" s="9" t="s">
        <v>42</v>
      </c>
      <c r="B57" s="9" t="s">
        <v>75</v>
      </c>
      <c r="C57" s="16" t="s">
        <v>64</v>
      </c>
      <c r="D57" s="21">
        <v>9.5</v>
      </c>
      <c r="E57" s="11">
        <f t="shared" si="3"/>
        <v>1.84</v>
      </c>
      <c r="F57" s="11">
        <v>0.04</v>
      </c>
      <c r="G57" s="23">
        <f t="shared" si="1"/>
        <v>17.48</v>
      </c>
      <c r="H57" s="11">
        <v>1.8</v>
      </c>
      <c r="I57" s="11"/>
      <c r="J57" s="11"/>
      <c r="K57" s="11">
        <f t="shared" si="4"/>
        <v>1.8</v>
      </c>
      <c r="L57" s="12">
        <f>K57*D57</f>
        <v>17.100000000000001</v>
      </c>
    </row>
    <row r="58" spans="1:12" ht="17.25" customHeight="1">
      <c r="A58" s="9" t="s">
        <v>42</v>
      </c>
      <c r="B58" s="9" t="s">
        <v>76</v>
      </c>
      <c r="C58" s="16" t="s">
        <v>28</v>
      </c>
      <c r="D58" s="23">
        <v>0.33</v>
      </c>
      <c r="E58" s="11">
        <f t="shared" si="3"/>
        <v>139</v>
      </c>
      <c r="F58" s="11"/>
      <c r="G58" s="23">
        <f t="shared" si="1"/>
        <v>45.870000000000005</v>
      </c>
      <c r="H58" s="11">
        <v>129</v>
      </c>
      <c r="I58" s="11">
        <v>10</v>
      </c>
      <c r="J58" s="11"/>
      <c r="K58" s="11">
        <f t="shared" si="4"/>
        <v>139</v>
      </c>
      <c r="L58" s="12">
        <f>K58*D58</f>
        <v>45.870000000000005</v>
      </c>
    </row>
    <row r="59" spans="1:12" ht="17.25" customHeight="1">
      <c r="A59" s="9" t="s">
        <v>42</v>
      </c>
      <c r="B59" s="9" t="s">
        <v>77</v>
      </c>
      <c r="C59" s="16" t="s">
        <v>28</v>
      </c>
      <c r="D59" s="21">
        <v>18.600000000000001</v>
      </c>
      <c r="E59" s="11">
        <f t="shared" si="3"/>
        <v>0.5</v>
      </c>
      <c r="F59" s="11"/>
      <c r="G59" s="23">
        <f t="shared" si="1"/>
        <v>9.3000000000000007</v>
      </c>
      <c r="H59" s="11">
        <v>0.5</v>
      </c>
      <c r="I59" s="11"/>
      <c r="J59" s="11"/>
      <c r="K59" s="11">
        <f t="shared" si="4"/>
        <v>0.5</v>
      </c>
      <c r="L59" s="12">
        <f>K59*D59</f>
        <v>9.3000000000000007</v>
      </c>
    </row>
    <row r="60" spans="1:12" ht="17.25" customHeight="1">
      <c r="A60" s="9" t="s">
        <v>42</v>
      </c>
      <c r="B60" s="9" t="s">
        <v>78</v>
      </c>
      <c r="C60" s="16" t="s">
        <v>28</v>
      </c>
      <c r="D60" s="24"/>
      <c r="E60" s="11">
        <f t="shared" si="3"/>
        <v>347</v>
      </c>
      <c r="F60" s="11"/>
      <c r="G60" s="23">
        <f t="shared" si="1"/>
        <v>0</v>
      </c>
      <c r="H60" s="11">
        <v>347</v>
      </c>
      <c r="I60" s="11"/>
      <c r="J60" s="11"/>
      <c r="K60" s="11">
        <f t="shared" si="4"/>
        <v>347</v>
      </c>
      <c r="L60" s="12">
        <f>K60*D60</f>
        <v>0</v>
      </c>
    </row>
    <row r="61" spans="1:12" ht="17.25" customHeight="1">
      <c r="A61" s="9" t="s">
        <v>42</v>
      </c>
      <c r="B61" s="9" t="s">
        <v>79</v>
      </c>
      <c r="C61" s="16" t="s">
        <v>14</v>
      </c>
      <c r="D61" s="21">
        <v>12.29</v>
      </c>
      <c r="E61" s="11">
        <f t="shared" si="3"/>
        <v>0</v>
      </c>
      <c r="F61" s="11"/>
      <c r="G61" s="23">
        <f t="shared" si="1"/>
        <v>0</v>
      </c>
      <c r="H61" s="11"/>
      <c r="I61" s="11"/>
      <c r="J61" s="11"/>
      <c r="K61" s="11">
        <f t="shared" si="4"/>
        <v>0</v>
      </c>
      <c r="L61" s="12">
        <f>K61*D61</f>
        <v>0</v>
      </c>
    </row>
    <row r="62" spans="1:12" ht="17.25" customHeight="1">
      <c r="A62" s="9" t="s">
        <v>42</v>
      </c>
      <c r="B62" s="9" t="s">
        <v>80</v>
      </c>
      <c r="C62" s="16" t="s">
        <v>14</v>
      </c>
      <c r="D62" s="23">
        <v>22.98</v>
      </c>
      <c r="E62" s="11">
        <f t="shared" si="3"/>
        <v>0</v>
      </c>
      <c r="F62" s="11"/>
      <c r="G62" s="23">
        <f t="shared" si="1"/>
        <v>0</v>
      </c>
      <c r="H62" s="11">
        <v>0</v>
      </c>
      <c r="I62" s="11"/>
      <c r="J62" s="11"/>
      <c r="K62" s="11">
        <f t="shared" si="4"/>
        <v>0</v>
      </c>
      <c r="L62" s="12">
        <f>K62*D62</f>
        <v>0</v>
      </c>
    </row>
    <row r="63" spans="1:12" ht="17.25" customHeight="1">
      <c r="A63" s="9" t="s">
        <v>42</v>
      </c>
      <c r="B63" s="9" t="s">
        <v>81</v>
      </c>
      <c r="C63" s="16" t="s">
        <v>14</v>
      </c>
      <c r="D63" s="21">
        <v>14.5</v>
      </c>
      <c r="E63" s="11">
        <f t="shared" si="3"/>
        <v>0</v>
      </c>
      <c r="F63" s="11"/>
      <c r="G63" s="23">
        <f t="shared" si="1"/>
        <v>0</v>
      </c>
      <c r="H63" s="11"/>
      <c r="I63" s="11"/>
      <c r="J63" s="11"/>
      <c r="K63" s="11">
        <f t="shared" si="4"/>
        <v>0</v>
      </c>
      <c r="L63" s="12">
        <f>K63*D63</f>
        <v>0</v>
      </c>
    </row>
    <row r="64" spans="1:12" ht="17.25" customHeight="1">
      <c r="A64" s="9" t="s">
        <v>42</v>
      </c>
      <c r="B64" s="9" t="s">
        <v>82</v>
      </c>
      <c r="C64" s="16" t="s">
        <v>28</v>
      </c>
      <c r="D64" s="23">
        <v>1.5800000000000002E-2</v>
      </c>
      <c r="E64" s="11">
        <f t="shared" si="3"/>
        <v>22900</v>
      </c>
      <c r="F64" s="11">
        <v>500</v>
      </c>
      <c r="G64" s="23">
        <f t="shared" si="1"/>
        <v>361.82000000000005</v>
      </c>
      <c r="H64" s="11">
        <v>21600</v>
      </c>
      <c r="I64" s="11">
        <v>800</v>
      </c>
      <c r="J64" s="11"/>
      <c r="K64" s="11">
        <f t="shared" si="4"/>
        <v>22400</v>
      </c>
      <c r="L64" s="12">
        <f>K64*D64</f>
        <v>353.92</v>
      </c>
    </row>
    <row r="65" spans="1:12" ht="17.25" customHeight="1">
      <c r="A65" s="9" t="s">
        <v>42</v>
      </c>
      <c r="B65" s="9" t="s">
        <v>83</v>
      </c>
      <c r="C65" s="16" t="s">
        <v>28</v>
      </c>
      <c r="D65" s="23">
        <v>2.5700000000000001E-2</v>
      </c>
      <c r="E65" s="11">
        <f t="shared" si="3"/>
        <v>15950</v>
      </c>
      <c r="F65" s="11"/>
      <c r="G65" s="23">
        <f t="shared" si="1"/>
        <v>409.91500000000002</v>
      </c>
      <c r="H65" s="11">
        <v>15600</v>
      </c>
      <c r="I65" s="11">
        <v>350</v>
      </c>
      <c r="J65" s="11"/>
      <c r="K65" s="11">
        <f t="shared" si="4"/>
        <v>15950</v>
      </c>
      <c r="L65" s="12">
        <f>K65*D65</f>
        <v>409.91500000000002</v>
      </c>
    </row>
    <row r="66" spans="1:12" ht="17.25" customHeight="1">
      <c r="A66" s="9" t="s">
        <v>42</v>
      </c>
      <c r="B66" s="9" t="s">
        <v>84</v>
      </c>
      <c r="C66" s="16" t="s">
        <v>28</v>
      </c>
      <c r="D66" s="23">
        <v>9.5600000000000004E-2</v>
      </c>
      <c r="E66" s="11">
        <f t="shared" si="3"/>
        <v>1220</v>
      </c>
      <c r="F66" s="11"/>
      <c r="G66" s="23">
        <f t="shared" si="1"/>
        <v>116.63200000000001</v>
      </c>
      <c r="H66" s="11">
        <v>1157</v>
      </c>
      <c r="I66" s="11">
        <v>63</v>
      </c>
      <c r="J66" s="11"/>
      <c r="K66" s="11">
        <f t="shared" si="4"/>
        <v>1220</v>
      </c>
      <c r="L66" s="12">
        <f>K66*D66</f>
        <v>116.63200000000001</v>
      </c>
    </row>
    <row r="67" spans="1:12" ht="17.25" customHeight="1">
      <c r="A67" s="9" t="s">
        <v>42</v>
      </c>
      <c r="B67" s="9" t="s">
        <v>85</v>
      </c>
      <c r="C67" s="16" t="s">
        <v>28</v>
      </c>
      <c r="D67" s="23">
        <v>3.8100000000000002E-2</v>
      </c>
      <c r="E67" s="11">
        <f t="shared" si="3"/>
        <v>518</v>
      </c>
      <c r="F67" s="11"/>
      <c r="G67" s="23">
        <f t="shared" ref="G67:G130" si="5">E67*D67</f>
        <v>19.735800000000001</v>
      </c>
      <c r="H67" s="11">
        <f>+(86+200)</f>
        <v>286</v>
      </c>
      <c r="I67" s="11">
        <v>232</v>
      </c>
      <c r="J67" s="11"/>
      <c r="K67" s="11">
        <f t="shared" si="4"/>
        <v>518</v>
      </c>
      <c r="L67" s="12">
        <f>K67*D67</f>
        <v>19.735800000000001</v>
      </c>
    </row>
    <row r="68" spans="1:12" ht="17.25" customHeight="1">
      <c r="A68" s="9" t="s">
        <v>42</v>
      </c>
      <c r="B68" s="9" t="s">
        <v>86</v>
      </c>
      <c r="C68" s="16" t="s">
        <v>28</v>
      </c>
      <c r="D68" s="23">
        <v>5.8799999999999998E-2</v>
      </c>
      <c r="E68" s="11">
        <f t="shared" si="3"/>
        <v>3905</v>
      </c>
      <c r="F68" s="11"/>
      <c r="G68" s="23">
        <f t="shared" si="5"/>
        <v>229.614</v>
      </c>
      <c r="H68" s="11">
        <f>+(3750+80)</f>
        <v>3830</v>
      </c>
      <c r="I68" s="11">
        <v>75</v>
      </c>
      <c r="J68" s="11"/>
      <c r="K68" s="11">
        <f t="shared" si="4"/>
        <v>3905</v>
      </c>
      <c r="L68" s="12">
        <f>K68*D68</f>
        <v>229.614</v>
      </c>
    </row>
    <row r="69" spans="1:12" ht="17.25" customHeight="1">
      <c r="A69" s="9" t="s">
        <v>42</v>
      </c>
      <c r="B69" s="9" t="s">
        <v>87</v>
      </c>
      <c r="C69" s="16" t="s">
        <v>28</v>
      </c>
      <c r="D69" s="23">
        <v>4.1200000000000001E-2</v>
      </c>
      <c r="E69" s="11">
        <f t="shared" si="3"/>
        <v>30797</v>
      </c>
      <c r="F69" s="11"/>
      <c r="G69" s="23">
        <f t="shared" si="5"/>
        <v>1268.8363999999999</v>
      </c>
      <c r="H69" s="11">
        <f>+(30022+75)</f>
        <v>30097</v>
      </c>
      <c r="I69" s="11">
        <v>700</v>
      </c>
      <c r="J69" s="11"/>
      <c r="K69" s="11">
        <f t="shared" si="4"/>
        <v>30797</v>
      </c>
      <c r="L69" s="12">
        <f>K69*D69</f>
        <v>1268.8363999999999</v>
      </c>
    </row>
    <row r="70" spans="1:12" ht="17.25" customHeight="1">
      <c r="A70" s="9" t="s">
        <v>42</v>
      </c>
      <c r="B70" s="9" t="s">
        <v>88</v>
      </c>
      <c r="C70" s="16" t="s">
        <v>28</v>
      </c>
      <c r="D70" s="23">
        <v>4.3700000000000003E-2</v>
      </c>
      <c r="E70" s="11">
        <f t="shared" si="3"/>
        <v>20180</v>
      </c>
      <c r="F70" s="11"/>
      <c r="G70" s="23">
        <f t="shared" si="5"/>
        <v>881.8660000000001</v>
      </c>
      <c r="H70" s="11">
        <f>+(19430+150)</f>
        <v>19580</v>
      </c>
      <c r="I70" s="11">
        <v>600</v>
      </c>
      <c r="J70" s="11"/>
      <c r="K70" s="11">
        <f t="shared" si="4"/>
        <v>20180</v>
      </c>
      <c r="L70" s="12">
        <f>K70*D70</f>
        <v>881.8660000000001</v>
      </c>
    </row>
    <row r="71" spans="1:12" ht="17.25" customHeight="1">
      <c r="A71" s="9" t="s">
        <v>42</v>
      </c>
      <c r="B71" s="9" t="s">
        <v>89</v>
      </c>
      <c r="C71" s="16" t="s">
        <v>28</v>
      </c>
      <c r="D71" s="23">
        <v>4.7199999999999999E-2</v>
      </c>
      <c r="E71" s="11">
        <f t="shared" si="3"/>
        <v>20805</v>
      </c>
      <c r="F71" s="11"/>
      <c r="G71" s="23">
        <f t="shared" si="5"/>
        <v>981.99599999999998</v>
      </c>
      <c r="H71" s="11">
        <f>+(20430+75)</f>
        <v>20505</v>
      </c>
      <c r="I71" s="11">
        <v>300</v>
      </c>
      <c r="J71" s="11"/>
      <c r="K71" s="11">
        <f t="shared" si="4"/>
        <v>20805</v>
      </c>
      <c r="L71" s="12">
        <f>K71*D71</f>
        <v>981.99599999999998</v>
      </c>
    </row>
    <row r="72" spans="1:12" ht="17.25" customHeight="1">
      <c r="A72" s="9" t="s">
        <v>42</v>
      </c>
      <c r="B72" s="9" t="s">
        <v>90</v>
      </c>
      <c r="C72" s="16" t="s">
        <v>28</v>
      </c>
      <c r="D72" s="23">
        <v>5.5100000000000003E-2</v>
      </c>
      <c r="E72" s="11">
        <f t="shared" si="3"/>
        <v>13070</v>
      </c>
      <c r="F72" s="11"/>
      <c r="G72" s="23">
        <f t="shared" si="5"/>
        <v>720.15700000000004</v>
      </c>
      <c r="H72" s="11">
        <v>12870</v>
      </c>
      <c r="I72" s="11">
        <v>200</v>
      </c>
      <c r="J72" s="11"/>
      <c r="K72" s="11">
        <f t="shared" si="4"/>
        <v>13070</v>
      </c>
      <c r="L72" s="12">
        <f>K72*D72</f>
        <v>720.15700000000004</v>
      </c>
    </row>
    <row r="73" spans="1:12" ht="17.25" customHeight="1">
      <c r="A73" s="9" t="s">
        <v>42</v>
      </c>
      <c r="B73" s="9" t="s">
        <v>91</v>
      </c>
      <c r="C73" s="16" t="s">
        <v>28</v>
      </c>
      <c r="D73" s="23">
        <v>0.15</v>
      </c>
      <c r="E73" s="11">
        <f t="shared" si="3"/>
        <v>1268</v>
      </c>
      <c r="F73" s="11"/>
      <c r="G73" s="23">
        <f t="shared" si="5"/>
        <v>190.2</v>
      </c>
      <c r="H73" s="11">
        <v>1168</v>
      </c>
      <c r="I73" s="11">
        <v>100</v>
      </c>
      <c r="J73" s="11"/>
      <c r="K73" s="11">
        <f>H73+I73+J73</f>
        <v>1268</v>
      </c>
      <c r="L73" s="12">
        <f>K73*D73</f>
        <v>190.2</v>
      </c>
    </row>
    <row r="74" spans="1:12" ht="17.25" customHeight="1">
      <c r="A74" s="9" t="s">
        <v>42</v>
      </c>
      <c r="B74" s="9" t="s">
        <v>92</v>
      </c>
      <c r="C74" s="16" t="s">
        <v>93</v>
      </c>
      <c r="D74" s="23">
        <v>40.72</v>
      </c>
      <c r="E74" s="11">
        <f t="shared" si="3"/>
        <v>1</v>
      </c>
      <c r="F74" s="11"/>
      <c r="G74" s="23">
        <f t="shared" si="5"/>
        <v>40.72</v>
      </c>
      <c r="H74" s="11">
        <v>1</v>
      </c>
      <c r="I74" s="11"/>
      <c r="J74" s="11"/>
      <c r="K74" s="11">
        <f t="shared" si="4"/>
        <v>1</v>
      </c>
      <c r="L74" s="12">
        <f>K74*D74</f>
        <v>40.72</v>
      </c>
    </row>
    <row r="75" spans="1:12">
      <c r="A75" s="11" t="s">
        <v>42</v>
      </c>
      <c r="B75" s="11" t="s">
        <v>94</v>
      </c>
      <c r="C75" s="16" t="s">
        <v>14</v>
      </c>
      <c r="D75" s="23">
        <v>13.86</v>
      </c>
      <c r="E75" s="11">
        <f t="shared" si="3"/>
        <v>0</v>
      </c>
      <c r="F75" s="11"/>
      <c r="G75" s="23">
        <f t="shared" si="5"/>
        <v>0</v>
      </c>
      <c r="H75" s="11">
        <v>0</v>
      </c>
      <c r="I75" s="11"/>
      <c r="J75" s="14"/>
      <c r="K75" s="11">
        <f>H75+I75+J75</f>
        <v>0</v>
      </c>
      <c r="L75" s="12">
        <f>K75*D75</f>
        <v>0</v>
      </c>
    </row>
    <row r="76" spans="1:12">
      <c r="A76" s="11" t="s">
        <v>42</v>
      </c>
      <c r="B76" s="11" t="s">
        <v>95</v>
      </c>
      <c r="C76" s="16" t="s">
        <v>18</v>
      </c>
      <c r="D76" s="23">
        <v>12.98</v>
      </c>
      <c r="E76" s="11">
        <f t="shared" si="3"/>
        <v>2</v>
      </c>
      <c r="F76" s="11"/>
      <c r="G76" s="23">
        <f t="shared" si="5"/>
        <v>25.96</v>
      </c>
      <c r="H76" s="11">
        <v>2</v>
      </c>
      <c r="I76" s="11"/>
      <c r="J76" s="14"/>
      <c r="K76" s="11">
        <f t="shared" ref="K76:K78" si="6">H76+I76+J76</f>
        <v>2</v>
      </c>
      <c r="L76" s="12">
        <f>K76*D76</f>
        <v>25.96</v>
      </c>
    </row>
    <row r="77" spans="1:12">
      <c r="A77" s="11" t="s">
        <v>42</v>
      </c>
      <c r="B77" s="11" t="s">
        <v>96</v>
      </c>
      <c r="C77" s="16" t="s">
        <v>18</v>
      </c>
      <c r="D77" s="23">
        <v>15.5</v>
      </c>
      <c r="E77" s="11">
        <f t="shared" si="3"/>
        <v>10</v>
      </c>
      <c r="F77" s="11"/>
      <c r="G77" s="23">
        <f t="shared" si="5"/>
        <v>155</v>
      </c>
      <c r="H77" s="11">
        <v>10</v>
      </c>
      <c r="I77" s="11"/>
      <c r="J77" s="14"/>
      <c r="K77" s="11">
        <f t="shared" si="6"/>
        <v>10</v>
      </c>
      <c r="L77" s="12">
        <f>K77*D77</f>
        <v>155</v>
      </c>
    </row>
    <row r="78" spans="1:12">
      <c r="A78" s="11" t="s">
        <v>42</v>
      </c>
      <c r="B78" s="11" t="s">
        <v>97</v>
      </c>
      <c r="C78" s="16" t="s">
        <v>18</v>
      </c>
      <c r="D78" s="23">
        <v>20</v>
      </c>
      <c r="E78" s="11">
        <f t="shared" si="3"/>
        <v>2</v>
      </c>
      <c r="F78" s="11"/>
      <c r="G78" s="23">
        <f t="shared" si="5"/>
        <v>40</v>
      </c>
      <c r="H78" s="11">
        <v>2</v>
      </c>
      <c r="I78" s="11"/>
      <c r="J78" s="14"/>
      <c r="K78" s="11">
        <f t="shared" si="6"/>
        <v>2</v>
      </c>
      <c r="L78" s="12">
        <f>K78*D78</f>
        <v>40</v>
      </c>
    </row>
    <row r="79" spans="1:12">
      <c r="A79" s="11" t="s">
        <v>42</v>
      </c>
      <c r="B79" s="11" t="s">
        <v>98</v>
      </c>
      <c r="C79" s="16" t="s">
        <v>18</v>
      </c>
      <c r="D79" s="21">
        <v>17.760000000000002</v>
      </c>
      <c r="E79" s="11">
        <f t="shared" si="3"/>
        <v>1.7</v>
      </c>
      <c r="F79" s="11">
        <v>0.7</v>
      </c>
      <c r="G79" s="23">
        <f t="shared" si="5"/>
        <v>30.192</v>
      </c>
      <c r="H79" s="11">
        <v>1</v>
      </c>
      <c r="I79" s="11"/>
      <c r="J79" s="14"/>
      <c r="K79" s="11">
        <f>H79+I79+J79</f>
        <v>1</v>
      </c>
      <c r="L79" s="12">
        <f>K79*D79</f>
        <v>17.760000000000002</v>
      </c>
    </row>
    <row r="80" spans="1:12">
      <c r="A80" s="11" t="s">
        <v>42</v>
      </c>
      <c r="B80" s="11" t="s">
        <v>99</v>
      </c>
      <c r="C80" s="16" t="s">
        <v>28</v>
      </c>
      <c r="D80" s="23">
        <v>16.670000000000002</v>
      </c>
      <c r="E80" s="11">
        <f t="shared" si="3"/>
        <v>1</v>
      </c>
      <c r="F80" s="11"/>
      <c r="G80" s="23">
        <f t="shared" si="5"/>
        <v>16.670000000000002</v>
      </c>
      <c r="H80" s="11">
        <v>1</v>
      </c>
      <c r="I80" s="11"/>
      <c r="J80" s="14"/>
      <c r="K80" s="11">
        <f>H80+I80+J80</f>
        <v>1</v>
      </c>
      <c r="L80" s="12">
        <f>K80*D80</f>
        <v>16.670000000000002</v>
      </c>
    </row>
    <row r="81" spans="1:12">
      <c r="A81" s="11" t="s">
        <v>42</v>
      </c>
      <c r="B81" s="11" t="s">
        <v>100</v>
      </c>
      <c r="C81" s="16" t="s">
        <v>14</v>
      </c>
      <c r="D81" s="23">
        <v>16.86</v>
      </c>
      <c r="E81" s="11">
        <f t="shared" si="3"/>
        <v>1600</v>
      </c>
      <c r="F81" s="11"/>
      <c r="G81" s="23">
        <f t="shared" si="5"/>
        <v>26976</v>
      </c>
      <c r="H81" s="11">
        <v>1600</v>
      </c>
      <c r="I81" s="11"/>
      <c r="J81" s="14"/>
      <c r="K81" s="11">
        <f>H81+I81+J81</f>
        <v>1600</v>
      </c>
      <c r="L81" s="12">
        <f>K81*D81</f>
        <v>26976</v>
      </c>
    </row>
    <row r="82" spans="1:12">
      <c r="A82" s="9" t="s">
        <v>42</v>
      </c>
      <c r="B82" s="9" t="s">
        <v>101</v>
      </c>
      <c r="C82" s="16" t="s">
        <v>14</v>
      </c>
      <c r="D82" s="23">
        <v>35.28</v>
      </c>
      <c r="E82" s="11">
        <f t="shared" si="3"/>
        <v>1.3</v>
      </c>
      <c r="F82" s="11">
        <v>0.1</v>
      </c>
      <c r="G82" s="23">
        <f t="shared" si="5"/>
        <v>45.864000000000004</v>
      </c>
      <c r="H82" s="11">
        <v>1</v>
      </c>
      <c r="I82" s="11">
        <v>0.2</v>
      </c>
      <c r="J82" s="11"/>
      <c r="K82" s="11">
        <f>H82+I82+J82</f>
        <v>1.2</v>
      </c>
      <c r="L82" s="12">
        <f>K82*D82</f>
        <v>42.335999999999999</v>
      </c>
    </row>
    <row r="83" spans="1:12" ht="17.25" customHeight="1">
      <c r="A83" s="9" t="s">
        <v>42</v>
      </c>
      <c r="B83" s="9" t="s">
        <v>102</v>
      </c>
      <c r="C83" s="16" t="s">
        <v>28</v>
      </c>
      <c r="D83" s="21"/>
      <c r="E83" s="11">
        <f t="shared" si="3"/>
        <v>50</v>
      </c>
      <c r="F83" s="11"/>
      <c r="G83" s="23">
        <f t="shared" si="5"/>
        <v>0</v>
      </c>
      <c r="H83" s="11">
        <v>50</v>
      </c>
      <c r="I83" s="11"/>
      <c r="J83" s="11"/>
      <c r="K83" s="11">
        <f>H83+I83+J83</f>
        <v>50</v>
      </c>
      <c r="L83" s="12">
        <f>K83*D83</f>
        <v>0</v>
      </c>
    </row>
    <row r="84" spans="1:12">
      <c r="A84" s="9"/>
      <c r="B84" s="9" t="s">
        <v>103</v>
      </c>
      <c r="C84" s="16" t="s">
        <v>28</v>
      </c>
      <c r="D84" s="23">
        <v>4.8599999999999997E-2</v>
      </c>
      <c r="E84" s="11">
        <f t="shared" si="3"/>
        <v>0</v>
      </c>
      <c r="F84" s="11"/>
      <c r="G84" s="23">
        <f t="shared" si="5"/>
        <v>0</v>
      </c>
      <c r="H84" s="11">
        <v>3</v>
      </c>
      <c r="I84" s="11">
        <v>0.5</v>
      </c>
      <c r="J84" s="11"/>
      <c r="K84" s="11"/>
      <c r="L84" s="12">
        <f>K84*D84</f>
        <v>0</v>
      </c>
    </row>
    <row r="85" spans="1:12">
      <c r="A85" s="9" t="s">
        <v>55</v>
      </c>
      <c r="B85" s="11" t="s">
        <v>104</v>
      </c>
      <c r="C85" s="16" t="s">
        <v>28</v>
      </c>
      <c r="D85" s="23">
        <v>0.22</v>
      </c>
      <c r="E85" s="11">
        <f t="shared" si="3"/>
        <v>674</v>
      </c>
      <c r="F85" s="11">
        <v>30</v>
      </c>
      <c r="G85" s="23">
        <f t="shared" si="5"/>
        <v>148.28</v>
      </c>
      <c r="H85" s="11">
        <v>600</v>
      </c>
      <c r="I85" s="11">
        <v>44</v>
      </c>
      <c r="J85" s="11"/>
      <c r="K85" s="11">
        <f>H85+I85+J85</f>
        <v>644</v>
      </c>
      <c r="L85" s="12">
        <f>K85*D85</f>
        <v>141.68</v>
      </c>
    </row>
    <row r="86" spans="1:12">
      <c r="A86" s="11" t="s">
        <v>55</v>
      </c>
      <c r="B86" s="11" t="s">
        <v>105</v>
      </c>
      <c r="C86" s="16" t="s">
        <v>28</v>
      </c>
      <c r="D86" s="23">
        <v>0.22</v>
      </c>
      <c r="E86" s="11">
        <f t="shared" si="3"/>
        <v>113</v>
      </c>
      <c r="F86" s="11"/>
      <c r="G86" s="23">
        <f t="shared" si="5"/>
        <v>24.86</v>
      </c>
      <c r="H86" s="11">
        <v>100</v>
      </c>
      <c r="I86" s="11">
        <v>13</v>
      </c>
      <c r="J86" s="11"/>
      <c r="K86" s="11">
        <f>H86+I86+J86</f>
        <v>113</v>
      </c>
      <c r="L86" s="12">
        <f>K86*D86</f>
        <v>24.86</v>
      </c>
    </row>
    <row r="87" spans="1:12" ht="17.25" customHeight="1">
      <c r="A87" s="9" t="s">
        <v>55</v>
      </c>
      <c r="B87" s="9" t="s">
        <v>106</v>
      </c>
      <c r="C87" s="16" t="s">
        <v>28</v>
      </c>
      <c r="D87" s="25"/>
      <c r="E87" s="11">
        <f t="shared" si="3"/>
        <v>5.6</v>
      </c>
      <c r="F87" s="11">
        <v>0.1</v>
      </c>
      <c r="G87" s="23">
        <f t="shared" si="5"/>
        <v>0</v>
      </c>
      <c r="H87" s="11">
        <v>3.5</v>
      </c>
      <c r="I87" s="11">
        <v>2</v>
      </c>
      <c r="J87" s="11"/>
      <c r="K87" s="11">
        <f t="shared" si="4"/>
        <v>5.5</v>
      </c>
      <c r="L87" s="12">
        <f>K87*D87</f>
        <v>0</v>
      </c>
    </row>
    <row r="88" spans="1:12" ht="17.25" customHeight="1">
      <c r="A88" s="11" t="s">
        <v>55</v>
      </c>
      <c r="B88" s="11" t="s">
        <v>107</v>
      </c>
      <c r="C88" s="16" t="s">
        <v>28</v>
      </c>
      <c r="D88" s="21">
        <v>12.9</v>
      </c>
      <c r="E88" s="11">
        <f t="shared" si="3"/>
        <v>60</v>
      </c>
      <c r="F88" s="11">
        <v>2</v>
      </c>
      <c r="G88" s="23">
        <f t="shared" si="5"/>
        <v>774</v>
      </c>
      <c r="H88" s="11">
        <v>58</v>
      </c>
      <c r="I88" s="11"/>
      <c r="J88" s="11"/>
      <c r="K88" s="11">
        <f t="shared" si="4"/>
        <v>58</v>
      </c>
      <c r="L88" s="12">
        <f>K88*D88</f>
        <v>748.2</v>
      </c>
    </row>
    <row r="89" spans="1:12" ht="17.25" customHeight="1">
      <c r="A89" s="11" t="s">
        <v>55</v>
      </c>
      <c r="B89" s="11" t="s">
        <v>108</v>
      </c>
      <c r="C89" s="16" t="s">
        <v>28</v>
      </c>
      <c r="D89" s="21">
        <v>16.100000000000001</v>
      </c>
      <c r="E89" s="11">
        <f t="shared" si="3"/>
        <v>17</v>
      </c>
      <c r="F89" s="11"/>
      <c r="G89" s="23">
        <f t="shared" si="5"/>
        <v>273.70000000000005</v>
      </c>
      <c r="H89" s="11">
        <v>17</v>
      </c>
      <c r="I89" s="11"/>
      <c r="J89" s="11"/>
      <c r="K89" s="11">
        <f t="shared" si="4"/>
        <v>17</v>
      </c>
      <c r="L89" s="12">
        <f>K89*D89</f>
        <v>273.70000000000005</v>
      </c>
    </row>
    <row r="90" spans="1:12" ht="17.25" customHeight="1">
      <c r="A90" s="11" t="s">
        <v>55</v>
      </c>
      <c r="B90" s="11" t="s">
        <v>109</v>
      </c>
      <c r="C90" s="16" t="s">
        <v>28</v>
      </c>
      <c r="D90" s="21"/>
      <c r="E90" s="11">
        <f t="shared" si="3"/>
        <v>151</v>
      </c>
      <c r="F90" s="11">
        <v>1</v>
      </c>
      <c r="G90" s="23">
        <f t="shared" si="5"/>
        <v>0</v>
      </c>
      <c r="H90" s="11">
        <v>150</v>
      </c>
      <c r="I90" s="11"/>
      <c r="J90" s="11"/>
      <c r="K90" s="11">
        <f t="shared" si="4"/>
        <v>150</v>
      </c>
      <c r="L90" s="12">
        <f>K90*D90</f>
        <v>0</v>
      </c>
    </row>
    <row r="91" spans="1:12" ht="17.25" customHeight="1">
      <c r="A91" s="11" t="s">
        <v>55</v>
      </c>
      <c r="B91" s="11" t="s">
        <v>110</v>
      </c>
      <c r="C91" s="16" t="s">
        <v>28</v>
      </c>
      <c r="D91" s="21">
        <v>5.3</v>
      </c>
      <c r="E91" s="11">
        <f t="shared" si="3"/>
        <v>32</v>
      </c>
      <c r="F91" s="11"/>
      <c r="G91" s="23">
        <f t="shared" si="5"/>
        <v>169.6</v>
      </c>
      <c r="H91" s="11">
        <v>32</v>
      </c>
      <c r="I91" s="11"/>
      <c r="J91" s="11"/>
      <c r="K91" s="11">
        <f t="shared" si="4"/>
        <v>32</v>
      </c>
      <c r="L91" s="12">
        <f>K91*D91</f>
        <v>169.6</v>
      </c>
    </row>
    <row r="92" spans="1:12" ht="17.25" customHeight="1">
      <c r="A92" s="11" t="s">
        <v>55</v>
      </c>
      <c r="B92" s="11" t="s">
        <v>111</v>
      </c>
      <c r="C92" s="16" t="s">
        <v>28</v>
      </c>
      <c r="D92" s="21">
        <v>6.5</v>
      </c>
      <c r="E92" s="11">
        <f t="shared" ref="E92:E155" si="7">K92+F92</f>
        <v>27</v>
      </c>
      <c r="F92" s="11"/>
      <c r="G92" s="23">
        <f t="shared" si="5"/>
        <v>175.5</v>
      </c>
      <c r="H92" s="11">
        <v>27</v>
      </c>
      <c r="I92" s="11"/>
      <c r="J92" s="11"/>
      <c r="K92" s="11">
        <f>H92+I92+J92</f>
        <v>27</v>
      </c>
      <c r="L92" s="12">
        <f>K92*D92</f>
        <v>175.5</v>
      </c>
    </row>
    <row r="93" spans="1:12" ht="17.25" customHeight="1">
      <c r="A93" s="11" t="s">
        <v>55</v>
      </c>
      <c r="B93" s="11" t="s">
        <v>112</v>
      </c>
      <c r="C93" s="16" t="s">
        <v>28</v>
      </c>
      <c r="D93" s="23">
        <v>0.67</v>
      </c>
      <c r="E93" s="11">
        <f t="shared" si="7"/>
        <v>50</v>
      </c>
      <c r="F93" s="11"/>
      <c r="G93" s="23">
        <f t="shared" si="5"/>
        <v>33.5</v>
      </c>
      <c r="H93" s="11">
        <v>50</v>
      </c>
      <c r="I93" s="11"/>
      <c r="J93" s="11"/>
      <c r="K93" s="11">
        <f t="shared" ref="K93:K94" si="8">H93+I93+J93</f>
        <v>50</v>
      </c>
      <c r="L93" s="12">
        <f>K93*D93</f>
        <v>33.5</v>
      </c>
    </row>
    <row r="94" spans="1:12" ht="17.25" customHeight="1">
      <c r="A94" s="11" t="s">
        <v>55</v>
      </c>
      <c r="B94" s="11" t="s">
        <v>113</v>
      </c>
      <c r="C94" s="16" t="s">
        <v>28</v>
      </c>
      <c r="D94" s="23">
        <v>0.45</v>
      </c>
      <c r="E94" s="11">
        <f t="shared" si="7"/>
        <v>50</v>
      </c>
      <c r="F94" s="11"/>
      <c r="G94" s="23">
        <f t="shared" si="5"/>
        <v>22.5</v>
      </c>
      <c r="H94" s="11">
        <v>50</v>
      </c>
      <c r="I94" s="11"/>
      <c r="J94" s="11"/>
      <c r="K94" s="11">
        <f t="shared" si="8"/>
        <v>50</v>
      </c>
      <c r="L94" s="12">
        <f>K94*D94</f>
        <v>22.5</v>
      </c>
    </row>
    <row r="95" spans="1:12" ht="17.25" customHeight="1">
      <c r="A95" s="11" t="s">
        <v>114</v>
      </c>
      <c r="B95" s="11" t="s">
        <v>115</v>
      </c>
      <c r="C95" s="16" t="s">
        <v>28</v>
      </c>
      <c r="D95" s="23">
        <v>0.58299999999999996</v>
      </c>
      <c r="E95" s="11">
        <f t="shared" si="7"/>
        <v>371</v>
      </c>
      <c r="F95" s="11"/>
      <c r="G95" s="23">
        <f t="shared" si="5"/>
        <v>216.29299999999998</v>
      </c>
      <c r="H95" s="11">
        <v>210</v>
      </c>
      <c r="I95" s="11">
        <v>161</v>
      </c>
      <c r="J95" s="11"/>
      <c r="K95" s="11">
        <f t="shared" si="4"/>
        <v>371</v>
      </c>
      <c r="L95" s="12">
        <f>K95*D95</f>
        <v>216.29299999999998</v>
      </c>
    </row>
    <row r="96" spans="1:12" ht="17.25" customHeight="1">
      <c r="A96" s="11" t="s">
        <v>114</v>
      </c>
      <c r="B96" s="11" t="s">
        <v>116</v>
      </c>
      <c r="C96" s="16" t="s">
        <v>28</v>
      </c>
      <c r="D96" s="23">
        <v>0.60770000000000002</v>
      </c>
      <c r="E96" s="11">
        <f t="shared" si="7"/>
        <v>82</v>
      </c>
      <c r="F96" s="11"/>
      <c r="G96" s="23">
        <f t="shared" si="5"/>
        <v>49.831400000000002</v>
      </c>
      <c r="H96" s="11">
        <v>36</v>
      </c>
      <c r="I96" s="11">
        <v>46</v>
      </c>
      <c r="J96" s="11"/>
      <c r="K96" s="11">
        <f t="shared" si="4"/>
        <v>82</v>
      </c>
      <c r="L96" s="12">
        <f>K96*D96</f>
        <v>49.831400000000002</v>
      </c>
    </row>
    <row r="97" spans="1:12" ht="17.25" customHeight="1">
      <c r="A97" s="11" t="s">
        <v>114</v>
      </c>
      <c r="B97" s="11" t="s">
        <v>117</v>
      </c>
      <c r="C97" s="16" t="s">
        <v>28</v>
      </c>
      <c r="D97" s="23">
        <v>0.33500000000000002</v>
      </c>
      <c r="E97" s="11">
        <f t="shared" si="7"/>
        <v>32</v>
      </c>
      <c r="F97" s="11"/>
      <c r="G97" s="23">
        <f t="shared" si="5"/>
        <v>10.72</v>
      </c>
      <c r="H97" s="11">
        <v>11</v>
      </c>
      <c r="I97" s="11">
        <v>21</v>
      </c>
      <c r="J97" s="11"/>
      <c r="K97" s="11">
        <f t="shared" si="4"/>
        <v>32</v>
      </c>
      <c r="L97" s="12">
        <f>K97*D97</f>
        <v>10.72</v>
      </c>
    </row>
    <row r="98" spans="1:12" ht="17.25" customHeight="1">
      <c r="A98" s="11" t="s">
        <v>114</v>
      </c>
      <c r="B98" s="11" t="s">
        <v>118</v>
      </c>
      <c r="C98" s="16" t="s">
        <v>28</v>
      </c>
      <c r="D98" s="23">
        <v>0.34539999999999998</v>
      </c>
      <c r="E98" s="11">
        <f t="shared" si="7"/>
        <v>13</v>
      </c>
      <c r="F98" s="11"/>
      <c r="G98" s="23">
        <f t="shared" si="5"/>
        <v>4.4901999999999997</v>
      </c>
      <c r="H98" s="11">
        <v>4</v>
      </c>
      <c r="I98" s="11">
        <v>9</v>
      </c>
      <c r="J98" s="11"/>
      <c r="K98" s="11">
        <f t="shared" si="4"/>
        <v>13</v>
      </c>
      <c r="L98" s="12">
        <f>K98*D98</f>
        <v>4.4901999999999997</v>
      </c>
    </row>
    <row r="99" spans="1:12" ht="17.25" customHeight="1">
      <c r="A99" s="11" t="s">
        <v>114</v>
      </c>
      <c r="B99" s="11" t="s">
        <v>119</v>
      </c>
      <c r="C99" s="16" t="s">
        <v>28</v>
      </c>
      <c r="D99" s="23">
        <v>0.32540000000000002</v>
      </c>
      <c r="E99" s="11">
        <f t="shared" si="7"/>
        <v>23</v>
      </c>
      <c r="F99" s="11"/>
      <c r="G99" s="23">
        <f t="shared" si="5"/>
        <v>7.4842000000000004</v>
      </c>
      <c r="H99" s="11">
        <v>6</v>
      </c>
      <c r="I99" s="11">
        <v>17</v>
      </c>
      <c r="J99" s="11"/>
      <c r="K99" s="11">
        <f t="shared" si="4"/>
        <v>23</v>
      </c>
      <c r="L99" s="12">
        <f>K99*D99</f>
        <v>7.4842000000000004</v>
      </c>
    </row>
    <row r="100" spans="1:12" ht="17.25" customHeight="1">
      <c r="A100" s="11" t="s">
        <v>114</v>
      </c>
      <c r="B100" s="11" t="s">
        <v>120</v>
      </c>
      <c r="C100" s="16" t="s">
        <v>28</v>
      </c>
      <c r="D100" s="23">
        <v>0.34539999999999998</v>
      </c>
      <c r="E100" s="11">
        <f t="shared" si="7"/>
        <v>37</v>
      </c>
      <c r="F100" s="11"/>
      <c r="G100" s="23">
        <f t="shared" si="5"/>
        <v>12.7798</v>
      </c>
      <c r="H100" s="11">
        <v>16</v>
      </c>
      <c r="I100" s="11">
        <v>21</v>
      </c>
      <c r="J100" s="11"/>
      <c r="K100" s="11">
        <f t="shared" si="4"/>
        <v>37</v>
      </c>
      <c r="L100" s="12">
        <f>K100*D100</f>
        <v>12.7798</v>
      </c>
    </row>
    <row r="101" spans="1:12">
      <c r="A101" s="11" t="s">
        <v>121</v>
      </c>
      <c r="B101" s="5" t="s">
        <v>122</v>
      </c>
      <c r="C101" s="18" t="s">
        <v>28</v>
      </c>
      <c r="D101" s="10"/>
      <c r="E101" s="11">
        <f t="shared" si="7"/>
        <v>0</v>
      </c>
      <c r="F101" s="11"/>
      <c r="G101" s="23">
        <f t="shared" si="5"/>
        <v>0</v>
      </c>
      <c r="H101" s="11">
        <v>0</v>
      </c>
      <c r="I101" s="6"/>
      <c r="J101" s="6"/>
      <c r="K101" s="11">
        <f>H101+I101+J101</f>
        <v>0</v>
      </c>
      <c r="L101" s="12">
        <f>K101*D101</f>
        <v>0</v>
      </c>
    </row>
    <row r="102" spans="1:12">
      <c r="A102" s="11" t="s">
        <v>121</v>
      </c>
      <c r="B102" s="5" t="s">
        <v>123</v>
      </c>
      <c r="C102" s="18" t="s">
        <v>28</v>
      </c>
      <c r="D102" s="10">
        <v>7.5999999999999998E-2</v>
      </c>
      <c r="E102" s="11">
        <f t="shared" si="7"/>
        <v>229</v>
      </c>
      <c r="F102" s="11"/>
      <c r="G102" s="23">
        <f t="shared" si="5"/>
        <v>17.404</v>
      </c>
      <c r="H102" s="11">
        <f>+(122+60+22)</f>
        <v>204</v>
      </c>
      <c r="I102" s="6">
        <v>25</v>
      </c>
      <c r="J102" s="6"/>
      <c r="K102" s="11">
        <f>H102+I102+J102</f>
        <v>229</v>
      </c>
      <c r="L102" s="12">
        <f>K102*D102</f>
        <v>17.404</v>
      </c>
    </row>
    <row r="103" spans="1:12">
      <c r="A103" s="11" t="s">
        <v>121</v>
      </c>
      <c r="B103" s="5" t="s">
        <v>124</v>
      </c>
      <c r="C103" s="18" t="s">
        <v>28</v>
      </c>
      <c r="D103" s="10">
        <v>0.10299999999999999</v>
      </c>
      <c r="E103" s="11">
        <f t="shared" si="7"/>
        <v>300</v>
      </c>
      <c r="F103" s="11"/>
      <c r="G103" s="23">
        <f t="shared" si="5"/>
        <v>30.9</v>
      </c>
      <c r="H103" s="11">
        <v>200</v>
      </c>
      <c r="I103" s="6">
        <v>100</v>
      </c>
      <c r="J103" s="6"/>
      <c r="K103" s="11">
        <f>H103+I103+J103</f>
        <v>300</v>
      </c>
      <c r="L103" s="12">
        <f>K103*D103</f>
        <v>30.9</v>
      </c>
    </row>
    <row r="104" spans="1:12">
      <c r="A104" s="11" t="s">
        <v>121</v>
      </c>
      <c r="B104" s="5" t="s">
        <v>125</v>
      </c>
      <c r="C104" s="18" t="s">
        <v>28</v>
      </c>
      <c r="D104" s="10">
        <v>5.6099999999999997E-2</v>
      </c>
      <c r="E104" s="11">
        <f t="shared" si="7"/>
        <v>700</v>
      </c>
      <c r="F104" s="11"/>
      <c r="G104" s="23">
        <f t="shared" si="5"/>
        <v>39.269999999999996</v>
      </c>
      <c r="H104" s="11">
        <v>700</v>
      </c>
      <c r="I104" s="6"/>
      <c r="J104" s="6"/>
      <c r="K104" s="11">
        <f>H104+I104+J104</f>
        <v>700</v>
      </c>
      <c r="L104" s="12">
        <f>K104*D104</f>
        <v>39.269999999999996</v>
      </c>
    </row>
    <row r="105" spans="1:12">
      <c r="A105" s="11" t="s">
        <v>121</v>
      </c>
      <c r="B105" s="5" t="s">
        <v>126</v>
      </c>
      <c r="C105" s="18" t="s">
        <v>28</v>
      </c>
      <c r="D105" s="10">
        <v>1.0200000000000001E-2</v>
      </c>
      <c r="E105" s="11">
        <f t="shared" si="7"/>
        <v>750</v>
      </c>
      <c r="F105" s="11"/>
      <c r="G105" s="23">
        <f t="shared" si="5"/>
        <v>7.65</v>
      </c>
      <c r="H105" s="11">
        <v>750</v>
      </c>
      <c r="I105" s="6"/>
      <c r="J105" s="6"/>
      <c r="K105" s="11">
        <f>H105+I105+J105</f>
        <v>750</v>
      </c>
      <c r="L105" s="12">
        <f>K105*D105</f>
        <v>7.65</v>
      </c>
    </row>
    <row r="106" spans="1:12">
      <c r="A106" s="11" t="s">
        <v>127</v>
      </c>
      <c r="B106" s="5" t="s">
        <v>128</v>
      </c>
      <c r="C106" s="18" t="s">
        <v>28</v>
      </c>
      <c r="D106" s="10">
        <v>3.9E-2</v>
      </c>
      <c r="E106" s="11">
        <f t="shared" si="7"/>
        <v>3700</v>
      </c>
      <c r="F106" s="11"/>
      <c r="G106" s="23">
        <f t="shared" si="5"/>
        <v>144.30000000000001</v>
      </c>
      <c r="H106" s="11">
        <f>+(3450+50)</f>
        <v>3500</v>
      </c>
      <c r="I106" s="6">
        <v>200</v>
      </c>
      <c r="J106" s="6"/>
      <c r="K106" s="11">
        <f>H106+I106+J106</f>
        <v>3700</v>
      </c>
      <c r="L106" s="12">
        <f>K106*D106</f>
        <v>144.30000000000001</v>
      </c>
    </row>
    <row r="107" spans="1:12">
      <c r="A107" s="11" t="s">
        <v>127</v>
      </c>
      <c r="B107" s="5" t="s">
        <v>129</v>
      </c>
      <c r="C107" s="18" t="s">
        <v>28</v>
      </c>
      <c r="D107" s="10">
        <v>0.26350000000000001</v>
      </c>
      <c r="E107" s="11">
        <f t="shared" si="7"/>
        <v>202</v>
      </c>
      <c r="F107" s="11"/>
      <c r="G107" s="23">
        <f t="shared" si="5"/>
        <v>53.227000000000004</v>
      </c>
      <c r="H107" s="11">
        <v>165</v>
      </c>
      <c r="I107" s="6">
        <v>37</v>
      </c>
      <c r="J107" s="6"/>
      <c r="K107" s="11">
        <f>H107+I107+J107</f>
        <v>202</v>
      </c>
      <c r="L107" s="12">
        <f>K107*D107</f>
        <v>53.227000000000004</v>
      </c>
    </row>
    <row r="108" spans="1:12">
      <c r="A108" s="11" t="s">
        <v>127</v>
      </c>
      <c r="B108" s="5" t="s">
        <v>130</v>
      </c>
      <c r="C108" s="18" t="s">
        <v>28</v>
      </c>
      <c r="D108" s="10">
        <v>0.35</v>
      </c>
      <c r="E108" s="11">
        <f t="shared" si="7"/>
        <v>65</v>
      </c>
      <c r="F108" s="11"/>
      <c r="G108" s="23">
        <f t="shared" si="5"/>
        <v>22.75</v>
      </c>
      <c r="H108" s="11">
        <v>65</v>
      </c>
      <c r="I108" s="6"/>
      <c r="J108" s="6"/>
      <c r="K108" s="11">
        <f>H108+I108+J108</f>
        <v>65</v>
      </c>
      <c r="L108" s="12">
        <f>K108*D108</f>
        <v>22.75</v>
      </c>
    </row>
    <row r="109" spans="1:12">
      <c r="A109" s="11" t="s">
        <v>131</v>
      </c>
      <c r="B109" s="5" t="s">
        <v>132</v>
      </c>
      <c r="C109" s="18" t="s">
        <v>28</v>
      </c>
      <c r="D109" s="10">
        <v>1.35E-2</v>
      </c>
      <c r="E109" s="11">
        <f t="shared" si="7"/>
        <v>1400</v>
      </c>
      <c r="F109" s="11"/>
      <c r="G109" s="23">
        <f t="shared" si="5"/>
        <v>18.899999999999999</v>
      </c>
      <c r="H109" s="11">
        <v>800</v>
      </c>
      <c r="I109" s="6">
        <v>600</v>
      </c>
      <c r="J109" s="6"/>
      <c r="K109" s="11">
        <f>H109+I109+J109</f>
        <v>1400</v>
      </c>
      <c r="L109" s="12">
        <f>K109*D109</f>
        <v>18.899999999999999</v>
      </c>
    </row>
    <row r="110" spans="1:12">
      <c r="A110" s="11" t="s">
        <v>121</v>
      </c>
      <c r="B110" s="5" t="s">
        <v>133</v>
      </c>
      <c r="C110" s="18" t="s">
        <v>28</v>
      </c>
      <c r="D110" s="10">
        <v>8.5599999999999996E-2</v>
      </c>
      <c r="E110" s="11">
        <f t="shared" si="7"/>
        <v>244</v>
      </c>
      <c r="F110" s="11"/>
      <c r="G110" s="23">
        <f t="shared" si="5"/>
        <v>20.886399999999998</v>
      </c>
      <c r="H110" s="11">
        <f>+(100+114)</f>
        <v>214</v>
      </c>
      <c r="I110" s="6">
        <v>30</v>
      </c>
      <c r="J110" s="6"/>
      <c r="K110" s="11">
        <f>H110+I110+J110</f>
        <v>244</v>
      </c>
      <c r="L110" s="12">
        <f>K110*D110</f>
        <v>20.886399999999998</v>
      </c>
    </row>
    <row r="111" spans="1:12">
      <c r="A111" s="11" t="s">
        <v>121</v>
      </c>
      <c r="B111" s="5" t="s">
        <v>134</v>
      </c>
      <c r="C111" s="18" t="s">
        <v>28</v>
      </c>
      <c r="D111" s="10">
        <v>0.20300000000000001</v>
      </c>
      <c r="E111" s="11">
        <f t="shared" si="7"/>
        <v>188</v>
      </c>
      <c r="F111" s="11"/>
      <c r="G111" s="23">
        <f t="shared" si="5"/>
        <v>38.164000000000001</v>
      </c>
      <c r="H111" s="11">
        <f>+(50+68)</f>
        <v>118</v>
      </c>
      <c r="I111" s="6">
        <v>70</v>
      </c>
      <c r="J111" s="6"/>
      <c r="K111" s="11">
        <f>H111+I111+J111</f>
        <v>188</v>
      </c>
      <c r="L111" s="12">
        <f>K111*D111</f>
        <v>38.164000000000001</v>
      </c>
    </row>
    <row r="112" spans="1:12">
      <c r="A112" s="11" t="s">
        <v>121</v>
      </c>
      <c r="B112" s="5" t="s">
        <v>135</v>
      </c>
      <c r="C112" s="18" t="s">
        <v>28</v>
      </c>
      <c r="D112" s="10">
        <v>0.44190000000000002</v>
      </c>
      <c r="E112" s="11">
        <f t="shared" si="7"/>
        <v>101</v>
      </c>
      <c r="F112" s="11"/>
      <c r="G112" s="23">
        <f t="shared" si="5"/>
        <v>44.631900000000002</v>
      </c>
      <c r="H112" s="11">
        <f>+(86+7)</f>
        <v>93</v>
      </c>
      <c r="I112" s="6">
        <v>8</v>
      </c>
      <c r="J112" s="6"/>
      <c r="K112" s="11">
        <f>H112+I112+J112</f>
        <v>101</v>
      </c>
      <c r="L112" s="12">
        <f>K112*D112</f>
        <v>44.631900000000002</v>
      </c>
    </row>
    <row r="113" spans="1:12">
      <c r="A113" s="11" t="s">
        <v>121</v>
      </c>
      <c r="B113" s="5" t="s">
        <v>136</v>
      </c>
      <c r="C113" s="18" t="s">
        <v>28</v>
      </c>
      <c r="D113" s="10">
        <v>8.5000000000000006E-3</v>
      </c>
      <c r="E113" s="11">
        <f t="shared" si="7"/>
        <v>4000</v>
      </c>
      <c r="F113" s="11"/>
      <c r="G113" s="23">
        <f t="shared" si="5"/>
        <v>34</v>
      </c>
      <c r="H113" s="11">
        <v>2000</v>
      </c>
      <c r="I113" s="6">
        <v>2000</v>
      </c>
      <c r="J113" s="6"/>
      <c r="K113" s="11">
        <f>H113+I113+J113</f>
        <v>4000</v>
      </c>
      <c r="L113" s="12">
        <f>K113*D113</f>
        <v>34</v>
      </c>
    </row>
    <row r="114" spans="1:12">
      <c r="A114" s="11" t="s">
        <v>121</v>
      </c>
      <c r="B114" s="5" t="s">
        <v>137</v>
      </c>
      <c r="C114" s="18" t="s">
        <v>28</v>
      </c>
      <c r="D114" s="10">
        <v>7.9000000000000001E-2</v>
      </c>
      <c r="E114" s="11">
        <f t="shared" si="7"/>
        <v>40</v>
      </c>
      <c r="F114" s="11"/>
      <c r="G114" s="23">
        <f t="shared" si="5"/>
        <v>3.16</v>
      </c>
      <c r="H114" s="11">
        <v>25</v>
      </c>
      <c r="I114" s="6">
        <v>15</v>
      </c>
      <c r="J114" s="6"/>
      <c r="K114" s="11">
        <f>H114+I114+J114</f>
        <v>40</v>
      </c>
      <c r="L114" s="12">
        <f>K114*D114</f>
        <v>3.16</v>
      </c>
    </row>
    <row r="115" spans="1:12">
      <c r="A115" s="11" t="s">
        <v>121</v>
      </c>
      <c r="B115" s="5" t="s">
        <v>138</v>
      </c>
      <c r="C115" s="18" t="s">
        <v>28</v>
      </c>
      <c r="D115" s="10">
        <v>7.9000000000000001E-2</v>
      </c>
      <c r="E115" s="11">
        <f t="shared" si="7"/>
        <v>56</v>
      </c>
      <c r="F115" s="11"/>
      <c r="G115" s="23">
        <f t="shared" si="5"/>
        <v>4.4240000000000004</v>
      </c>
      <c r="H115" s="11">
        <v>41</v>
      </c>
      <c r="I115" s="6">
        <v>15</v>
      </c>
      <c r="J115" s="6"/>
      <c r="K115" s="11">
        <f>H115+I115+J115</f>
        <v>56</v>
      </c>
      <c r="L115" s="12">
        <f>K115*D115</f>
        <v>4.4240000000000004</v>
      </c>
    </row>
    <row r="116" spans="1:12">
      <c r="A116" s="11" t="s">
        <v>127</v>
      </c>
      <c r="B116" s="5" t="s">
        <v>139</v>
      </c>
      <c r="C116" s="18" t="s">
        <v>28</v>
      </c>
      <c r="D116" s="10">
        <v>2.8299999999999999E-2</v>
      </c>
      <c r="E116" s="11">
        <f t="shared" si="7"/>
        <v>500</v>
      </c>
      <c r="F116" s="11"/>
      <c r="G116" s="23">
        <f t="shared" si="5"/>
        <v>14.149999999999999</v>
      </c>
      <c r="H116" s="11">
        <v>500</v>
      </c>
      <c r="I116" s="6"/>
      <c r="J116" s="6"/>
      <c r="K116" s="11">
        <f>H116+I116+J116</f>
        <v>500</v>
      </c>
      <c r="L116" s="12">
        <f>K116*D116</f>
        <v>14.149999999999999</v>
      </c>
    </row>
    <row r="117" spans="1:12" ht="17.25" customHeight="1">
      <c r="A117" s="9" t="s">
        <v>140</v>
      </c>
      <c r="B117" s="11" t="s">
        <v>141</v>
      </c>
      <c r="C117" s="16" t="s">
        <v>28</v>
      </c>
      <c r="D117" s="23">
        <v>0.6</v>
      </c>
      <c r="E117" s="11">
        <f t="shared" si="7"/>
        <v>40</v>
      </c>
      <c r="F117" s="11"/>
      <c r="G117" s="23">
        <f t="shared" si="5"/>
        <v>24</v>
      </c>
      <c r="H117" s="11">
        <v>40</v>
      </c>
      <c r="I117" s="11"/>
      <c r="J117" s="11"/>
      <c r="K117" s="11">
        <f t="shared" si="4"/>
        <v>40</v>
      </c>
      <c r="L117" s="12">
        <f>K117*D117</f>
        <v>24</v>
      </c>
    </row>
    <row r="118" spans="1:12" ht="17.25" customHeight="1">
      <c r="A118" s="9" t="s">
        <v>140</v>
      </c>
      <c r="B118" s="11" t="s">
        <v>142</v>
      </c>
      <c r="C118" s="16" t="s">
        <v>28</v>
      </c>
      <c r="D118" s="23">
        <v>0.495</v>
      </c>
      <c r="E118" s="11">
        <f t="shared" si="7"/>
        <v>53</v>
      </c>
      <c r="F118" s="11"/>
      <c r="G118" s="23">
        <f t="shared" si="5"/>
        <v>26.234999999999999</v>
      </c>
      <c r="H118" s="11">
        <v>53</v>
      </c>
      <c r="I118" s="11"/>
      <c r="J118" s="11"/>
      <c r="K118" s="11">
        <f t="shared" si="4"/>
        <v>53</v>
      </c>
      <c r="L118" s="12">
        <f>K118*D118</f>
        <v>26.234999999999999</v>
      </c>
    </row>
    <row r="119" spans="1:12" ht="17.25" customHeight="1">
      <c r="A119" s="9" t="s">
        <v>140</v>
      </c>
      <c r="B119" s="9" t="s">
        <v>143</v>
      </c>
      <c r="C119" s="16" t="s">
        <v>28</v>
      </c>
      <c r="D119" s="23">
        <v>0.64900000000000002</v>
      </c>
      <c r="E119" s="11">
        <f t="shared" si="7"/>
        <v>1</v>
      </c>
      <c r="F119" s="11"/>
      <c r="G119" s="23">
        <f t="shared" si="5"/>
        <v>0.64900000000000002</v>
      </c>
      <c r="H119" s="11">
        <v>1</v>
      </c>
      <c r="I119" s="11"/>
      <c r="J119" s="11"/>
      <c r="K119" s="11">
        <f t="shared" ref="K119:K122" si="9">H119+I119+J119</f>
        <v>1</v>
      </c>
      <c r="L119" s="12">
        <f>K119*D119</f>
        <v>0.64900000000000002</v>
      </c>
    </row>
    <row r="120" spans="1:12" ht="17.25" customHeight="1">
      <c r="A120" s="9" t="s">
        <v>140</v>
      </c>
      <c r="B120" s="9" t="s">
        <v>144</v>
      </c>
      <c r="C120" s="16" t="s">
        <v>28</v>
      </c>
      <c r="D120" s="23">
        <v>1.04E-2</v>
      </c>
      <c r="E120" s="11">
        <f t="shared" si="7"/>
        <v>0</v>
      </c>
      <c r="F120" s="11"/>
      <c r="G120" s="23">
        <f t="shared" si="5"/>
        <v>0</v>
      </c>
      <c r="H120" s="11">
        <v>750</v>
      </c>
      <c r="I120" s="11"/>
      <c r="J120" s="11"/>
      <c r="K120" s="11"/>
      <c r="L120" s="12">
        <f>K120*D120</f>
        <v>0</v>
      </c>
    </row>
    <row r="121" spans="1:12">
      <c r="A121" s="11" t="s">
        <v>145</v>
      </c>
      <c r="B121" s="11" t="s">
        <v>146</v>
      </c>
      <c r="C121" s="17" t="s">
        <v>14</v>
      </c>
      <c r="D121" s="23">
        <v>7.9</v>
      </c>
      <c r="E121" s="11">
        <f t="shared" si="7"/>
        <v>16</v>
      </c>
      <c r="F121" s="11">
        <v>6</v>
      </c>
      <c r="G121" s="23">
        <f t="shared" si="5"/>
        <v>126.4</v>
      </c>
      <c r="H121" s="11">
        <v>9</v>
      </c>
      <c r="I121" s="11">
        <v>1</v>
      </c>
      <c r="J121" s="14"/>
      <c r="K121" s="11">
        <f t="shared" si="9"/>
        <v>10</v>
      </c>
      <c r="L121" s="12">
        <f>K121*D121</f>
        <v>79</v>
      </c>
    </row>
    <row r="122" spans="1:12" ht="17.25" customHeight="1">
      <c r="A122" s="9" t="s">
        <v>145</v>
      </c>
      <c r="B122" s="9" t="s">
        <v>147</v>
      </c>
      <c r="C122" s="16" t="s">
        <v>64</v>
      </c>
      <c r="D122" s="23">
        <v>0.98</v>
      </c>
      <c r="E122" s="11">
        <f t="shared" si="7"/>
        <v>36</v>
      </c>
      <c r="F122" s="11">
        <v>10</v>
      </c>
      <c r="G122" s="23">
        <f t="shared" si="5"/>
        <v>35.28</v>
      </c>
      <c r="H122" s="11">
        <v>19</v>
      </c>
      <c r="I122" s="11">
        <v>7</v>
      </c>
      <c r="J122" s="11"/>
      <c r="K122" s="11">
        <f t="shared" si="9"/>
        <v>26</v>
      </c>
      <c r="L122" s="12">
        <f>K122*D122</f>
        <v>25.48</v>
      </c>
    </row>
    <row r="123" spans="1:12" ht="17.25" customHeight="1">
      <c r="A123" s="9" t="s">
        <v>145</v>
      </c>
      <c r="B123" s="9" t="s">
        <v>148</v>
      </c>
      <c r="C123" s="16" t="s">
        <v>64</v>
      </c>
      <c r="D123" s="10">
        <v>3.6</v>
      </c>
      <c r="E123" s="11">
        <f t="shared" si="7"/>
        <v>37</v>
      </c>
      <c r="F123" s="11">
        <v>30</v>
      </c>
      <c r="G123" s="23">
        <f t="shared" si="5"/>
        <v>133.20000000000002</v>
      </c>
      <c r="H123" s="11">
        <v>7</v>
      </c>
      <c r="I123" s="11"/>
      <c r="J123" s="11"/>
      <c r="K123" s="11">
        <f t="shared" ref="K123:K215" si="10">H123+I123+J123</f>
        <v>7</v>
      </c>
      <c r="L123" s="12">
        <f>K123*D123</f>
        <v>25.2</v>
      </c>
    </row>
    <row r="124" spans="1:12" ht="17.25" customHeight="1">
      <c r="A124" s="9" t="s">
        <v>145</v>
      </c>
      <c r="B124" s="9" t="s">
        <v>149</v>
      </c>
      <c r="C124" s="16" t="s">
        <v>64</v>
      </c>
      <c r="D124" s="10">
        <v>3.55</v>
      </c>
      <c r="E124" s="11">
        <f t="shared" si="7"/>
        <v>6</v>
      </c>
      <c r="F124" s="11"/>
      <c r="G124" s="23">
        <f t="shared" si="5"/>
        <v>21.299999999999997</v>
      </c>
      <c r="H124" s="11">
        <v>6</v>
      </c>
      <c r="I124" s="11"/>
      <c r="J124" s="11"/>
      <c r="K124" s="11">
        <f t="shared" si="10"/>
        <v>6</v>
      </c>
      <c r="L124" s="12">
        <f>K124*D124</f>
        <v>21.299999999999997</v>
      </c>
    </row>
    <row r="125" spans="1:12">
      <c r="A125" s="11" t="s">
        <v>150</v>
      </c>
      <c r="B125" s="11" t="s">
        <v>151</v>
      </c>
      <c r="C125" s="17" t="s">
        <v>14</v>
      </c>
      <c r="D125" s="23">
        <v>9.86</v>
      </c>
      <c r="E125" s="11">
        <f t="shared" si="7"/>
        <v>6.5</v>
      </c>
      <c r="F125" s="11">
        <v>0.5</v>
      </c>
      <c r="G125" s="23">
        <f t="shared" si="5"/>
        <v>64.09</v>
      </c>
      <c r="H125" s="11">
        <v>6</v>
      </c>
      <c r="I125" s="11"/>
      <c r="J125" s="14"/>
      <c r="K125" s="11">
        <f>H125+I125+J125</f>
        <v>6</v>
      </c>
      <c r="L125" s="12">
        <f>K125*D125</f>
        <v>59.16</v>
      </c>
    </row>
    <row r="126" spans="1:12" ht="17.25" customHeight="1">
      <c r="A126" s="9" t="s">
        <v>150</v>
      </c>
      <c r="B126" s="9" t="s">
        <v>152</v>
      </c>
      <c r="C126" s="16" t="s">
        <v>64</v>
      </c>
      <c r="D126" s="10">
        <v>10.28</v>
      </c>
      <c r="E126" s="11">
        <f t="shared" si="7"/>
        <v>12.3</v>
      </c>
      <c r="F126" s="11">
        <v>3.3</v>
      </c>
      <c r="G126" s="23">
        <f t="shared" si="5"/>
        <v>126.444</v>
      </c>
      <c r="H126" s="11">
        <v>9</v>
      </c>
      <c r="I126" s="11"/>
      <c r="J126" s="11"/>
      <c r="K126" s="11">
        <f>H126+I126+J126</f>
        <v>9</v>
      </c>
      <c r="L126" s="12">
        <f>K126*D126</f>
        <v>92.52</v>
      </c>
    </row>
    <row r="127" spans="1:12" ht="17.25" customHeight="1">
      <c r="A127" s="9" t="s">
        <v>150</v>
      </c>
      <c r="B127" s="9" t="s">
        <v>153</v>
      </c>
      <c r="C127" s="16" t="s">
        <v>64</v>
      </c>
      <c r="D127" s="10">
        <v>2.8033000000000001</v>
      </c>
      <c r="E127" s="11">
        <f t="shared" si="7"/>
        <v>9.1999999999999993</v>
      </c>
      <c r="F127" s="11">
        <v>0.2</v>
      </c>
      <c r="G127" s="23">
        <f t="shared" si="5"/>
        <v>25.79036</v>
      </c>
      <c r="H127" s="11">
        <v>9</v>
      </c>
      <c r="I127" s="11"/>
      <c r="J127" s="11"/>
      <c r="K127" s="11">
        <f t="shared" si="10"/>
        <v>9</v>
      </c>
      <c r="L127" s="12">
        <f>K127*D127</f>
        <v>25.229700000000001</v>
      </c>
    </row>
    <row r="128" spans="1:12" ht="17.25" customHeight="1">
      <c r="A128" s="9" t="s">
        <v>154</v>
      </c>
      <c r="B128" s="9" t="s">
        <v>155</v>
      </c>
      <c r="C128" s="16" t="s">
        <v>14</v>
      </c>
      <c r="D128" s="10">
        <v>5.83</v>
      </c>
      <c r="E128" s="11">
        <f t="shared" si="7"/>
        <v>3.5</v>
      </c>
      <c r="F128" s="11">
        <v>0.5</v>
      </c>
      <c r="G128" s="23">
        <f t="shared" si="5"/>
        <v>20.405000000000001</v>
      </c>
      <c r="H128" s="11">
        <v>3</v>
      </c>
      <c r="I128" s="11"/>
      <c r="J128" s="11"/>
      <c r="K128" s="11">
        <f>H128+I128+J128</f>
        <v>3</v>
      </c>
      <c r="L128" s="12">
        <f>K128*D128</f>
        <v>17.490000000000002</v>
      </c>
    </row>
    <row r="129" spans="1:12" ht="17.25" customHeight="1">
      <c r="A129" s="9" t="s">
        <v>154</v>
      </c>
      <c r="B129" s="9" t="s">
        <v>156</v>
      </c>
      <c r="C129" s="16" t="s">
        <v>14</v>
      </c>
      <c r="D129" s="10">
        <v>9.26</v>
      </c>
      <c r="E129" s="11">
        <f t="shared" si="7"/>
        <v>7.64</v>
      </c>
      <c r="F129" s="11">
        <v>0.5</v>
      </c>
      <c r="G129" s="23">
        <f t="shared" si="5"/>
        <v>70.746399999999994</v>
      </c>
      <c r="H129" s="11">
        <v>7.14</v>
      </c>
      <c r="I129" s="11"/>
      <c r="J129" s="11"/>
      <c r="K129" s="11">
        <f t="shared" si="10"/>
        <v>7.14</v>
      </c>
      <c r="L129" s="12">
        <f>K129*D129</f>
        <v>66.116399999999999</v>
      </c>
    </row>
    <row r="130" spans="1:12" ht="17.25" customHeight="1">
      <c r="A130" s="9" t="s">
        <v>154</v>
      </c>
      <c r="B130" s="9" t="s">
        <v>157</v>
      </c>
      <c r="C130" s="16" t="s">
        <v>14</v>
      </c>
      <c r="D130" s="10">
        <v>9.26</v>
      </c>
      <c r="E130" s="11">
        <f t="shared" si="7"/>
        <v>5.3999999999999995</v>
      </c>
      <c r="F130" s="11">
        <v>0.3</v>
      </c>
      <c r="G130" s="23">
        <f t="shared" si="5"/>
        <v>50.003999999999991</v>
      </c>
      <c r="H130" s="11">
        <v>5.0999999999999996</v>
      </c>
      <c r="I130" s="11"/>
      <c r="J130" s="11"/>
      <c r="K130" s="11">
        <f t="shared" si="10"/>
        <v>5.0999999999999996</v>
      </c>
      <c r="L130" s="12">
        <f>K130*D130</f>
        <v>47.225999999999999</v>
      </c>
    </row>
    <row r="131" spans="1:12" ht="17.25" customHeight="1">
      <c r="A131" s="9" t="s">
        <v>154</v>
      </c>
      <c r="B131" s="9" t="s">
        <v>158</v>
      </c>
      <c r="C131" s="16" t="s">
        <v>14</v>
      </c>
      <c r="D131" s="10">
        <v>4.49</v>
      </c>
      <c r="E131" s="11">
        <f t="shared" si="7"/>
        <v>3.7</v>
      </c>
      <c r="F131" s="11">
        <v>1.2</v>
      </c>
      <c r="G131" s="23">
        <f t="shared" ref="G131:G194" si="11">E131*D131</f>
        <v>16.613000000000003</v>
      </c>
      <c r="H131" s="11">
        <v>1</v>
      </c>
      <c r="I131" s="11">
        <v>1.5</v>
      </c>
      <c r="J131" s="11"/>
      <c r="K131" s="11">
        <f t="shared" si="10"/>
        <v>2.5</v>
      </c>
      <c r="L131" s="12">
        <f>K131*D131</f>
        <v>11.225000000000001</v>
      </c>
    </row>
    <row r="132" spans="1:12" ht="17.25" customHeight="1">
      <c r="A132" s="9" t="s">
        <v>154</v>
      </c>
      <c r="B132" s="9" t="s">
        <v>159</v>
      </c>
      <c r="C132" s="16" t="s">
        <v>28</v>
      </c>
      <c r="D132" s="10">
        <v>6.99</v>
      </c>
      <c r="E132" s="11">
        <f t="shared" si="7"/>
        <v>1</v>
      </c>
      <c r="F132" s="11"/>
      <c r="G132" s="23">
        <f t="shared" si="11"/>
        <v>6.99</v>
      </c>
      <c r="H132" s="11">
        <v>1</v>
      </c>
      <c r="I132" s="11"/>
      <c r="J132" s="11"/>
      <c r="K132" s="11">
        <f t="shared" si="10"/>
        <v>1</v>
      </c>
      <c r="L132" s="12">
        <f>K132*D132</f>
        <v>6.99</v>
      </c>
    </row>
    <row r="133" spans="1:12" ht="17.25" customHeight="1">
      <c r="A133" s="9" t="s">
        <v>154</v>
      </c>
      <c r="B133" s="9" t="s">
        <v>160</v>
      </c>
      <c r="C133" s="16" t="s">
        <v>28</v>
      </c>
      <c r="D133" s="10">
        <v>5.99</v>
      </c>
      <c r="E133" s="11">
        <f t="shared" si="7"/>
        <v>2.5</v>
      </c>
      <c r="F133" s="11"/>
      <c r="G133" s="23">
        <f t="shared" si="11"/>
        <v>14.975000000000001</v>
      </c>
      <c r="H133" s="11">
        <v>2</v>
      </c>
      <c r="I133" s="11">
        <v>0.5</v>
      </c>
      <c r="J133" s="11"/>
      <c r="K133" s="11">
        <f t="shared" si="10"/>
        <v>2.5</v>
      </c>
      <c r="L133" s="12">
        <f>K133*D133</f>
        <v>14.975000000000001</v>
      </c>
    </row>
    <row r="134" spans="1:12" ht="17.25" customHeight="1">
      <c r="A134" s="9" t="s">
        <v>154</v>
      </c>
      <c r="B134" s="9" t="s">
        <v>161</v>
      </c>
      <c r="C134" s="16" t="s">
        <v>28</v>
      </c>
      <c r="D134" s="23">
        <v>0.27950000000000003</v>
      </c>
      <c r="E134" s="11">
        <f t="shared" si="7"/>
        <v>30</v>
      </c>
      <c r="F134" s="11"/>
      <c r="G134" s="23">
        <f t="shared" si="11"/>
        <v>8.3850000000000016</v>
      </c>
      <c r="H134" s="11">
        <v>30</v>
      </c>
      <c r="I134" s="11"/>
      <c r="J134" s="11"/>
      <c r="K134" s="11">
        <f t="shared" si="10"/>
        <v>30</v>
      </c>
      <c r="L134" s="12">
        <f>K134*D134</f>
        <v>8.3850000000000016</v>
      </c>
    </row>
    <row r="135" spans="1:12" ht="17.25" customHeight="1">
      <c r="A135" s="9" t="s">
        <v>154</v>
      </c>
      <c r="B135" s="11" t="s">
        <v>162</v>
      </c>
      <c r="C135" s="16" t="s">
        <v>64</v>
      </c>
      <c r="D135" s="23">
        <v>0.74</v>
      </c>
      <c r="E135" s="11">
        <f t="shared" si="7"/>
        <v>10</v>
      </c>
      <c r="F135" s="11">
        <v>2</v>
      </c>
      <c r="G135" s="23">
        <f t="shared" si="11"/>
        <v>7.4</v>
      </c>
      <c r="H135" s="11">
        <v>6</v>
      </c>
      <c r="I135" s="11">
        <v>2</v>
      </c>
      <c r="J135" s="11"/>
      <c r="K135" s="11">
        <f>H135+I135+J135</f>
        <v>8</v>
      </c>
      <c r="L135" s="12">
        <f>K135*D135</f>
        <v>5.92</v>
      </c>
    </row>
    <row r="136" spans="1:12">
      <c r="A136" s="11" t="s">
        <v>154</v>
      </c>
      <c r="B136" s="11" t="s">
        <v>163</v>
      </c>
      <c r="C136" s="17" t="s">
        <v>28</v>
      </c>
      <c r="D136" s="10">
        <v>5.18</v>
      </c>
      <c r="E136" s="11">
        <f t="shared" si="7"/>
        <v>1.75</v>
      </c>
      <c r="F136" s="11"/>
      <c r="G136" s="23">
        <f t="shared" si="11"/>
        <v>9.0649999999999995</v>
      </c>
      <c r="H136" s="11">
        <v>1.75</v>
      </c>
      <c r="I136" s="11"/>
      <c r="J136" s="14"/>
      <c r="K136" s="11">
        <f>H136+I136+J136</f>
        <v>1.75</v>
      </c>
      <c r="L136" s="12">
        <f>K136*D136</f>
        <v>9.0649999999999995</v>
      </c>
    </row>
    <row r="137" spans="1:12">
      <c r="A137" s="11" t="s">
        <v>154</v>
      </c>
      <c r="B137" s="11" t="s">
        <v>164</v>
      </c>
      <c r="C137" s="17" t="s">
        <v>28</v>
      </c>
      <c r="D137" s="10">
        <v>0.22</v>
      </c>
      <c r="E137" s="11">
        <f t="shared" si="7"/>
        <v>50</v>
      </c>
      <c r="F137" s="11">
        <v>20</v>
      </c>
      <c r="G137" s="23">
        <f t="shared" si="11"/>
        <v>11</v>
      </c>
      <c r="H137" s="11">
        <v>30</v>
      </c>
      <c r="I137" s="11"/>
      <c r="J137" s="14"/>
      <c r="K137" s="11">
        <f>H137+I137+J137</f>
        <v>30</v>
      </c>
      <c r="L137" s="12">
        <f>K137*D137</f>
        <v>6.6</v>
      </c>
    </row>
    <row r="138" spans="1:12">
      <c r="A138" s="11" t="s">
        <v>154</v>
      </c>
      <c r="B138" s="11" t="s">
        <v>165</v>
      </c>
      <c r="C138" s="17" t="s">
        <v>28</v>
      </c>
      <c r="D138" s="10">
        <v>3.89</v>
      </c>
      <c r="E138" s="11">
        <f t="shared" si="7"/>
        <v>5.5</v>
      </c>
      <c r="F138" s="11">
        <v>1</v>
      </c>
      <c r="G138" s="23">
        <f t="shared" si="11"/>
        <v>21.395</v>
      </c>
      <c r="H138" s="11">
        <v>3</v>
      </c>
      <c r="I138" s="11">
        <v>1.5</v>
      </c>
      <c r="J138" s="14"/>
      <c r="K138" s="11">
        <f>H138+I138+J138</f>
        <v>4.5</v>
      </c>
      <c r="L138" s="12">
        <f>K138*D138</f>
        <v>17.504999999999999</v>
      </c>
    </row>
    <row r="139" spans="1:12">
      <c r="A139" s="11" t="s">
        <v>154</v>
      </c>
      <c r="B139" s="11" t="s">
        <v>166</v>
      </c>
      <c r="C139" s="17" t="s">
        <v>28</v>
      </c>
      <c r="D139" s="10">
        <v>4.99E-2</v>
      </c>
      <c r="E139" s="11">
        <f t="shared" si="7"/>
        <v>156</v>
      </c>
      <c r="F139" s="11">
        <v>6</v>
      </c>
      <c r="G139" s="23">
        <f t="shared" si="11"/>
        <v>7.7843999999999998</v>
      </c>
      <c r="H139" s="11">
        <v>150</v>
      </c>
      <c r="I139" s="11"/>
      <c r="J139" s="14"/>
      <c r="K139" s="11">
        <f>H139+I139+J139</f>
        <v>150</v>
      </c>
      <c r="L139" s="12">
        <f>K139*D139</f>
        <v>7.4850000000000003</v>
      </c>
    </row>
    <row r="140" spans="1:12">
      <c r="A140" s="11" t="s">
        <v>154</v>
      </c>
      <c r="B140" s="11" t="s">
        <v>167</v>
      </c>
      <c r="C140" s="17" t="s">
        <v>18</v>
      </c>
      <c r="D140" s="10">
        <v>18.989999999999998</v>
      </c>
      <c r="E140" s="11">
        <f t="shared" si="7"/>
        <v>2.8</v>
      </c>
      <c r="F140" s="11">
        <v>0.5</v>
      </c>
      <c r="G140" s="23">
        <f t="shared" si="11"/>
        <v>53.17199999999999</v>
      </c>
      <c r="H140" s="11">
        <v>2</v>
      </c>
      <c r="I140" s="11">
        <v>0.3</v>
      </c>
      <c r="J140" s="14"/>
      <c r="K140" s="11">
        <f>H140+I140+J140</f>
        <v>2.2999999999999998</v>
      </c>
      <c r="L140" s="12">
        <f>K140*D140</f>
        <v>43.676999999999992</v>
      </c>
    </row>
    <row r="141" spans="1:12">
      <c r="A141" s="11" t="s">
        <v>154</v>
      </c>
      <c r="B141" s="11" t="s">
        <v>168</v>
      </c>
      <c r="C141" s="17" t="s">
        <v>14</v>
      </c>
      <c r="D141" s="10">
        <v>2.7</v>
      </c>
      <c r="E141" s="11">
        <f t="shared" si="7"/>
        <v>4.5</v>
      </c>
      <c r="F141" s="11"/>
      <c r="G141" s="23">
        <f t="shared" si="11"/>
        <v>12.15</v>
      </c>
      <c r="H141" s="11">
        <v>4.5</v>
      </c>
      <c r="I141" s="11"/>
      <c r="J141" s="14"/>
      <c r="K141" s="11">
        <f>H141+I141+J141</f>
        <v>4.5</v>
      </c>
      <c r="L141" s="12">
        <f>K141*D141</f>
        <v>12.15</v>
      </c>
    </row>
    <row r="142" spans="1:12">
      <c r="A142" s="9" t="s">
        <v>154</v>
      </c>
      <c r="B142" s="9" t="s">
        <v>169</v>
      </c>
      <c r="C142" s="17" t="s">
        <v>28</v>
      </c>
      <c r="D142" s="10">
        <v>8.4899999999999993E-3</v>
      </c>
      <c r="E142" s="11">
        <f t="shared" si="7"/>
        <v>830</v>
      </c>
      <c r="F142" s="11"/>
      <c r="G142" s="23">
        <f t="shared" si="11"/>
        <v>7.0466999999999995</v>
      </c>
      <c r="H142" s="11">
        <v>500</v>
      </c>
      <c r="I142" s="11">
        <v>330</v>
      </c>
      <c r="J142" s="14"/>
      <c r="K142" s="11">
        <f>H142+I142+J142</f>
        <v>830</v>
      </c>
      <c r="L142" s="12">
        <f>K142*D142</f>
        <v>7.0466999999999995</v>
      </c>
    </row>
    <row r="143" spans="1:12">
      <c r="A143" s="9" t="s">
        <v>154</v>
      </c>
      <c r="B143" s="9" t="s">
        <v>170</v>
      </c>
      <c r="C143" s="16" t="s">
        <v>28</v>
      </c>
      <c r="D143" s="10">
        <v>3.45</v>
      </c>
      <c r="E143" s="11">
        <f t="shared" si="7"/>
        <v>48.5</v>
      </c>
      <c r="F143" s="11"/>
      <c r="G143" s="23">
        <f t="shared" si="11"/>
        <v>167.32500000000002</v>
      </c>
      <c r="H143" s="11">
        <v>1.5</v>
      </c>
      <c r="I143" s="11">
        <v>47</v>
      </c>
      <c r="J143" s="11"/>
      <c r="K143" s="11">
        <f>H143+I143+J143</f>
        <v>48.5</v>
      </c>
      <c r="L143" s="12">
        <f>K143*D143</f>
        <v>167.32500000000002</v>
      </c>
    </row>
    <row r="144" spans="1:12">
      <c r="A144" s="11" t="s">
        <v>154</v>
      </c>
      <c r="B144" s="11" t="s">
        <v>171</v>
      </c>
      <c r="C144" s="17" t="s">
        <v>28</v>
      </c>
      <c r="D144" s="10">
        <v>2.2599999999999998</v>
      </c>
      <c r="E144" s="11">
        <f t="shared" si="7"/>
        <v>1.7</v>
      </c>
      <c r="F144" s="11">
        <v>0.5</v>
      </c>
      <c r="G144" s="23">
        <f t="shared" si="11"/>
        <v>3.8419999999999996</v>
      </c>
      <c r="H144" s="11">
        <v>1.2</v>
      </c>
      <c r="I144" s="11"/>
      <c r="J144" s="14"/>
      <c r="K144" s="11">
        <f>H144+I144+J144</f>
        <v>1.2</v>
      </c>
      <c r="L144" s="12">
        <f>K144*D144</f>
        <v>2.7119999999999997</v>
      </c>
    </row>
    <row r="145" spans="1:12">
      <c r="A145" s="11" t="s">
        <v>154</v>
      </c>
      <c r="B145" s="11" t="s">
        <v>172</v>
      </c>
      <c r="C145" s="17" t="s">
        <v>28</v>
      </c>
      <c r="D145" s="10">
        <v>0.79</v>
      </c>
      <c r="E145" s="11">
        <f t="shared" si="7"/>
        <v>2</v>
      </c>
      <c r="F145" s="11"/>
      <c r="G145" s="23">
        <f t="shared" si="11"/>
        <v>1.58</v>
      </c>
      <c r="H145" s="11">
        <v>2</v>
      </c>
      <c r="I145" s="11"/>
      <c r="J145" s="14"/>
      <c r="K145" s="11">
        <f>H145+I145+J145</f>
        <v>2</v>
      </c>
      <c r="L145" s="12">
        <f>K145*D145</f>
        <v>1.58</v>
      </c>
    </row>
    <row r="146" spans="1:12">
      <c r="A146" s="11" t="s">
        <v>154</v>
      </c>
      <c r="B146" s="11" t="s">
        <v>173</v>
      </c>
      <c r="C146" s="17" t="s">
        <v>28</v>
      </c>
      <c r="D146" s="10">
        <v>9.99</v>
      </c>
      <c r="E146" s="11">
        <f t="shared" si="7"/>
        <v>1.4000000000000001</v>
      </c>
      <c r="F146" s="11">
        <v>0.1</v>
      </c>
      <c r="G146" s="23">
        <f t="shared" si="11"/>
        <v>13.986000000000002</v>
      </c>
      <c r="H146" s="11">
        <v>1.3</v>
      </c>
      <c r="I146" s="11"/>
      <c r="J146" s="14"/>
      <c r="K146" s="11">
        <f>H146+I146+J146</f>
        <v>1.3</v>
      </c>
      <c r="L146" s="12">
        <f>K146*D146</f>
        <v>12.987</v>
      </c>
    </row>
    <row r="147" spans="1:12">
      <c r="A147" s="11" t="s">
        <v>154</v>
      </c>
      <c r="B147" s="11" t="s">
        <v>174</v>
      </c>
      <c r="C147" s="17" t="s">
        <v>14</v>
      </c>
      <c r="D147" s="10">
        <v>7.98</v>
      </c>
      <c r="E147" s="11">
        <f t="shared" si="7"/>
        <v>1.85</v>
      </c>
      <c r="F147" s="11">
        <v>0.1</v>
      </c>
      <c r="G147" s="23">
        <f t="shared" si="11"/>
        <v>14.763000000000002</v>
      </c>
      <c r="H147" s="11">
        <v>1.5</v>
      </c>
      <c r="I147" s="11">
        <v>0.25</v>
      </c>
      <c r="J147" s="14"/>
      <c r="K147" s="11">
        <f>H147+I147+J147</f>
        <v>1.75</v>
      </c>
      <c r="L147" s="12">
        <f>K147*D147</f>
        <v>13.965</v>
      </c>
    </row>
    <row r="148" spans="1:12">
      <c r="A148" s="11" t="s">
        <v>154</v>
      </c>
      <c r="B148" s="11" t="s">
        <v>175</v>
      </c>
      <c r="C148" s="17" t="s">
        <v>18</v>
      </c>
      <c r="D148" s="23">
        <v>2.87</v>
      </c>
      <c r="E148" s="11">
        <f t="shared" si="7"/>
        <v>11.5</v>
      </c>
      <c r="F148" s="11">
        <v>4</v>
      </c>
      <c r="G148" s="23">
        <f t="shared" si="11"/>
        <v>33.005000000000003</v>
      </c>
      <c r="H148" s="11">
        <v>7.5</v>
      </c>
      <c r="I148" s="11"/>
      <c r="J148" s="14"/>
      <c r="K148" s="11">
        <f>H148+I148+J148</f>
        <v>7.5</v>
      </c>
      <c r="L148" s="12">
        <f>K148*D148</f>
        <v>21.525000000000002</v>
      </c>
    </row>
    <row r="149" spans="1:12">
      <c r="A149" s="11" t="s">
        <v>154</v>
      </c>
      <c r="B149" s="11" t="s">
        <v>176</v>
      </c>
      <c r="C149" s="17" t="s">
        <v>14</v>
      </c>
      <c r="D149" s="10">
        <v>1.45</v>
      </c>
      <c r="E149" s="11">
        <f t="shared" si="7"/>
        <v>18.5</v>
      </c>
      <c r="F149" s="11">
        <v>6</v>
      </c>
      <c r="G149" s="23">
        <f t="shared" si="11"/>
        <v>26.824999999999999</v>
      </c>
      <c r="H149" s="11">
        <v>12.5</v>
      </c>
      <c r="I149" s="11"/>
      <c r="J149" s="14"/>
      <c r="K149" s="11">
        <f>H149+I149+J149</f>
        <v>12.5</v>
      </c>
      <c r="L149" s="12">
        <f>K149*D149</f>
        <v>18.125</v>
      </c>
    </row>
    <row r="150" spans="1:12">
      <c r="A150" s="11" t="s">
        <v>154</v>
      </c>
      <c r="B150" s="11" t="s">
        <v>177</v>
      </c>
      <c r="C150" s="17" t="s">
        <v>14</v>
      </c>
      <c r="D150" s="10">
        <v>6.38</v>
      </c>
      <c r="E150" s="11">
        <f t="shared" si="7"/>
        <v>3.4</v>
      </c>
      <c r="F150" s="11">
        <v>0.4</v>
      </c>
      <c r="G150" s="23">
        <f t="shared" si="11"/>
        <v>21.692</v>
      </c>
      <c r="H150" s="11">
        <v>3</v>
      </c>
      <c r="I150" s="11"/>
      <c r="J150" s="14"/>
      <c r="K150" s="11">
        <f>H150+I150+J150</f>
        <v>3</v>
      </c>
      <c r="L150" s="12">
        <f>K150*D150</f>
        <v>19.14</v>
      </c>
    </row>
    <row r="151" spans="1:12">
      <c r="A151" s="11" t="s">
        <v>154</v>
      </c>
      <c r="B151" s="11" t="s">
        <v>178</v>
      </c>
      <c r="C151" s="17" t="s">
        <v>14</v>
      </c>
      <c r="D151" s="10">
        <v>1.76</v>
      </c>
      <c r="E151" s="11">
        <f t="shared" si="7"/>
        <v>0.85</v>
      </c>
      <c r="F151" s="11">
        <v>0.1</v>
      </c>
      <c r="G151" s="23">
        <f t="shared" si="11"/>
        <v>1.496</v>
      </c>
      <c r="H151" s="11">
        <v>0.75</v>
      </c>
      <c r="I151" s="11"/>
      <c r="J151" s="14"/>
      <c r="K151" s="11">
        <f>H151+I151+J151</f>
        <v>0.75</v>
      </c>
      <c r="L151" s="12">
        <f>K151*D151</f>
        <v>1.32</v>
      </c>
    </row>
    <row r="152" spans="1:12">
      <c r="A152" s="11" t="s">
        <v>154</v>
      </c>
      <c r="B152" s="11" t="s">
        <v>179</v>
      </c>
      <c r="C152" s="17" t="s">
        <v>64</v>
      </c>
      <c r="D152" s="10">
        <v>1.34</v>
      </c>
      <c r="E152" s="11">
        <f t="shared" si="7"/>
        <v>2.5</v>
      </c>
      <c r="F152" s="11">
        <v>1</v>
      </c>
      <c r="G152" s="23">
        <f t="shared" si="11"/>
        <v>3.35</v>
      </c>
      <c r="H152" s="11">
        <v>1.5</v>
      </c>
      <c r="I152" s="11"/>
      <c r="J152" s="14"/>
      <c r="K152" s="11">
        <f>H152+I152+J152</f>
        <v>1.5</v>
      </c>
      <c r="L152" s="12">
        <f>K152*D152</f>
        <v>2.0100000000000002</v>
      </c>
    </row>
    <row r="153" spans="1:12">
      <c r="A153" s="11" t="s">
        <v>154</v>
      </c>
      <c r="B153" s="11" t="s">
        <v>180</v>
      </c>
      <c r="C153" s="17" t="s">
        <v>14</v>
      </c>
      <c r="D153" s="23">
        <v>25.98</v>
      </c>
      <c r="E153" s="11">
        <f t="shared" si="7"/>
        <v>1.5</v>
      </c>
      <c r="F153" s="11"/>
      <c r="G153" s="23">
        <f t="shared" si="11"/>
        <v>38.97</v>
      </c>
      <c r="H153" s="11">
        <v>1.5</v>
      </c>
      <c r="I153" s="11"/>
      <c r="J153" s="14"/>
      <c r="K153" s="11">
        <f t="shared" ref="K153" si="12">H153+I153+J153</f>
        <v>1.5</v>
      </c>
      <c r="L153" s="12">
        <f>K153*D153</f>
        <v>38.97</v>
      </c>
    </row>
    <row r="154" spans="1:12">
      <c r="A154" s="11" t="s">
        <v>154</v>
      </c>
      <c r="B154" s="11" t="s">
        <v>181</v>
      </c>
      <c r="C154" s="17" t="s">
        <v>14</v>
      </c>
      <c r="D154" s="23">
        <v>44.98</v>
      </c>
      <c r="E154" s="11">
        <f t="shared" si="7"/>
        <v>2</v>
      </c>
      <c r="F154" s="11">
        <v>0.5</v>
      </c>
      <c r="G154" s="23">
        <f t="shared" si="11"/>
        <v>89.96</v>
      </c>
      <c r="H154" s="11">
        <v>1.5</v>
      </c>
      <c r="I154" s="11"/>
      <c r="J154" s="14"/>
      <c r="K154" s="11">
        <f>H154+I154+J154</f>
        <v>1.5</v>
      </c>
      <c r="L154" s="12">
        <f>K154*D154</f>
        <v>67.47</v>
      </c>
    </row>
    <row r="155" spans="1:12">
      <c r="A155" s="11" t="s">
        <v>154</v>
      </c>
      <c r="B155" s="11" t="s">
        <v>182</v>
      </c>
      <c r="C155" s="17" t="s">
        <v>64</v>
      </c>
      <c r="D155" s="23">
        <v>2.0379999999999998</v>
      </c>
      <c r="E155" s="11">
        <f t="shared" si="7"/>
        <v>7</v>
      </c>
      <c r="F155" s="11">
        <v>2</v>
      </c>
      <c r="G155" s="23">
        <f t="shared" si="11"/>
        <v>14.265999999999998</v>
      </c>
      <c r="H155" s="11">
        <v>5</v>
      </c>
      <c r="I155" s="11"/>
      <c r="J155" s="14"/>
      <c r="K155" s="11">
        <f>H155+I155+J155</f>
        <v>5</v>
      </c>
      <c r="L155" s="12">
        <f>K155*D155</f>
        <v>10.19</v>
      </c>
    </row>
    <row r="156" spans="1:12">
      <c r="A156" s="11" t="s">
        <v>154</v>
      </c>
      <c r="B156" s="11" t="s">
        <v>183</v>
      </c>
      <c r="C156" s="17" t="s">
        <v>28</v>
      </c>
      <c r="D156" s="10">
        <v>2.19</v>
      </c>
      <c r="E156" s="11">
        <f t="shared" ref="E156:E219" si="13">K156+F156</f>
        <v>4</v>
      </c>
      <c r="F156" s="11">
        <v>0.5</v>
      </c>
      <c r="G156" s="23">
        <f t="shared" si="11"/>
        <v>8.76</v>
      </c>
      <c r="H156" s="11">
        <v>2.5</v>
      </c>
      <c r="I156" s="11">
        <v>1</v>
      </c>
      <c r="J156" s="14"/>
      <c r="K156" s="11">
        <f>H156+I156+J156</f>
        <v>3.5</v>
      </c>
      <c r="L156" s="12">
        <f>K156*D156</f>
        <v>7.665</v>
      </c>
    </row>
    <row r="157" spans="1:12">
      <c r="A157" s="11" t="s">
        <v>154</v>
      </c>
      <c r="B157" s="11" t="s">
        <v>184</v>
      </c>
      <c r="C157" s="17" t="s">
        <v>14</v>
      </c>
      <c r="D157" s="10">
        <v>24.98</v>
      </c>
      <c r="E157" s="11">
        <f t="shared" si="13"/>
        <v>2</v>
      </c>
      <c r="F157" s="11">
        <v>0.5</v>
      </c>
      <c r="G157" s="23">
        <f t="shared" si="11"/>
        <v>49.96</v>
      </c>
      <c r="H157" s="11">
        <v>1.5</v>
      </c>
      <c r="I157" s="11"/>
      <c r="J157" s="14"/>
      <c r="K157" s="11">
        <f>H157+I157+J157</f>
        <v>1.5</v>
      </c>
      <c r="L157" s="12">
        <f>K157*D157</f>
        <v>37.47</v>
      </c>
    </row>
    <row r="158" spans="1:12">
      <c r="A158" s="11" t="s">
        <v>154</v>
      </c>
      <c r="B158" s="11" t="s">
        <v>185</v>
      </c>
      <c r="C158" s="17" t="s">
        <v>28</v>
      </c>
      <c r="D158" s="10">
        <v>2.99</v>
      </c>
      <c r="E158" s="11">
        <f t="shared" si="13"/>
        <v>0.9</v>
      </c>
      <c r="F158" s="11">
        <v>0.1</v>
      </c>
      <c r="G158" s="23">
        <f t="shared" si="11"/>
        <v>2.6910000000000003</v>
      </c>
      <c r="H158" s="11">
        <v>0.8</v>
      </c>
      <c r="I158" s="11"/>
      <c r="J158" s="14"/>
      <c r="K158" s="11">
        <f>H158+I158+J158</f>
        <v>0.8</v>
      </c>
      <c r="L158" s="12">
        <f>K158*D158</f>
        <v>2.3920000000000003</v>
      </c>
    </row>
    <row r="159" spans="1:12">
      <c r="A159" s="11" t="s">
        <v>154</v>
      </c>
      <c r="B159" s="11" t="s">
        <v>186</v>
      </c>
      <c r="C159" s="17" t="s">
        <v>18</v>
      </c>
      <c r="D159" s="10">
        <v>8.98</v>
      </c>
      <c r="E159" s="11">
        <f t="shared" si="13"/>
        <v>5</v>
      </c>
      <c r="F159" s="11"/>
      <c r="G159" s="23">
        <f t="shared" si="11"/>
        <v>44.900000000000006</v>
      </c>
      <c r="H159" s="11">
        <v>5</v>
      </c>
      <c r="I159" s="11"/>
      <c r="J159" s="14"/>
      <c r="K159" s="11">
        <f t="shared" ref="K159:L169" si="14">H159+I159+J159</f>
        <v>5</v>
      </c>
      <c r="L159" s="12">
        <f>K159*D159</f>
        <v>44.900000000000006</v>
      </c>
    </row>
    <row r="160" spans="1:12">
      <c r="A160" s="11" t="s">
        <v>154</v>
      </c>
      <c r="B160" s="11" t="s">
        <v>187</v>
      </c>
      <c r="C160" s="17" t="s">
        <v>14</v>
      </c>
      <c r="D160" s="10">
        <v>5.93</v>
      </c>
      <c r="E160" s="11">
        <f t="shared" si="13"/>
        <v>10</v>
      </c>
      <c r="F160" s="11">
        <v>7</v>
      </c>
      <c r="G160" s="23">
        <f t="shared" si="11"/>
        <v>59.3</v>
      </c>
      <c r="H160" s="11">
        <v>3</v>
      </c>
      <c r="I160" s="11"/>
      <c r="J160" s="14"/>
      <c r="K160" s="11">
        <f t="shared" si="14"/>
        <v>3</v>
      </c>
      <c r="L160" s="12">
        <f>K160*D160</f>
        <v>17.79</v>
      </c>
    </row>
    <row r="161" spans="1:12">
      <c r="A161" s="11" t="s">
        <v>154</v>
      </c>
      <c r="B161" s="11" t="s">
        <v>188</v>
      </c>
      <c r="C161" s="17" t="s">
        <v>28</v>
      </c>
      <c r="D161" s="10">
        <v>0.189</v>
      </c>
      <c r="E161" s="11">
        <f t="shared" si="13"/>
        <v>50</v>
      </c>
      <c r="F161" s="11"/>
      <c r="G161" s="23">
        <f t="shared" si="11"/>
        <v>9.4499999999999993</v>
      </c>
      <c r="H161" s="11">
        <v>50</v>
      </c>
      <c r="I161" s="11"/>
      <c r="J161" s="14"/>
      <c r="K161" s="11">
        <f t="shared" si="14"/>
        <v>50</v>
      </c>
      <c r="L161" s="12">
        <f>K161*D161</f>
        <v>9.4499999999999993</v>
      </c>
    </row>
    <row r="162" spans="1:12">
      <c r="A162" s="11" t="s">
        <v>154</v>
      </c>
      <c r="B162" s="11" t="s">
        <v>189</v>
      </c>
      <c r="C162" s="17" t="s">
        <v>14</v>
      </c>
      <c r="D162" s="10">
        <v>8.3249999999999993</v>
      </c>
      <c r="E162" s="11">
        <f t="shared" si="13"/>
        <v>5.3</v>
      </c>
      <c r="F162" s="11">
        <v>2.8</v>
      </c>
      <c r="G162" s="23">
        <f t="shared" si="11"/>
        <v>44.122499999999995</v>
      </c>
      <c r="H162" s="11">
        <v>2.5</v>
      </c>
      <c r="I162" s="11"/>
      <c r="J162" s="14"/>
      <c r="K162" s="11">
        <f t="shared" si="14"/>
        <v>2.5</v>
      </c>
      <c r="L162" s="12">
        <f>K162*D162</f>
        <v>20.8125</v>
      </c>
    </row>
    <row r="163" spans="1:12">
      <c r="A163" s="11" t="s">
        <v>154</v>
      </c>
      <c r="B163" s="11" t="s">
        <v>190</v>
      </c>
      <c r="C163" s="17" t="s">
        <v>28</v>
      </c>
      <c r="D163" s="10">
        <v>0.69</v>
      </c>
      <c r="E163" s="11">
        <f t="shared" si="13"/>
        <v>5</v>
      </c>
      <c r="F163" s="11">
        <v>1</v>
      </c>
      <c r="G163" s="23">
        <f t="shared" si="11"/>
        <v>3.4499999999999997</v>
      </c>
      <c r="H163" s="11">
        <v>2</v>
      </c>
      <c r="I163" s="11">
        <v>2</v>
      </c>
      <c r="J163" s="14"/>
      <c r="K163" s="11">
        <f t="shared" si="14"/>
        <v>4</v>
      </c>
      <c r="L163" s="12">
        <f>K163*D163</f>
        <v>2.76</v>
      </c>
    </row>
    <row r="164" spans="1:12">
      <c r="A164" s="11" t="s">
        <v>154</v>
      </c>
      <c r="B164" s="11" t="s">
        <v>191</v>
      </c>
      <c r="C164" s="17" t="s">
        <v>28</v>
      </c>
      <c r="D164" s="10">
        <v>0.47499999999999998</v>
      </c>
      <c r="E164" s="11">
        <f t="shared" si="13"/>
        <v>7</v>
      </c>
      <c r="F164" s="11"/>
      <c r="G164" s="23">
        <f t="shared" si="11"/>
        <v>3.3249999999999997</v>
      </c>
      <c r="H164" s="11">
        <v>4</v>
      </c>
      <c r="I164" s="11">
        <v>3</v>
      </c>
      <c r="J164" s="14"/>
      <c r="K164" s="11">
        <f t="shared" si="14"/>
        <v>7</v>
      </c>
      <c r="L164" s="12">
        <f>K164*D164</f>
        <v>3.3249999999999997</v>
      </c>
    </row>
    <row r="165" spans="1:12">
      <c r="A165" s="11" t="s">
        <v>154</v>
      </c>
      <c r="B165" s="11" t="s">
        <v>192</v>
      </c>
      <c r="C165" s="17" t="s">
        <v>93</v>
      </c>
      <c r="D165" s="10">
        <v>1.69</v>
      </c>
      <c r="E165" s="11">
        <f t="shared" si="13"/>
        <v>4</v>
      </c>
      <c r="F165" s="11">
        <v>1</v>
      </c>
      <c r="G165" s="23">
        <f t="shared" si="11"/>
        <v>6.76</v>
      </c>
      <c r="H165" s="11">
        <v>3</v>
      </c>
      <c r="I165" s="11"/>
      <c r="J165" s="14"/>
      <c r="K165" s="11">
        <f t="shared" si="14"/>
        <v>3</v>
      </c>
      <c r="L165" s="12">
        <f>K165*D165</f>
        <v>5.07</v>
      </c>
    </row>
    <row r="166" spans="1:12">
      <c r="A166" s="11" t="s">
        <v>154</v>
      </c>
      <c r="B166" s="11" t="s">
        <v>193</v>
      </c>
      <c r="C166" s="17" t="s">
        <v>93</v>
      </c>
      <c r="D166" s="10">
        <v>1.69</v>
      </c>
      <c r="E166" s="11">
        <f t="shared" si="13"/>
        <v>6</v>
      </c>
      <c r="F166" s="11">
        <v>1</v>
      </c>
      <c r="G166" s="23">
        <f t="shared" si="11"/>
        <v>10.14</v>
      </c>
      <c r="H166" s="11">
        <v>4</v>
      </c>
      <c r="I166" s="11">
        <v>1</v>
      </c>
      <c r="J166" s="14"/>
      <c r="K166" s="11">
        <f t="shared" si="14"/>
        <v>5</v>
      </c>
      <c r="L166" s="12">
        <f>K166*D166</f>
        <v>8.4499999999999993</v>
      </c>
    </row>
    <row r="167" spans="1:12">
      <c r="A167" s="11" t="s">
        <v>154</v>
      </c>
      <c r="B167" s="11" t="s">
        <v>194</v>
      </c>
      <c r="C167" s="17" t="s">
        <v>28</v>
      </c>
      <c r="D167" s="10">
        <v>1.99</v>
      </c>
      <c r="E167" s="11">
        <f t="shared" si="13"/>
        <v>3</v>
      </c>
      <c r="F167" s="11">
        <v>1</v>
      </c>
      <c r="G167" s="23">
        <f t="shared" si="11"/>
        <v>5.97</v>
      </c>
      <c r="H167" s="11">
        <v>1</v>
      </c>
      <c r="I167" s="11">
        <v>1</v>
      </c>
      <c r="J167" s="14"/>
      <c r="K167" s="11">
        <f t="shared" si="14"/>
        <v>2</v>
      </c>
      <c r="L167" s="12">
        <f>K167*D167</f>
        <v>3.98</v>
      </c>
    </row>
    <row r="168" spans="1:12">
      <c r="A168" s="11" t="s">
        <v>154</v>
      </c>
      <c r="B168" s="11" t="s">
        <v>195</v>
      </c>
      <c r="C168" s="17" t="s">
        <v>28</v>
      </c>
      <c r="D168" s="10">
        <v>1.69</v>
      </c>
      <c r="E168" s="11">
        <f t="shared" si="13"/>
        <v>3</v>
      </c>
      <c r="F168" s="11">
        <v>1</v>
      </c>
      <c r="G168" s="23">
        <f t="shared" si="11"/>
        <v>5.07</v>
      </c>
      <c r="H168" s="11">
        <v>1</v>
      </c>
      <c r="I168" s="11">
        <v>1</v>
      </c>
      <c r="J168" s="14"/>
      <c r="K168" s="11">
        <f t="shared" si="14"/>
        <v>2</v>
      </c>
      <c r="L168" s="12">
        <f>K168*D168</f>
        <v>3.38</v>
      </c>
    </row>
    <row r="169" spans="1:12">
      <c r="A169" s="11" t="s">
        <v>154</v>
      </c>
      <c r="B169" s="11" t="s">
        <v>196</v>
      </c>
      <c r="C169" s="17" t="s">
        <v>28</v>
      </c>
      <c r="D169" s="10">
        <v>2.9950000000000001</v>
      </c>
      <c r="E169" s="11">
        <f t="shared" si="13"/>
        <v>2.5</v>
      </c>
      <c r="F169" s="11">
        <v>1</v>
      </c>
      <c r="G169" s="23">
        <f t="shared" si="11"/>
        <v>7.4875000000000007</v>
      </c>
      <c r="H169" s="11">
        <v>0.5</v>
      </c>
      <c r="I169" s="11">
        <v>1</v>
      </c>
      <c r="J169" s="14"/>
      <c r="K169" s="11">
        <f t="shared" si="14"/>
        <v>1.5</v>
      </c>
      <c r="L169" s="12">
        <f>K169*D169</f>
        <v>4.4924999999999997</v>
      </c>
    </row>
    <row r="170" spans="1:12">
      <c r="A170" s="11" t="s">
        <v>154</v>
      </c>
      <c r="B170" s="5" t="s">
        <v>197</v>
      </c>
      <c r="C170" s="18" t="s">
        <v>28</v>
      </c>
      <c r="D170" s="10">
        <v>2.9899999999999999E-2</v>
      </c>
      <c r="E170" s="11">
        <f t="shared" si="13"/>
        <v>191</v>
      </c>
      <c r="F170" s="11"/>
      <c r="G170" s="23">
        <f t="shared" si="11"/>
        <v>5.7108999999999996</v>
      </c>
      <c r="H170" s="11">
        <v>191</v>
      </c>
      <c r="I170" s="6"/>
      <c r="J170" s="6"/>
      <c r="K170" s="11">
        <f>H170+I170+J170</f>
        <v>191</v>
      </c>
      <c r="L170" s="12">
        <f>K170*D170</f>
        <v>5.7108999999999996</v>
      </c>
    </row>
    <row r="171" spans="1:12">
      <c r="A171" s="11" t="s">
        <v>154</v>
      </c>
      <c r="B171" s="5" t="s">
        <v>198</v>
      </c>
      <c r="C171" s="18" t="s">
        <v>28</v>
      </c>
      <c r="D171" s="10">
        <v>0.4</v>
      </c>
      <c r="E171" s="11">
        <f t="shared" si="13"/>
        <v>20</v>
      </c>
      <c r="F171" s="11"/>
      <c r="G171" s="23">
        <f t="shared" si="11"/>
        <v>8</v>
      </c>
      <c r="H171" s="11">
        <v>20</v>
      </c>
      <c r="I171" s="6"/>
      <c r="J171" s="6"/>
      <c r="K171" s="11">
        <f>H171+I171+J171</f>
        <v>20</v>
      </c>
      <c r="L171" s="12">
        <f>K171*D171</f>
        <v>8</v>
      </c>
    </row>
    <row r="172" spans="1:12">
      <c r="A172" s="9" t="s">
        <v>199</v>
      </c>
      <c r="B172" s="11" t="s">
        <v>200</v>
      </c>
      <c r="C172" s="16" t="s">
        <v>93</v>
      </c>
      <c r="D172" s="10">
        <v>4.05</v>
      </c>
      <c r="E172" s="11">
        <f t="shared" si="13"/>
        <v>2</v>
      </c>
      <c r="F172" s="11"/>
      <c r="G172" s="23">
        <f t="shared" si="11"/>
        <v>8.1</v>
      </c>
      <c r="H172" s="11">
        <v>2</v>
      </c>
      <c r="I172" s="11"/>
      <c r="J172" s="11"/>
      <c r="K172" s="11">
        <f>H172+I172+J172</f>
        <v>2</v>
      </c>
      <c r="L172" s="12">
        <f>K172*D172</f>
        <v>8.1</v>
      </c>
    </row>
    <row r="173" spans="1:12" ht="17.25" customHeight="1">
      <c r="A173" s="9" t="s">
        <v>199</v>
      </c>
      <c r="B173" s="11" t="s">
        <v>201</v>
      </c>
      <c r="C173" s="16" t="s">
        <v>93</v>
      </c>
      <c r="D173" s="10">
        <v>4.05</v>
      </c>
      <c r="E173" s="11">
        <f t="shared" si="13"/>
        <v>4.5</v>
      </c>
      <c r="F173" s="11"/>
      <c r="G173" s="23">
        <f t="shared" si="11"/>
        <v>18.224999999999998</v>
      </c>
      <c r="H173" s="11">
        <v>2.5</v>
      </c>
      <c r="I173" s="11">
        <v>2</v>
      </c>
      <c r="J173" s="11"/>
      <c r="K173" s="11">
        <f>H173+I173+J173</f>
        <v>4.5</v>
      </c>
      <c r="L173" s="12">
        <f>K173*D173</f>
        <v>18.224999999999998</v>
      </c>
    </row>
    <row r="174" spans="1:12" ht="17.25" customHeight="1">
      <c r="A174" s="9" t="s">
        <v>199</v>
      </c>
      <c r="B174" s="11" t="s">
        <v>202</v>
      </c>
      <c r="C174" s="16" t="s">
        <v>93</v>
      </c>
      <c r="D174" s="10">
        <v>4.05</v>
      </c>
      <c r="E174" s="11">
        <f t="shared" si="13"/>
        <v>3</v>
      </c>
      <c r="F174" s="11"/>
      <c r="G174" s="23">
        <f t="shared" si="11"/>
        <v>12.149999999999999</v>
      </c>
      <c r="H174" s="11">
        <v>2</v>
      </c>
      <c r="I174" s="11">
        <v>1</v>
      </c>
      <c r="J174" s="11"/>
      <c r="K174" s="11">
        <f>H174+I174+J174</f>
        <v>3</v>
      </c>
      <c r="L174" s="12">
        <f>K174*D174</f>
        <v>12.149999999999999</v>
      </c>
    </row>
    <row r="175" spans="1:12" ht="17.25" customHeight="1">
      <c r="A175" s="9" t="s">
        <v>199</v>
      </c>
      <c r="B175" s="9" t="s">
        <v>203</v>
      </c>
      <c r="C175" s="16" t="s">
        <v>204</v>
      </c>
      <c r="D175" s="10">
        <v>1.45</v>
      </c>
      <c r="E175" s="11">
        <f t="shared" si="13"/>
        <v>36</v>
      </c>
      <c r="F175" s="11">
        <v>12</v>
      </c>
      <c r="G175" s="23">
        <f t="shared" si="11"/>
        <v>52.199999999999996</v>
      </c>
      <c r="H175" s="11">
        <v>24</v>
      </c>
      <c r="I175" s="11"/>
      <c r="J175" s="11"/>
      <c r="K175" s="11">
        <f>H175+I175+J175</f>
        <v>24</v>
      </c>
      <c r="L175" s="12">
        <f>K175*D175</f>
        <v>34.799999999999997</v>
      </c>
    </row>
    <row r="176" spans="1:12" ht="17.25" customHeight="1">
      <c r="A176" s="9" t="s">
        <v>199</v>
      </c>
      <c r="B176" s="9" t="s">
        <v>205</v>
      </c>
      <c r="C176" s="16" t="s">
        <v>28</v>
      </c>
      <c r="D176" s="23">
        <v>5.0810000000000004</v>
      </c>
      <c r="E176" s="11">
        <f t="shared" si="13"/>
        <v>36</v>
      </c>
      <c r="F176" s="11">
        <v>6</v>
      </c>
      <c r="G176" s="23">
        <f t="shared" si="11"/>
        <v>182.91600000000003</v>
      </c>
      <c r="H176" s="11">
        <v>19</v>
      </c>
      <c r="I176" s="11">
        <v>11</v>
      </c>
      <c r="J176" s="11"/>
      <c r="K176" s="11">
        <f t="shared" si="10"/>
        <v>30</v>
      </c>
      <c r="L176" s="12">
        <f>K176*D176</f>
        <v>152.43</v>
      </c>
    </row>
    <row r="177" spans="1:12">
      <c r="A177" s="9" t="s">
        <v>199</v>
      </c>
      <c r="B177" s="11" t="s">
        <v>206</v>
      </c>
      <c r="C177" s="16" t="s">
        <v>93</v>
      </c>
      <c r="D177" s="23">
        <v>13.5</v>
      </c>
      <c r="E177" s="11">
        <f t="shared" si="13"/>
        <v>2.8</v>
      </c>
      <c r="F177" s="11">
        <v>0.3</v>
      </c>
      <c r="G177" s="23">
        <f t="shared" si="11"/>
        <v>37.799999999999997</v>
      </c>
      <c r="H177" s="11">
        <v>2</v>
      </c>
      <c r="I177" s="11">
        <v>0.5</v>
      </c>
      <c r="J177" s="11"/>
      <c r="K177" s="11">
        <f>H177+I177+J177</f>
        <v>2.5</v>
      </c>
      <c r="L177" s="12">
        <f>K177*D177</f>
        <v>33.75</v>
      </c>
    </row>
    <row r="178" spans="1:12">
      <c r="A178" s="9" t="s">
        <v>199</v>
      </c>
      <c r="B178" s="11" t="s">
        <v>207</v>
      </c>
      <c r="C178" s="16" t="s">
        <v>28</v>
      </c>
      <c r="D178" s="23">
        <v>0.95799999999999996</v>
      </c>
      <c r="E178" s="11">
        <f t="shared" si="13"/>
        <v>44</v>
      </c>
      <c r="F178" s="11">
        <v>10</v>
      </c>
      <c r="G178" s="23">
        <f t="shared" si="11"/>
        <v>42.152000000000001</v>
      </c>
      <c r="H178" s="11">
        <v>26</v>
      </c>
      <c r="I178" s="11">
        <v>8</v>
      </c>
      <c r="J178" s="11"/>
      <c r="K178" s="11">
        <f>H178+I178+J178</f>
        <v>34</v>
      </c>
      <c r="L178" s="12">
        <f>K178*D178</f>
        <v>32.571999999999996</v>
      </c>
    </row>
    <row r="179" spans="1:12" ht="17.25" customHeight="1">
      <c r="A179" s="9" t="s">
        <v>199</v>
      </c>
      <c r="B179" s="9" t="s">
        <v>208</v>
      </c>
      <c r="C179" s="16" t="s">
        <v>204</v>
      </c>
      <c r="D179" s="23">
        <v>0.8</v>
      </c>
      <c r="E179" s="11">
        <f t="shared" si="13"/>
        <v>2</v>
      </c>
      <c r="F179" s="11"/>
      <c r="G179" s="23">
        <f t="shared" si="11"/>
        <v>1.6</v>
      </c>
      <c r="H179" s="11"/>
      <c r="I179" s="11">
        <v>2</v>
      </c>
      <c r="J179" s="11"/>
      <c r="K179" s="11">
        <f>H179+I179+J179</f>
        <v>2</v>
      </c>
      <c r="L179" s="12">
        <f>K179*D179</f>
        <v>1.6</v>
      </c>
    </row>
    <row r="180" spans="1:12" ht="17.25" customHeight="1">
      <c r="A180" s="9" t="s">
        <v>199</v>
      </c>
      <c r="B180" s="9" t="s">
        <v>209</v>
      </c>
      <c r="C180" s="16" t="s">
        <v>28</v>
      </c>
      <c r="D180" s="23">
        <v>6.9000000000000006E-2</v>
      </c>
      <c r="E180" s="11">
        <f t="shared" si="13"/>
        <v>109</v>
      </c>
      <c r="F180" s="11">
        <v>100</v>
      </c>
      <c r="G180" s="23">
        <f t="shared" si="11"/>
        <v>7.5210000000000008</v>
      </c>
      <c r="H180" s="11">
        <v>5</v>
      </c>
      <c r="I180" s="11">
        <v>4</v>
      </c>
      <c r="J180" s="11"/>
      <c r="K180" s="11">
        <f t="shared" si="10"/>
        <v>9</v>
      </c>
      <c r="L180" s="12">
        <f>K180*D180</f>
        <v>0.621</v>
      </c>
    </row>
    <row r="181" spans="1:12" ht="17.25" customHeight="1">
      <c r="A181" s="9" t="s">
        <v>199</v>
      </c>
      <c r="B181" s="9" t="s">
        <v>210</v>
      </c>
      <c r="C181" s="16" t="s">
        <v>14</v>
      </c>
      <c r="D181" s="23">
        <v>1.76</v>
      </c>
      <c r="E181" s="11">
        <f t="shared" si="13"/>
        <v>9</v>
      </c>
      <c r="F181" s="11"/>
      <c r="G181" s="23">
        <f t="shared" si="11"/>
        <v>15.84</v>
      </c>
      <c r="H181" s="11">
        <v>9</v>
      </c>
      <c r="I181" s="11"/>
      <c r="J181" s="11"/>
      <c r="K181" s="11">
        <f t="shared" si="10"/>
        <v>9</v>
      </c>
      <c r="L181" s="12">
        <f>K181*D181</f>
        <v>15.84</v>
      </c>
    </row>
    <row r="182" spans="1:12" ht="17.25" customHeight="1">
      <c r="A182" s="9" t="s">
        <v>199</v>
      </c>
      <c r="B182" s="9" t="s">
        <v>211</v>
      </c>
      <c r="C182" s="16" t="s">
        <v>28</v>
      </c>
      <c r="D182" s="23">
        <v>8.1000000000000003E-2</v>
      </c>
      <c r="E182" s="11">
        <f t="shared" si="13"/>
        <v>2</v>
      </c>
      <c r="F182" s="11"/>
      <c r="G182" s="23">
        <f t="shared" si="11"/>
        <v>0.16200000000000001</v>
      </c>
      <c r="H182" s="11"/>
      <c r="I182" s="11">
        <v>2</v>
      </c>
      <c r="J182" s="11"/>
      <c r="K182" s="11">
        <f t="shared" si="10"/>
        <v>2</v>
      </c>
      <c r="L182" s="12">
        <f>K182*D182</f>
        <v>0.16200000000000001</v>
      </c>
    </row>
    <row r="183" spans="1:12" ht="17.25" customHeight="1">
      <c r="A183" s="9" t="s">
        <v>199</v>
      </c>
      <c r="B183" s="9" t="s">
        <v>212</v>
      </c>
      <c r="C183" s="16" t="s">
        <v>28</v>
      </c>
      <c r="D183" s="23">
        <v>0.24399999999999999</v>
      </c>
      <c r="E183" s="11">
        <f t="shared" si="13"/>
        <v>18</v>
      </c>
      <c r="F183" s="11">
        <v>15</v>
      </c>
      <c r="G183" s="23">
        <f t="shared" si="11"/>
        <v>4.3919999999999995</v>
      </c>
      <c r="H183" s="11">
        <v>3</v>
      </c>
      <c r="I183" s="11"/>
      <c r="J183" s="11"/>
      <c r="K183" s="11">
        <f t="shared" si="10"/>
        <v>3</v>
      </c>
      <c r="L183" s="12">
        <f>K183*D183</f>
        <v>0.73199999999999998</v>
      </c>
    </row>
    <row r="184" spans="1:12" ht="17.25" customHeight="1">
      <c r="A184" s="9" t="s">
        <v>199</v>
      </c>
      <c r="B184" s="9" t="s">
        <v>213</v>
      </c>
      <c r="C184" s="16" t="s">
        <v>64</v>
      </c>
      <c r="D184" s="23">
        <v>2</v>
      </c>
      <c r="E184" s="11">
        <f t="shared" si="13"/>
        <v>3</v>
      </c>
      <c r="F184" s="11"/>
      <c r="G184" s="23">
        <f t="shared" si="11"/>
        <v>6</v>
      </c>
      <c r="H184" s="11">
        <v>3</v>
      </c>
      <c r="I184" s="11"/>
      <c r="J184" s="11"/>
      <c r="K184" s="11">
        <f t="shared" si="10"/>
        <v>3</v>
      </c>
      <c r="L184" s="12">
        <f>K184*D184</f>
        <v>6</v>
      </c>
    </row>
    <row r="185" spans="1:12" ht="17.25" customHeight="1">
      <c r="A185" s="9" t="s">
        <v>199</v>
      </c>
      <c r="B185" s="9" t="s">
        <v>214</v>
      </c>
      <c r="C185" s="16" t="s">
        <v>64</v>
      </c>
      <c r="D185" s="23">
        <v>1.5860000000000001</v>
      </c>
      <c r="E185" s="11">
        <f>K185+F185</f>
        <v>7</v>
      </c>
      <c r="F185" s="11">
        <v>1</v>
      </c>
      <c r="G185" s="23">
        <f t="shared" si="11"/>
        <v>11.102</v>
      </c>
      <c r="H185" s="11">
        <v>2</v>
      </c>
      <c r="I185" s="11">
        <v>4</v>
      </c>
      <c r="J185" s="11"/>
      <c r="K185" s="11">
        <f t="shared" si="10"/>
        <v>6</v>
      </c>
      <c r="L185" s="12">
        <f>K185*D185</f>
        <v>9.516</v>
      </c>
    </row>
    <row r="186" spans="1:12" ht="17.25" customHeight="1">
      <c r="A186" s="9" t="s">
        <v>199</v>
      </c>
      <c r="B186" s="11" t="s">
        <v>215</v>
      </c>
      <c r="C186" s="16" t="s">
        <v>64</v>
      </c>
      <c r="D186" s="23">
        <v>1.708</v>
      </c>
      <c r="E186" s="11">
        <f t="shared" si="13"/>
        <v>16</v>
      </c>
      <c r="F186" s="11">
        <v>5</v>
      </c>
      <c r="G186" s="23">
        <f t="shared" si="11"/>
        <v>27.327999999999999</v>
      </c>
      <c r="H186" s="11">
        <v>7</v>
      </c>
      <c r="I186" s="11">
        <v>4</v>
      </c>
      <c r="J186" s="11"/>
      <c r="K186" s="11">
        <f t="shared" si="10"/>
        <v>11</v>
      </c>
      <c r="L186" s="12">
        <f>K186*D186</f>
        <v>18.788</v>
      </c>
    </row>
    <row r="187" spans="1:12" ht="17.25" customHeight="1">
      <c r="A187" s="9" t="s">
        <v>199</v>
      </c>
      <c r="B187" s="11" t="s">
        <v>216</v>
      </c>
      <c r="C187" s="16" t="s">
        <v>93</v>
      </c>
      <c r="D187" s="23">
        <v>33</v>
      </c>
      <c r="E187" s="11">
        <f t="shared" si="13"/>
        <v>1.3</v>
      </c>
      <c r="F187" s="11">
        <v>0.2</v>
      </c>
      <c r="G187" s="23">
        <f t="shared" si="11"/>
        <v>42.9</v>
      </c>
      <c r="H187" s="11">
        <v>1</v>
      </c>
      <c r="I187" s="11">
        <v>0.1</v>
      </c>
      <c r="J187" s="11"/>
      <c r="K187" s="11">
        <f t="shared" si="10"/>
        <v>1.1000000000000001</v>
      </c>
      <c r="L187" s="12">
        <f>K187*D187</f>
        <v>36.300000000000004</v>
      </c>
    </row>
    <row r="188" spans="1:12" ht="17.25" customHeight="1">
      <c r="A188" s="9" t="s">
        <v>199</v>
      </c>
      <c r="B188" s="11" t="s">
        <v>217</v>
      </c>
      <c r="C188" s="16" t="s">
        <v>64</v>
      </c>
      <c r="D188" s="23">
        <v>1.22</v>
      </c>
      <c r="E188" s="11">
        <f t="shared" si="13"/>
        <v>6</v>
      </c>
      <c r="F188" s="11">
        <v>1</v>
      </c>
      <c r="G188" s="23">
        <f t="shared" si="11"/>
        <v>7.32</v>
      </c>
      <c r="H188" s="11">
        <v>1</v>
      </c>
      <c r="I188" s="13">
        <v>4</v>
      </c>
      <c r="J188" s="11"/>
      <c r="K188" s="11">
        <f>H188+I188+J188</f>
        <v>5</v>
      </c>
      <c r="L188" s="12">
        <f>K188*D188</f>
        <v>6.1</v>
      </c>
    </row>
    <row r="189" spans="1:12">
      <c r="A189" s="9" t="s">
        <v>199</v>
      </c>
      <c r="B189" s="11" t="s">
        <v>218</v>
      </c>
      <c r="C189" s="16" t="s">
        <v>64</v>
      </c>
      <c r="D189" s="23">
        <v>1.7</v>
      </c>
      <c r="E189" s="11">
        <f t="shared" si="13"/>
        <v>6</v>
      </c>
      <c r="F189" s="11">
        <v>1</v>
      </c>
      <c r="G189" s="23">
        <f t="shared" si="11"/>
        <v>10.199999999999999</v>
      </c>
      <c r="H189" s="11">
        <v>5</v>
      </c>
      <c r="I189" s="11"/>
      <c r="J189" s="11"/>
      <c r="K189" s="11">
        <f t="shared" si="10"/>
        <v>5</v>
      </c>
      <c r="L189" s="12">
        <f>K189*D189</f>
        <v>8.5</v>
      </c>
    </row>
    <row r="190" spans="1:12">
      <c r="A190" s="9" t="s">
        <v>199</v>
      </c>
      <c r="B190" s="11" t="s">
        <v>219</v>
      </c>
      <c r="C190" s="16" t="s">
        <v>64</v>
      </c>
      <c r="D190" s="23">
        <v>1.24</v>
      </c>
      <c r="E190" s="11">
        <f t="shared" si="13"/>
        <v>10</v>
      </c>
      <c r="F190" s="11">
        <v>2</v>
      </c>
      <c r="G190" s="23">
        <f t="shared" si="11"/>
        <v>12.4</v>
      </c>
      <c r="H190" s="11">
        <v>5</v>
      </c>
      <c r="I190" s="11">
        <v>3</v>
      </c>
      <c r="J190" s="11"/>
      <c r="K190" s="11">
        <f t="shared" si="10"/>
        <v>8</v>
      </c>
      <c r="L190" s="12">
        <f>K190*D190</f>
        <v>9.92</v>
      </c>
    </row>
    <row r="191" spans="1:12">
      <c r="A191" s="9" t="s">
        <v>199</v>
      </c>
      <c r="B191" s="11" t="s">
        <v>220</v>
      </c>
      <c r="C191" s="16" t="s">
        <v>64</v>
      </c>
      <c r="D191" s="23">
        <v>1.504</v>
      </c>
      <c r="E191" s="11">
        <f t="shared" si="13"/>
        <v>8</v>
      </c>
      <c r="F191" s="11">
        <v>1</v>
      </c>
      <c r="G191" s="23">
        <f t="shared" si="11"/>
        <v>12.032</v>
      </c>
      <c r="H191" s="11">
        <v>4</v>
      </c>
      <c r="I191" s="11">
        <v>3</v>
      </c>
      <c r="J191" s="11"/>
      <c r="K191" s="11">
        <f t="shared" si="10"/>
        <v>7</v>
      </c>
      <c r="L191" s="12">
        <f>K191*D191</f>
        <v>10.528</v>
      </c>
    </row>
    <row r="192" spans="1:12">
      <c r="A192" s="9" t="s">
        <v>199</v>
      </c>
      <c r="B192" s="11" t="s">
        <v>221</v>
      </c>
      <c r="C192" s="16" t="s">
        <v>28</v>
      </c>
      <c r="D192" s="23">
        <v>4.5</v>
      </c>
      <c r="E192" s="11">
        <f t="shared" si="13"/>
        <v>3.5</v>
      </c>
      <c r="F192" s="11">
        <v>1</v>
      </c>
      <c r="G192" s="23">
        <f t="shared" si="11"/>
        <v>15.75</v>
      </c>
      <c r="H192" s="11">
        <v>2</v>
      </c>
      <c r="I192" s="11">
        <v>0.5</v>
      </c>
      <c r="J192" s="11"/>
      <c r="K192" s="11">
        <f>H192+I192+J192</f>
        <v>2.5</v>
      </c>
      <c r="L192" s="12">
        <f>K192*D192</f>
        <v>11.25</v>
      </c>
    </row>
    <row r="193" spans="1:12">
      <c r="A193" s="9" t="s">
        <v>199</v>
      </c>
      <c r="B193" s="11" t="s">
        <v>222</v>
      </c>
      <c r="C193" s="16" t="s">
        <v>28</v>
      </c>
      <c r="D193" s="23">
        <v>2.1100000000000001E-2</v>
      </c>
      <c r="E193" s="11">
        <f t="shared" si="13"/>
        <v>301</v>
      </c>
      <c r="F193" s="11">
        <v>100</v>
      </c>
      <c r="G193" s="23">
        <f t="shared" si="11"/>
        <v>6.3511000000000006</v>
      </c>
      <c r="H193" s="11">
        <v>200</v>
      </c>
      <c r="I193" s="11">
        <v>1</v>
      </c>
      <c r="J193" s="11"/>
      <c r="K193" s="11">
        <f t="shared" si="10"/>
        <v>201</v>
      </c>
      <c r="L193" s="12">
        <f>K193*D193</f>
        <v>4.2411000000000003</v>
      </c>
    </row>
    <row r="194" spans="1:12">
      <c r="A194" s="9" t="s">
        <v>199</v>
      </c>
      <c r="B194" s="11" t="s">
        <v>223</v>
      </c>
      <c r="C194" s="16" t="s">
        <v>64</v>
      </c>
      <c r="D194" s="23">
        <v>5</v>
      </c>
      <c r="E194" s="11">
        <f t="shared" si="13"/>
        <v>10</v>
      </c>
      <c r="F194" s="11">
        <v>2</v>
      </c>
      <c r="G194" s="23">
        <f t="shared" si="11"/>
        <v>50</v>
      </c>
      <c r="H194" s="11">
        <v>5</v>
      </c>
      <c r="I194" s="11">
        <v>3</v>
      </c>
      <c r="J194" s="11"/>
      <c r="K194" s="11">
        <f t="shared" si="10"/>
        <v>8</v>
      </c>
      <c r="L194" s="12">
        <f>K194*D194</f>
        <v>40</v>
      </c>
    </row>
    <row r="195" spans="1:12">
      <c r="A195" s="9" t="s">
        <v>199</v>
      </c>
      <c r="B195" s="11" t="s">
        <v>224</v>
      </c>
      <c r="C195" s="16" t="s">
        <v>64</v>
      </c>
      <c r="D195" s="23">
        <v>4.0599999999999996</v>
      </c>
      <c r="E195" s="11">
        <f t="shared" si="13"/>
        <v>4.3</v>
      </c>
      <c r="F195" s="11">
        <v>0.3</v>
      </c>
      <c r="G195" s="23">
        <f t="shared" ref="G195:G255" si="15">E195*D195</f>
        <v>17.457999999999998</v>
      </c>
      <c r="H195" s="11">
        <v>4</v>
      </c>
      <c r="I195" s="11"/>
      <c r="J195" s="11"/>
      <c r="K195" s="11">
        <f t="shared" si="10"/>
        <v>4</v>
      </c>
      <c r="L195" s="12">
        <f>K195*D195</f>
        <v>16.239999999999998</v>
      </c>
    </row>
    <row r="196" spans="1:12">
      <c r="A196" s="9" t="s">
        <v>199</v>
      </c>
      <c r="B196" s="11" t="s">
        <v>225</v>
      </c>
      <c r="C196" s="16" t="s">
        <v>64</v>
      </c>
      <c r="D196" s="23">
        <v>0.28000000000000003</v>
      </c>
      <c r="E196" s="11">
        <f t="shared" si="13"/>
        <v>2</v>
      </c>
      <c r="F196" s="11">
        <v>1</v>
      </c>
      <c r="G196" s="23">
        <f t="shared" si="15"/>
        <v>0.56000000000000005</v>
      </c>
      <c r="H196" s="11">
        <v>1</v>
      </c>
      <c r="I196" s="11"/>
      <c r="J196" s="11"/>
      <c r="K196" s="11">
        <f t="shared" si="10"/>
        <v>1</v>
      </c>
      <c r="L196" s="12">
        <f>K196*D196</f>
        <v>0.28000000000000003</v>
      </c>
    </row>
    <row r="197" spans="1:12">
      <c r="A197" s="9" t="s">
        <v>199</v>
      </c>
      <c r="B197" s="11" t="s">
        <v>226</v>
      </c>
      <c r="C197" s="16" t="s">
        <v>28</v>
      </c>
      <c r="D197" s="23">
        <v>0.1105</v>
      </c>
      <c r="E197" s="11">
        <f t="shared" si="13"/>
        <v>350</v>
      </c>
      <c r="F197" s="11">
        <v>30</v>
      </c>
      <c r="G197" s="23">
        <f t="shared" si="15"/>
        <v>38.674999999999997</v>
      </c>
      <c r="H197" s="11">
        <v>220</v>
      </c>
      <c r="I197" s="11">
        <v>100</v>
      </c>
      <c r="J197" s="11"/>
      <c r="K197" s="11">
        <f t="shared" si="10"/>
        <v>320</v>
      </c>
      <c r="L197" s="12">
        <f>K197*D197</f>
        <v>35.36</v>
      </c>
    </row>
    <row r="198" spans="1:12">
      <c r="A198" s="9" t="s">
        <v>199</v>
      </c>
      <c r="B198" s="11" t="s">
        <v>227</v>
      </c>
      <c r="C198" s="16" t="s">
        <v>28</v>
      </c>
      <c r="D198" s="23">
        <v>0.70699999999999996</v>
      </c>
      <c r="E198" s="11">
        <f t="shared" si="13"/>
        <v>80</v>
      </c>
      <c r="F198" s="11">
        <v>7</v>
      </c>
      <c r="G198" s="23">
        <f t="shared" si="15"/>
        <v>56.559999999999995</v>
      </c>
      <c r="H198" s="11">
        <v>50</v>
      </c>
      <c r="I198" s="11">
        <v>23</v>
      </c>
      <c r="J198" s="11"/>
      <c r="K198" s="11">
        <f t="shared" si="10"/>
        <v>73</v>
      </c>
      <c r="L198" s="12">
        <f>K198*D198</f>
        <v>51.610999999999997</v>
      </c>
    </row>
    <row r="199" spans="1:12">
      <c r="A199" s="9" t="s">
        <v>199</v>
      </c>
      <c r="B199" s="11" t="s">
        <v>228</v>
      </c>
      <c r="C199" s="16" t="s">
        <v>28</v>
      </c>
      <c r="D199" s="23">
        <v>0.30099999999999999</v>
      </c>
      <c r="E199" s="11">
        <f t="shared" si="13"/>
        <v>49</v>
      </c>
      <c r="F199" s="11">
        <v>5</v>
      </c>
      <c r="G199" s="23">
        <f t="shared" si="15"/>
        <v>14.748999999999999</v>
      </c>
      <c r="H199" s="11">
        <v>28</v>
      </c>
      <c r="I199" s="11">
        <v>16</v>
      </c>
      <c r="J199" s="11"/>
      <c r="K199" s="11">
        <f t="shared" ref="K199:K202" si="16">H199+I199+J199</f>
        <v>44</v>
      </c>
      <c r="L199" s="12">
        <f>K199*D199</f>
        <v>13.244</v>
      </c>
    </row>
    <row r="200" spans="1:12">
      <c r="A200" s="9" t="s">
        <v>199</v>
      </c>
      <c r="B200" s="11" t="s">
        <v>229</v>
      </c>
      <c r="C200" s="16" t="s">
        <v>14</v>
      </c>
      <c r="D200" s="23">
        <v>21.5</v>
      </c>
      <c r="E200" s="11">
        <f t="shared" si="13"/>
        <v>0.5</v>
      </c>
      <c r="F200" s="11"/>
      <c r="G200" s="23">
        <f t="shared" si="15"/>
        <v>10.75</v>
      </c>
      <c r="H200" s="11">
        <v>0.5</v>
      </c>
      <c r="I200" s="11"/>
      <c r="J200" s="11"/>
      <c r="K200" s="11">
        <f t="shared" si="16"/>
        <v>0.5</v>
      </c>
      <c r="L200" s="12">
        <f>K200*D200</f>
        <v>10.75</v>
      </c>
    </row>
    <row r="201" spans="1:12">
      <c r="A201" s="9" t="s">
        <v>199</v>
      </c>
      <c r="B201" s="11" t="s">
        <v>230</v>
      </c>
      <c r="C201" s="16" t="s">
        <v>64</v>
      </c>
      <c r="D201" s="23">
        <v>2.0299999999999998</v>
      </c>
      <c r="E201" s="11">
        <f t="shared" si="13"/>
        <v>5</v>
      </c>
      <c r="F201" s="11"/>
      <c r="G201" s="23">
        <f t="shared" si="15"/>
        <v>10.149999999999999</v>
      </c>
      <c r="H201" s="11">
        <v>5</v>
      </c>
      <c r="I201" s="11"/>
      <c r="J201" s="11"/>
      <c r="K201" s="11">
        <f t="shared" si="16"/>
        <v>5</v>
      </c>
      <c r="L201" s="12">
        <f>K201*D201</f>
        <v>10.149999999999999</v>
      </c>
    </row>
    <row r="202" spans="1:12">
      <c r="A202" s="9" t="s">
        <v>199</v>
      </c>
      <c r="B202" s="11" t="s">
        <v>231</v>
      </c>
      <c r="C202" s="16" t="s">
        <v>64</v>
      </c>
      <c r="D202" s="23">
        <v>2.79</v>
      </c>
      <c r="E202" s="11">
        <f t="shared" si="13"/>
        <v>4</v>
      </c>
      <c r="F202" s="11"/>
      <c r="G202" s="23">
        <f t="shared" si="15"/>
        <v>11.16</v>
      </c>
      <c r="H202" s="11">
        <v>4</v>
      </c>
      <c r="I202" s="11"/>
      <c r="J202" s="11"/>
      <c r="K202" s="11">
        <f t="shared" si="16"/>
        <v>4</v>
      </c>
      <c r="L202" s="12">
        <f>K202*D202</f>
        <v>11.16</v>
      </c>
    </row>
    <row r="203" spans="1:12">
      <c r="A203" s="9" t="s">
        <v>232</v>
      </c>
      <c r="B203" s="9" t="s">
        <v>233</v>
      </c>
      <c r="C203" s="16" t="s">
        <v>28</v>
      </c>
      <c r="D203" s="23">
        <v>58.69</v>
      </c>
      <c r="E203" s="11">
        <f t="shared" si="13"/>
        <v>1</v>
      </c>
      <c r="F203" s="11"/>
      <c r="G203" s="23">
        <f t="shared" si="15"/>
        <v>58.69</v>
      </c>
      <c r="H203" s="11">
        <v>1</v>
      </c>
      <c r="I203" s="11"/>
      <c r="J203" s="11"/>
      <c r="K203" s="11">
        <f t="shared" si="10"/>
        <v>1</v>
      </c>
      <c r="L203" s="12">
        <f>K203*D203</f>
        <v>58.69</v>
      </c>
    </row>
    <row r="204" spans="1:12">
      <c r="A204" s="9" t="s">
        <v>232</v>
      </c>
      <c r="B204" s="9" t="s">
        <v>234</v>
      </c>
      <c r="C204" s="16" t="s">
        <v>28</v>
      </c>
      <c r="D204" s="10">
        <v>4.8000000000000001E-2</v>
      </c>
      <c r="E204" s="11">
        <f t="shared" si="13"/>
        <v>2800</v>
      </c>
      <c r="F204" s="11">
        <v>200</v>
      </c>
      <c r="G204" s="23">
        <f t="shared" si="15"/>
        <v>134.4</v>
      </c>
      <c r="H204" s="22">
        <v>1800</v>
      </c>
      <c r="I204" s="11">
        <v>800</v>
      </c>
      <c r="J204" s="11"/>
      <c r="K204" s="11">
        <f t="shared" si="10"/>
        <v>2600</v>
      </c>
      <c r="L204" s="12">
        <f>K204*D204</f>
        <v>124.8</v>
      </c>
    </row>
    <row r="205" spans="1:12">
      <c r="A205" s="9" t="s">
        <v>232</v>
      </c>
      <c r="B205" s="9" t="s">
        <v>235</v>
      </c>
      <c r="C205" s="16" t="s">
        <v>18</v>
      </c>
      <c r="D205" s="10">
        <v>34.966000000000001</v>
      </c>
      <c r="E205" s="11">
        <f t="shared" si="13"/>
        <v>2</v>
      </c>
      <c r="F205" s="11">
        <v>0.5</v>
      </c>
      <c r="G205" s="23">
        <f t="shared" si="15"/>
        <v>69.932000000000002</v>
      </c>
      <c r="H205" s="11">
        <v>1.5</v>
      </c>
      <c r="I205" s="11"/>
      <c r="J205" s="11"/>
      <c r="K205" s="11">
        <f t="shared" si="10"/>
        <v>1.5</v>
      </c>
      <c r="L205" s="12">
        <f>K205*D205</f>
        <v>52.448999999999998</v>
      </c>
    </row>
    <row r="206" spans="1:12">
      <c r="A206" s="9" t="s">
        <v>232</v>
      </c>
      <c r="B206" s="9" t="s">
        <v>236</v>
      </c>
      <c r="C206" s="16" t="s">
        <v>14</v>
      </c>
      <c r="D206" s="10">
        <v>16.666</v>
      </c>
      <c r="E206" s="11">
        <f t="shared" si="13"/>
        <v>2</v>
      </c>
      <c r="F206" s="11"/>
      <c r="G206" s="23">
        <f t="shared" si="15"/>
        <v>33.332000000000001</v>
      </c>
      <c r="H206" s="11">
        <v>2</v>
      </c>
      <c r="I206" s="11"/>
      <c r="J206" s="11"/>
      <c r="K206" s="11">
        <f t="shared" si="10"/>
        <v>2</v>
      </c>
      <c r="L206" s="12">
        <f>K206*D206</f>
        <v>33.332000000000001</v>
      </c>
    </row>
    <row r="207" spans="1:12" ht="17.25" customHeight="1">
      <c r="A207" s="9" t="s">
        <v>232</v>
      </c>
      <c r="B207" s="9" t="s">
        <v>237</v>
      </c>
      <c r="C207" s="16" t="s">
        <v>28</v>
      </c>
      <c r="D207" s="10">
        <v>2.92E-2</v>
      </c>
      <c r="E207" s="11">
        <f t="shared" si="13"/>
        <v>118</v>
      </c>
      <c r="F207" s="11"/>
      <c r="G207" s="23">
        <f t="shared" si="15"/>
        <v>3.4456000000000002</v>
      </c>
      <c r="H207" s="11">
        <f>+(100+18)</f>
        <v>118</v>
      </c>
      <c r="I207" s="11"/>
      <c r="J207" s="11"/>
      <c r="K207" s="11">
        <f>H207+I207+J207</f>
        <v>118</v>
      </c>
      <c r="L207" s="12">
        <f>K207*D207</f>
        <v>3.4456000000000002</v>
      </c>
    </row>
    <row r="208" spans="1:12">
      <c r="A208" s="9" t="s">
        <v>238</v>
      </c>
      <c r="B208" s="11" t="s">
        <v>239</v>
      </c>
      <c r="C208" s="16" t="s">
        <v>28</v>
      </c>
      <c r="D208" s="31">
        <v>1.24</v>
      </c>
      <c r="E208" s="11">
        <f t="shared" si="13"/>
        <v>0</v>
      </c>
      <c r="F208" s="11"/>
      <c r="G208" s="23">
        <f t="shared" si="15"/>
        <v>0</v>
      </c>
      <c r="H208" s="11">
        <v>0</v>
      </c>
      <c r="I208" s="11"/>
      <c r="J208" s="11"/>
      <c r="K208" s="11">
        <f t="shared" si="10"/>
        <v>0</v>
      </c>
      <c r="L208" s="12">
        <f>K208*D208</f>
        <v>0</v>
      </c>
    </row>
    <row r="209" spans="1:12">
      <c r="A209" s="9" t="s">
        <v>240</v>
      </c>
      <c r="B209" s="11" t="s">
        <v>241</v>
      </c>
      <c r="C209" s="16" t="s">
        <v>28</v>
      </c>
      <c r="D209" s="10">
        <v>0.19800000000000001</v>
      </c>
      <c r="E209" s="11">
        <f t="shared" si="13"/>
        <v>76</v>
      </c>
      <c r="F209" s="11"/>
      <c r="G209" s="23">
        <f t="shared" si="15"/>
        <v>15.048</v>
      </c>
      <c r="H209" s="11">
        <v>38</v>
      </c>
      <c r="I209" s="11">
        <v>38</v>
      </c>
      <c r="J209" s="11"/>
      <c r="K209" s="11">
        <f t="shared" si="10"/>
        <v>76</v>
      </c>
      <c r="L209" s="12">
        <f>K209*D209</f>
        <v>15.048</v>
      </c>
    </row>
    <row r="210" spans="1:12">
      <c r="A210" s="9" t="s">
        <v>240</v>
      </c>
      <c r="B210" s="11" t="s">
        <v>242</v>
      </c>
      <c r="C210" s="16" t="s">
        <v>28</v>
      </c>
      <c r="D210" s="10">
        <v>0.48799999999999999</v>
      </c>
      <c r="E210" s="11">
        <f t="shared" si="13"/>
        <v>38</v>
      </c>
      <c r="F210" s="11"/>
      <c r="G210" s="23">
        <f t="shared" si="15"/>
        <v>18.544</v>
      </c>
      <c r="H210" s="11">
        <f>+(15+13)</f>
        <v>28</v>
      </c>
      <c r="I210" s="11">
        <v>10</v>
      </c>
      <c r="J210" s="11"/>
      <c r="K210" s="11">
        <f t="shared" si="10"/>
        <v>38</v>
      </c>
      <c r="L210" s="12">
        <f>K210*D210</f>
        <v>18.544</v>
      </c>
    </row>
    <row r="211" spans="1:12">
      <c r="A211" s="9" t="s">
        <v>240</v>
      </c>
      <c r="B211" s="11" t="s">
        <v>243</v>
      </c>
      <c r="C211" s="16" t="s">
        <v>28</v>
      </c>
      <c r="D211" s="10">
        <v>0.48899999999999999</v>
      </c>
      <c r="E211" s="11">
        <f t="shared" si="13"/>
        <v>16</v>
      </c>
      <c r="F211" s="11"/>
      <c r="G211" s="23">
        <f t="shared" si="15"/>
        <v>7.8239999999999998</v>
      </c>
      <c r="H211" s="11">
        <v>8</v>
      </c>
      <c r="I211" s="11">
        <v>8</v>
      </c>
      <c r="J211" s="11"/>
      <c r="K211" s="11">
        <f t="shared" si="10"/>
        <v>16</v>
      </c>
      <c r="L211" s="12">
        <f>K211*D211</f>
        <v>7.8239999999999998</v>
      </c>
    </row>
    <row r="212" spans="1:12">
      <c r="A212" s="9" t="s">
        <v>240</v>
      </c>
      <c r="B212" s="11" t="s">
        <v>244</v>
      </c>
      <c r="C212" s="16" t="s">
        <v>28</v>
      </c>
      <c r="D212" s="10">
        <v>0.314</v>
      </c>
      <c r="E212" s="11">
        <f t="shared" si="13"/>
        <v>48</v>
      </c>
      <c r="F212" s="11"/>
      <c r="G212" s="23">
        <f t="shared" si="15"/>
        <v>15.071999999999999</v>
      </c>
      <c r="H212" s="11">
        <f>+(24+7)</f>
        <v>31</v>
      </c>
      <c r="I212" s="11">
        <v>17</v>
      </c>
      <c r="J212" s="11"/>
      <c r="K212" s="11">
        <f t="shared" si="10"/>
        <v>48</v>
      </c>
      <c r="L212" s="12">
        <f>K212*D212</f>
        <v>15.071999999999999</v>
      </c>
    </row>
    <row r="213" spans="1:12">
      <c r="A213" s="9" t="s">
        <v>240</v>
      </c>
      <c r="B213" s="11" t="s">
        <v>245</v>
      </c>
      <c r="C213" s="16" t="s">
        <v>28</v>
      </c>
      <c r="D213" s="10">
        <v>0.47099999999999997</v>
      </c>
      <c r="E213" s="11">
        <f t="shared" si="13"/>
        <v>33</v>
      </c>
      <c r="F213" s="11"/>
      <c r="G213" s="23">
        <f t="shared" si="15"/>
        <v>15.542999999999999</v>
      </c>
      <c r="H213" s="11">
        <v>19</v>
      </c>
      <c r="I213" s="11">
        <v>14</v>
      </c>
      <c r="J213" s="11"/>
      <c r="K213" s="11">
        <f t="shared" si="10"/>
        <v>33</v>
      </c>
      <c r="L213" s="12">
        <f>K213*D213</f>
        <v>15.542999999999999</v>
      </c>
    </row>
    <row r="214" spans="1:12">
      <c r="A214" s="9" t="s">
        <v>240</v>
      </c>
      <c r="B214" s="11" t="s">
        <v>246</v>
      </c>
      <c r="C214" s="16" t="s">
        <v>28</v>
      </c>
      <c r="D214" s="10">
        <v>0.47099999999999997</v>
      </c>
      <c r="E214" s="11">
        <f t="shared" si="13"/>
        <v>44</v>
      </c>
      <c r="F214" s="11"/>
      <c r="G214" s="23">
        <f t="shared" si="15"/>
        <v>20.724</v>
      </c>
      <c r="H214" s="11">
        <v>29</v>
      </c>
      <c r="I214" s="11">
        <v>15</v>
      </c>
      <c r="J214" s="11"/>
      <c r="K214" s="11">
        <f t="shared" si="10"/>
        <v>44</v>
      </c>
      <c r="L214" s="12">
        <f>K214*D214</f>
        <v>20.724</v>
      </c>
    </row>
    <row r="215" spans="1:12">
      <c r="A215" s="9" t="s">
        <v>240</v>
      </c>
      <c r="B215" s="11" t="s">
        <v>247</v>
      </c>
      <c r="C215" s="16" t="s">
        <v>28</v>
      </c>
      <c r="D215" s="10">
        <v>0.47099999999999997</v>
      </c>
      <c r="E215" s="11">
        <f t="shared" si="13"/>
        <v>32</v>
      </c>
      <c r="F215" s="11"/>
      <c r="G215" s="23">
        <f t="shared" si="15"/>
        <v>15.071999999999999</v>
      </c>
      <c r="H215" s="11">
        <v>26</v>
      </c>
      <c r="I215" s="11">
        <v>6</v>
      </c>
      <c r="J215" s="11"/>
      <c r="K215" s="11">
        <f t="shared" si="10"/>
        <v>32</v>
      </c>
      <c r="L215" s="12">
        <f>K215*D215</f>
        <v>15.071999999999999</v>
      </c>
    </row>
    <row r="216" spans="1:12">
      <c r="A216" s="9" t="s">
        <v>240</v>
      </c>
      <c r="B216" s="11" t="s">
        <v>248</v>
      </c>
      <c r="C216" s="16" t="s">
        <v>28</v>
      </c>
      <c r="D216" s="10">
        <v>0.56200000000000006</v>
      </c>
      <c r="E216" s="11">
        <f t="shared" si="13"/>
        <v>35</v>
      </c>
      <c r="F216" s="11"/>
      <c r="G216" s="23">
        <f t="shared" si="15"/>
        <v>19.670000000000002</v>
      </c>
      <c r="H216" s="11">
        <v>23</v>
      </c>
      <c r="I216" s="11">
        <v>12</v>
      </c>
      <c r="J216" s="11"/>
      <c r="K216" s="11">
        <f t="shared" ref="K216:K233" si="17">H216+I216+J216</f>
        <v>35</v>
      </c>
      <c r="L216" s="12">
        <f>K216*D216</f>
        <v>19.670000000000002</v>
      </c>
    </row>
    <row r="217" spans="1:12">
      <c r="A217" s="9" t="s">
        <v>240</v>
      </c>
      <c r="B217" s="11" t="s">
        <v>249</v>
      </c>
      <c r="C217" s="16" t="s">
        <v>28</v>
      </c>
      <c r="D217" s="10">
        <v>0.56200000000000006</v>
      </c>
      <c r="E217" s="11">
        <f t="shared" si="13"/>
        <v>40</v>
      </c>
      <c r="F217" s="11"/>
      <c r="G217" s="23">
        <f t="shared" si="15"/>
        <v>22.480000000000004</v>
      </c>
      <c r="H217" s="11">
        <v>26</v>
      </c>
      <c r="I217" s="11">
        <v>14</v>
      </c>
      <c r="J217" s="11"/>
      <c r="K217" s="11">
        <f t="shared" si="17"/>
        <v>40</v>
      </c>
      <c r="L217" s="12">
        <f>K217*D217</f>
        <v>22.480000000000004</v>
      </c>
    </row>
    <row r="218" spans="1:12">
      <c r="A218" s="9" t="s">
        <v>250</v>
      </c>
      <c r="B218" s="9" t="s">
        <v>251</v>
      </c>
      <c r="C218" s="16" t="s">
        <v>14</v>
      </c>
      <c r="D218" s="10">
        <v>6.5250000000000004</v>
      </c>
      <c r="E218" s="11">
        <f t="shared" si="13"/>
        <v>20.9</v>
      </c>
      <c r="F218" s="11">
        <v>6.9</v>
      </c>
      <c r="G218" s="23">
        <f t="shared" si="15"/>
        <v>136.3725</v>
      </c>
      <c r="H218" s="11">
        <v>14</v>
      </c>
      <c r="I218" s="11"/>
      <c r="J218" s="11"/>
      <c r="K218" s="11">
        <f>H218+I218+J218</f>
        <v>14</v>
      </c>
      <c r="L218" s="12">
        <f>K218*D218</f>
        <v>91.350000000000009</v>
      </c>
    </row>
    <row r="219" spans="1:12">
      <c r="A219" s="9" t="s">
        <v>250</v>
      </c>
      <c r="B219" s="9" t="s">
        <v>252</v>
      </c>
      <c r="C219" s="16" t="s">
        <v>28</v>
      </c>
      <c r="D219" s="10">
        <v>0.13300000000000001</v>
      </c>
      <c r="E219" s="11">
        <f t="shared" si="13"/>
        <v>1100</v>
      </c>
      <c r="F219" s="11"/>
      <c r="G219" s="23">
        <f t="shared" si="15"/>
        <v>146.30000000000001</v>
      </c>
      <c r="H219" s="11">
        <v>480</v>
      </c>
      <c r="I219" s="11">
        <v>620</v>
      </c>
      <c r="J219" s="11"/>
      <c r="K219" s="11">
        <f>H219+I219+J219</f>
        <v>1100</v>
      </c>
      <c r="L219" s="12">
        <f>K219*D219</f>
        <v>146.30000000000001</v>
      </c>
    </row>
    <row r="220" spans="1:12">
      <c r="A220" s="9" t="s">
        <v>250</v>
      </c>
      <c r="B220" s="9" t="s">
        <v>253</v>
      </c>
      <c r="C220" s="16" t="s">
        <v>28</v>
      </c>
      <c r="D220" s="10">
        <v>0.14099999999999999</v>
      </c>
      <c r="E220" s="11">
        <f t="shared" ref="E220:E255" si="18">K220+F220</f>
        <v>1320</v>
      </c>
      <c r="F220" s="11"/>
      <c r="G220" s="23">
        <f t="shared" si="15"/>
        <v>186.11999999999998</v>
      </c>
      <c r="H220" s="11">
        <v>840</v>
      </c>
      <c r="I220" s="11">
        <v>480</v>
      </c>
      <c r="J220" s="11"/>
      <c r="K220" s="11">
        <f>H220+I220+J220</f>
        <v>1320</v>
      </c>
      <c r="L220" s="12">
        <f>K220*D220</f>
        <v>186.11999999999998</v>
      </c>
    </row>
    <row r="221" spans="1:12">
      <c r="A221" s="9" t="s">
        <v>250</v>
      </c>
      <c r="B221" s="9" t="s">
        <v>254</v>
      </c>
      <c r="C221" s="16" t="s">
        <v>28</v>
      </c>
      <c r="D221" s="23">
        <v>0.70660000000000001</v>
      </c>
      <c r="E221" s="11">
        <f t="shared" si="18"/>
        <v>150</v>
      </c>
      <c r="F221" s="11">
        <v>20</v>
      </c>
      <c r="G221" s="23">
        <f t="shared" si="15"/>
        <v>105.99</v>
      </c>
      <c r="H221" s="11">
        <v>91</v>
      </c>
      <c r="I221" s="11">
        <v>39</v>
      </c>
      <c r="J221" s="11"/>
      <c r="K221" s="11">
        <f>H221+I221+J221</f>
        <v>130</v>
      </c>
      <c r="L221" s="12">
        <f>K221*D221</f>
        <v>91.858000000000004</v>
      </c>
    </row>
    <row r="222" spans="1:12">
      <c r="A222" s="9" t="s">
        <v>250</v>
      </c>
      <c r="B222" s="9" t="s">
        <v>255</v>
      </c>
      <c r="C222" s="16" t="s">
        <v>28</v>
      </c>
      <c r="D222" s="23">
        <v>0.94130000000000003</v>
      </c>
      <c r="E222" s="11">
        <f t="shared" si="18"/>
        <v>132</v>
      </c>
      <c r="F222" s="11">
        <v>20</v>
      </c>
      <c r="G222" s="23">
        <f t="shared" si="15"/>
        <v>124.2516</v>
      </c>
      <c r="H222" s="11">
        <f>+(60+17+7)</f>
        <v>84</v>
      </c>
      <c r="I222" s="11">
        <v>28</v>
      </c>
      <c r="J222" s="11"/>
      <c r="K222" s="11">
        <f>H222+I222+J222</f>
        <v>112</v>
      </c>
      <c r="L222" s="12">
        <f>K222*D222</f>
        <v>105.4256</v>
      </c>
    </row>
    <row r="223" spans="1:12">
      <c r="A223" s="9" t="s">
        <v>250</v>
      </c>
      <c r="B223" s="9" t="s">
        <v>256</v>
      </c>
      <c r="C223" s="16" t="s">
        <v>28</v>
      </c>
      <c r="D223" s="23">
        <v>1.1101000000000001</v>
      </c>
      <c r="E223" s="11">
        <f t="shared" si="18"/>
        <v>41</v>
      </c>
      <c r="F223" s="11">
        <v>10</v>
      </c>
      <c r="G223" s="23">
        <f t="shared" si="15"/>
        <v>45.514100000000006</v>
      </c>
      <c r="H223" s="11">
        <v>22</v>
      </c>
      <c r="I223" s="11">
        <v>9</v>
      </c>
      <c r="J223" s="11"/>
      <c r="K223" s="11">
        <f>H223+I223+J223</f>
        <v>31</v>
      </c>
      <c r="L223" s="12">
        <f>K223*D223</f>
        <v>34.4131</v>
      </c>
    </row>
    <row r="224" spans="1:12">
      <c r="A224" s="11" t="s">
        <v>250</v>
      </c>
      <c r="B224" s="11" t="s">
        <v>257</v>
      </c>
      <c r="C224" s="17" t="s">
        <v>93</v>
      </c>
      <c r="D224" s="10">
        <v>110</v>
      </c>
      <c r="E224" s="11">
        <f t="shared" si="18"/>
        <v>10.8</v>
      </c>
      <c r="F224" s="11">
        <v>10</v>
      </c>
      <c r="G224" s="23">
        <f t="shared" si="15"/>
        <v>1188</v>
      </c>
      <c r="H224" s="11">
        <v>0.8</v>
      </c>
      <c r="I224" s="11"/>
      <c r="J224" s="14"/>
      <c r="K224" s="11">
        <f t="shared" ref="K224:K225" si="19">H224+I224+J224</f>
        <v>0.8</v>
      </c>
      <c r="L224" s="12">
        <f>K224*D224</f>
        <v>88</v>
      </c>
    </row>
    <row r="225" spans="1:12">
      <c r="A225" s="11" t="s">
        <v>250</v>
      </c>
      <c r="B225" s="11" t="s">
        <v>258</v>
      </c>
      <c r="C225" s="17" t="s">
        <v>93</v>
      </c>
      <c r="D225" s="10">
        <v>110</v>
      </c>
      <c r="E225" s="11">
        <f t="shared" si="18"/>
        <v>11</v>
      </c>
      <c r="F225" s="11">
        <v>10</v>
      </c>
      <c r="G225" s="23">
        <f t="shared" si="15"/>
        <v>1210</v>
      </c>
      <c r="H225" s="11">
        <v>1</v>
      </c>
      <c r="I225" s="11"/>
      <c r="J225" s="14"/>
      <c r="K225" s="11">
        <f t="shared" si="19"/>
        <v>1</v>
      </c>
      <c r="L225" s="12">
        <f>K225*D225</f>
        <v>110</v>
      </c>
    </row>
    <row r="226" spans="1:12">
      <c r="A226" s="9" t="s">
        <v>250</v>
      </c>
      <c r="B226" s="9" t="s">
        <v>259</v>
      </c>
      <c r="C226" s="16" t="s">
        <v>14</v>
      </c>
      <c r="D226" s="10">
        <v>12.44</v>
      </c>
      <c r="E226" s="11">
        <f t="shared" si="18"/>
        <v>0</v>
      </c>
      <c r="F226" s="11"/>
      <c r="G226" s="23">
        <f t="shared" si="15"/>
        <v>0</v>
      </c>
      <c r="H226" s="11">
        <v>0</v>
      </c>
      <c r="I226" s="11"/>
      <c r="J226" s="11"/>
      <c r="K226" s="11">
        <f t="shared" si="17"/>
        <v>0</v>
      </c>
      <c r="L226" s="12">
        <f>K226*D226</f>
        <v>0</v>
      </c>
    </row>
    <row r="227" spans="1:12">
      <c r="A227" s="11" t="s">
        <v>250</v>
      </c>
      <c r="B227" s="11" t="s">
        <v>260</v>
      </c>
      <c r="C227" s="17" t="s">
        <v>14</v>
      </c>
      <c r="D227" s="10">
        <v>12.315</v>
      </c>
      <c r="E227" s="11">
        <f t="shared" si="18"/>
        <v>36</v>
      </c>
      <c r="F227" s="11">
        <v>7</v>
      </c>
      <c r="G227" s="23">
        <f t="shared" si="15"/>
        <v>443.34</v>
      </c>
      <c r="H227" s="11">
        <v>29</v>
      </c>
      <c r="I227" s="11"/>
      <c r="J227" s="14"/>
      <c r="K227" s="11">
        <f>H227+I227+J227</f>
        <v>29</v>
      </c>
      <c r="L227" s="12">
        <f>K227*D227</f>
        <v>357.13499999999999</v>
      </c>
    </row>
    <row r="228" spans="1:12">
      <c r="A228" s="11" t="s">
        <v>250</v>
      </c>
      <c r="B228" s="11" t="s">
        <v>261</v>
      </c>
      <c r="C228" s="17" t="s">
        <v>18</v>
      </c>
      <c r="D228" s="10">
        <v>9.8475000000000001</v>
      </c>
      <c r="E228" s="11">
        <f t="shared" si="18"/>
        <v>6.6</v>
      </c>
      <c r="F228" s="11">
        <v>0.6</v>
      </c>
      <c r="G228" s="23">
        <f t="shared" si="15"/>
        <v>64.993499999999997</v>
      </c>
      <c r="H228" s="11">
        <v>6</v>
      </c>
      <c r="I228" s="11"/>
      <c r="J228" s="14"/>
      <c r="K228" s="11">
        <f>H228+I228+J228</f>
        <v>6</v>
      </c>
      <c r="L228" s="12">
        <f>K228*D228</f>
        <v>59.085000000000001</v>
      </c>
    </row>
    <row r="229" spans="1:12">
      <c r="A229" s="11" t="s">
        <v>250</v>
      </c>
      <c r="B229" s="11" t="s">
        <v>262</v>
      </c>
      <c r="C229" s="17" t="s">
        <v>14</v>
      </c>
      <c r="D229" s="10">
        <v>12.03</v>
      </c>
      <c r="E229" s="11">
        <f t="shared" si="18"/>
        <v>23</v>
      </c>
      <c r="F229" s="11"/>
      <c r="G229" s="23">
        <f t="shared" si="15"/>
        <v>276.69</v>
      </c>
      <c r="H229" s="11">
        <v>23</v>
      </c>
      <c r="I229" s="11"/>
      <c r="J229" s="14"/>
      <c r="K229" s="11">
        <f>H229+I229+J229</f>
        <v>23</v>
      </c>
      <c r="L229" s="12">
        <f>K229*D229</f>
        <v>276.69</v>
      </c>
    </row>
    <row r="230" spans="1:12">
      <c r="A230" s="11" t="s">
        <v>250</v>
      </c>
      <c r="B230" s="11" t="s">
        <v>263</v>
      </c>
      <c r="C230" s="17" t="s">
        <v>28</v>
      </c>
      <c r="D230" s="23">
        <v>5.4199999999999998E-2</v>
      </c>
      <c r="E230" s="11">
        <f t="shared" si="18"/>
        <v>0</v>
      </c>
      <c r="F230" s="11"/>
      <c r="G230" s="23">
        <f t="shared" si="15"/>
        <v>0</v>
      </c>
      <c r="H230" s="11">
        <v>0</v>
      </c>
      <c r="I230" s="11"/>
      <c r="J230" s="11"/>
      <c r="K230" s="11">
        <f t="shared" si="17"/>
        <v>0</v>
      </c>
      <c r="L230" s="12">
        <f>K230*D230</f>
        <v>0</v>
      </c>
    </row>
    <row r="231" spans="1:12">
      <c r="A231" s="11" t="s">
        <v>250</v>
      </c>
      <c r="B231" s="11" t="s">
        <v>264</v>
      </c>
      <c r="C231" s="17" t="s">
        <v>28</v>
      </c>
      <c r="D231" s="23">
        <v>5.6899999999999999E-2</v>
      </c>
      <c r="E231" s="11">
        <f t="shared" si="18"/>
        <v>4500</v>
      </c>
      <c r="F231" s="11"/>
      <c r="G231" s="23">
        <f t="shared" si="15"/>
        <v>256.05</v>
      </c>
      <c r="H231" s="11">
        <v>4500</v>
      </c>
      <c r="I231" s="11"/>
      <c r="J231" s="11"/>
      <c r="K231" s="11">
        <f t="shared" si="17"/>
        <v>4500</v>
      </c>
      <c r="L231" s="12">
        <f>K231*D231</f>
        <v>256.05</v>
      </c>
    </row>
    <row r="232" spans="1:12">
      <c r="A232" s="11" t="s">
        <v>250</v>
      </c>
      <c r="B232" s="11" t="s">
        <v>265</v>
      </c>
      <c r="C232" s="17" t="s">
        <v>28</v>
      </c>
      <c r="D232" s="23">
        <v>5.6899999999999999E-2</v>
      </c>
      <c r="E232" s="11">
        <f t="shared" si="18"/>
        <v>2250</v>
      </c>
      <c r="F232" s="11"/>
      <c r="G232" s="23">
        <f t="shared" si="15"/>
        <v>128.02500000000001</v>
      </c>
      <c r="H232" s="11">
        <v>2250</v>
      </c>
      <c r="I232" s="11"/>
      <c r="J232" s="11"/>
      <c r="K232" s="11">
        <f t="shared" si="17"/>
        <v>2250</v>
      </c>
      <c r="L232" s="12">
        <f>K232*D232</f>
        <v>128.02500000000001</v>
      </c>
    </row>
    <row r="233" spans="1:12">
      <c r="A233" s="11" t="s">
        <v>250</v>
      </c>
      <c r="B233" s="11" t="s">
        <v>266</v>
      </c>
      <c r="C233" s="17" t="s">
        <v>28</v>
      </c>
      <c r="D233" s="10">
        <v>2.3E-2</v>
      </c>
      <c r="E233" s="11">
        <f t="shared" si="18"/>
        <v>16200</v>
      </c>
      <c r="F233" s="11">
        <v>1500</v>
      </c>
      <c r="G233" s="23">
        <f t="shared" si="15"/>
        <v>372.59999999999997</v>
      </c>
      <c r="H233" s="11">
        <v>11200</v>
      </c>
      <c r="I233" s="11">
        <v>3500</v>
      </c>
      <c r="J233" s="11"/>
      <c r="K233" s="11">
        <f t="shared" si="17"/>
        <v>14700</v>
      </c>
      <c r="L233" s="12">
        <f>K233*D233</f>
        <v>338.09999999999997</v>
      </c>
    </row>
    <row r="234" spans="1:12">
      <c r="A234" s="5" t="s">
        <v>250</v>
      </c>
      <c r="B234" s="5" t="s">
        <v>267</v>
      </c>
      <c r="C234" s="18" t="s">
        <v>28</v>
      </c>
      <c r="D234" s="10">
        <v>7</v>
      </c>
      <c r="E234" s="11">
        <f t="shared" si="18"/>
        <v>2</v>
      </c>
      <c r="F234" s="11"/>
      <c r="G234" s="23">
        <f t="shared" si="15"/>
        <v>14</v>
      </c>
      <c r="H234" s="11">
        <v>2</v>
      </c>
      <c r="I234" s="6"/>
      <c r="J234" s="6"/>
      <c r="K234" s="11">
        <f>H234+I234+J234</f>
        <v>2</v>
      </c>
      <c r="L234" s="12">
        <f>K234*D234</f>
        <v>14</v>
      </c>
    </row>
    <row r="235" spans="1:12">
      <c r="A235" s="5" t="s">
        <v>250</v>
      </c>
      <c r="B235" s="5" t="s">
        <v>268</v>
      </c>
      <c r="C235" s="18" t="s">
        <v>14</v>
      </c>
      <c r="D235" s="10">
        <v>5.7</v>
      </c>
      <c r="E235" s="11">
        <f t="shared" si="18"/>
        <v>13.4</v>
      </c>
      <c r="F235" s="11">
        <v>8.4</v>
      </c>
      <c r="G235" s="23">
        <f t="shared" si="15"/>
        <v>76.38000000000001</v>
      </c>
      <c r="H235" s="11">
        <v>5</v>
      </c>
      <c r="I235" s="6"/>
      <c r="J235" s="6"/>
      <c r="K235" s="11">
        <f>H235+I235+J235</f>
        <v>5</v>
      </c>
      <c r="L235" s="12">
        <f>K235*D235</f>
        <v>28.5</v>
      </c>
    </row>
    <row r="236" spans="1:12">
      <c r="A236" s="11" t="s">
        <v>250</v>
      </c>
      <c r="B236" s="11" t="s">
        <v>269</v>
      </c>
      <c r="C236" s="17" t="s">
        <v>14</v>
      </c>
      <c r="D236" s="10">
        <v>27.99</v>
      </c>
      <c r="E236" s="11">
        <f t="shared" si="18"/>
        <v>3.5</v>
      </c>
      <c r="F236" s="11">
        <v>0.5</v>
      </c>
      <c r="G236" s="23">
        <f t="shared" si="15"/>
        <v>97.964999999999989</v>
      </c>
      <c r="H236" s="11">
        <v>3</v>
      </c>
      <c r="I236" s="11"/>
      <c r="J236" s="14"/>
      <c r="K236" s="11">
        <f>H236+I236+J236</f>
        <v>3</v>
      </c>
      <c r="L236" s="12">
        <f>K236*D236</f>
        <v>83.97</v>
      </c>
    </row>
    <row r="237" spans="1:12">
      <c r="A237" s="11" t="s">
        <v>270</v>
      </c>
      <c r="B237" s="5" t="s">
        <v>271</v>
      </c>
      <c r="C237" s="18" t="s">
        <v>28</v>
      </c>
      <c r="D237" s="10">
        <v>9.9</v>
      </c>
      <c r="E237" s="11">
        <f t="shared" si="18"/>
        <v>2</v>
      </c>
      <c r="F237" s="11"/>
      <c r="G237" s="23">
        <f t="shared" si="15"/>
        <v>19.8</v>
      </c>
      <c r="H237" s="11">
        <v>2</v>
      </c>
      <c r="I237" s="6"/>
      <c r="J237" s="6"/>
      <c r="K237" s="11">
        <f t="shared" ref="K237:K252" si="20">H237+I237+J237</f>
        <v>2</v>
      </c>
      <c r="L237" s="12">
        <f>K237*D237</f>
        <v>19.8</v>
      </c>
    </row>
    <row r="238" spans="1:12">
      <c r="A238" s="11"/>
      <c r="B238" s="5" t="s">
        <v>272</v>
      </c>
      <c r="C238" s="18" t="s">
        <v>14</v>
      </c>
      <c r="D238" s="10">
        <v>5.67</v>
      </c>
      <c r="E238" s="11">
        <f t="shared" si="18"/>
        <v>0.5</v>
      </c>
      <c r="F238" s="11"/>
      <c r="G238" s="23">
        <f t="shared" si="15"/>
        <v>2.835</v>
      </c>
      <c r="H238" s="11">
        <v>0.5</v>
      </c>
      <c r="I238" s="6"/>
      <c r="J238" s="6"/>
      <c r="K238" s="11">
        <f t="shared" si="20"/>
        <v>0.5</v>
      </c>
      <c r="L238" s="12">
        <f>K238*D238</f>
        <v>2.835</v>
      </c>
    </row>
    <row r="239" spans="1:12">
      <c r="A239" s="20" t="s">
        <v>273</v>
      </c>
      <c r="B239" s="5" t="s">
        <v>274</v>
      </c>
      <c r="C239" s="18" t="s">
        <v>18</v>
      </c>
      <c r="D239" s="10">
        <v>16.3</v>
      </c>
      <c r="E239" s="11">
        <f t="shared" si="18"/>
        <v>7.7750000000000004</v>
      </c>
      <c r="F239" s="11">
        <v>1.5</v>
      </c>
      <c r="G239" s="23">
        <f t="shared" si="15"/>
        <v>126.73250000000002</v>
      </c>
      <c r="H239" s="11">
        <v>6.2750000000000004</v>
      </c>
      <c r="I239" s="6"/>
      <c r="J239" s="6"/>
      <c r="K239" s="11">
        <f t="shared" si="20"/>
        <v>6.2750000000000004</v>
      </c>
      <c r="L239" s="12">
        <f>K239*D239</f>
        <v>102.28250000000001</v>
      </c>
    </row>
    <row r="240" spans="1:12">
      <c r="A240" s="11" t="s">
        <v>275</v>
      </c>
      <c r="B240" s="5" t="s">
        <v>276</v>
      </c>
      <c r="C240" s="18" t="s">
        <v>28</v>
      </c>
      <c r="D240" s="10">
        <v>5.49</v>
      </c>
      <c r="E240" s="11">
        <f t="shared" si="18"/>
        <v>0.5</v>
      </c>
      <c r="F240" s="11"/>
      <c r="G240" s="23">
        <f t="shared" si="15"/>
        <v>2.7450000000000001</v>
      </c>
      <c r="H240" s="11">
        <v>0.5</v>
      </c>
      <c r="I240" s="6"/>
      <c r="J240" s="6"/>
      <c r="K240" s="11">
        <f t="shared" si="20"/>
        <v>0.5</v>
      </c>
      <c r="L240" s="12">
        <f>K240*D240</f>
        <v>2.7450000000000001</v>
      </c>
    </row>
    <row r="241" spans="1:12">
      <c r="A241" s="11" t="s">
        <v>275</v>
      </c>
      <c r="B241" s="5" t="s">
        <v>277</v>
      </c>
      <c r="C241" s="18" t="s">
        <v>28</v>
      </c>
      <c r="D241" s="10">
        <v>0.39</v>
      </c>
      <c r="E241" s="11">
        <f t="shared" si="18"/>
        <v>4</v>
      </c>
      <c r="F241" s="11"/>
      <c r="G241" s="23">
        <f t="shared" si="15"/>
        <v>1.56</v>
      </c>
      <c r="H241" s="11">
        <v>4</v>
      </c>
      <c r="I241" s="6"/>
      <c r="J241" s="6"/>
      <c r="K241" s="11">
        <f t="shared" si="20"/>
        <v>4</v>
      </c>
      <c r="L241" s="12">
        <f>K241*D241</f>
        <v>1.56</v>
      </c>
    </row>
    <row r="242" spans="1:12">
      <c r="A242" s="11" t="s">
        <v>275</v>
      </c>
      <c r="B242" s="5" t="s">
        <v>278</v>
      </c>
      <c r="C242" s="18" t="s">
        <v>28</v>
      </c>
      <c r="D242" s="10">
        <v>2.59</v>
      </c>
      <c r="E242" s="11">
        <f t="shared" si="18"/>
        <v>3</v>
      </c>
      <c r="F242" s="11"/>
      <c r="G242" s="23">
        <f t="shared" si="15"/>
        <v>7.77</v>
      </c>
      <c r="H242" s="11">
        <v>3</v>
      </c>
      <c r="I242" s="6"/>
      <c r="J242" s="6"/>
      <c r="K242" s="11">
        <f t="shared" si="20"/>
        <v>3</v>
      </c>
      <c r="L242" s="12">
        <f>K242*D242</f>
        <v>7.77</v>
      </c>
    </row>
    <row r="243" spans="1:12">
      <c r="A243" s="11" t="s">
        <v>275</v>
      </c>
      <c r="B243" s="5" t="s">
        <v>279</v>
      </c>
      <c r="C243" s="18" t="s">
        <v>28</v>
      </c>
      <c r="D243" s="10">
        <v>17.489999999999998</v>
      </c>
      <c r="E243" s="11">
        <f t="shared" si="18"/>
        <v>1</v>
      </c>
      <c r="F243" s="11"/>
      <c r="G243" s="23">
        <f t="shared" si="15"/>
        <v>17.489999999999998</v>
      </c>
      <c r="H243" s="11">
        <v>1</v>
      </c>
      <c r="I243" s="6"/>
      <c r="J243" s="6"/>
      <c r="K243" s="11">
        <f t="shared" si="20"/>
        <v>1</v>
      </c>
      <c r="L243" s="12">
        <f>K243*D243</f>
        <v>17.489999999999998</v>
      </c>
    </row>
    <row r="244" spans="1:12">
      <c r="A244" s="11" t="s">
        <v>275</v>
      </c>
      <c r="B244" s="5" t="s">
        <v>280</v>
      </c>
      <c r="C244" s="18" t="s">
        <v>28</v>
      </c>
      <c r="D244" s="10">
        <v>6.99</v>
      </c>
      <c r="E244" s="11">
        <f t="shared" si="18"/>
        <v>2.4</v>
      </c>
      <c r="F244" s="11">
        <v>0.4</v>
      </c>
      <c r="G244" s="23">
        <f t="shared" si="15"/>
        <v>16.776</v>
      </c>
      <c r="H244" s="11">
        <v>2</v>
      </c>
      <c r="I244" s="6"/>
      <c r="J244" s="6"/>
      <c r="K244" s="11">
        <f t="shared" si="20"/>
        <v>2</v>
      </c>
      <c r="L244" s="12">
        <f>K244*D244</f>
        <v>13.98</v>
      </c>
    </row>
    <row r="245" spans="1:12">
      <c r="A245" s="11" t="s">
        <v>275</v>
      </c>
      <c r="B245" s="5" t="s">
        <v>281</v>
      </c>
      <c r="C245" s="18" t="s">
        <v>28</v>
      </c>
      <c r="D245" s="10">
        <v>1.99</v>
      </c>
      <c r="E245" s="11">
        <f t="shared" si="18"/>
        <v>10</v>
      </c>
      <c r="F245" s="11"/>
      <c r="G245" s="23">
        <f t="shared" si="15"/>
        <v>19.899999999999999</v>
      </c>
      <c r="H245" s="11">
        <v>10</v>
      </c>
      <c r="I245" s="6"/>
      <c r="J245" s="6"/>
      <c r="K245" s="11">
        <f t="shared" si="20"/>
        <v>10</v>
      </c>
      <c r="L245" s="12">
        <f>K245*D245</f>
        <v>19.899999999999999</v>
      </c>
    </row>
    <row r="246" spans="1:12">
      <c r="A246" s="11" t="s">
        <v>275</v>
      </c>
      <c r="B246" s="5" t="s">
        <v>282</v>
      </c>
      <c r="C246" s="18" t="s">
        <v>28</v>
      </c>
      <c r="D246" s="10">
        <v>6.99</v>
      </c>
      <c r="E246" s="11">
        <f t="shared" si="18"/>
        <v>4.5</v>
      </c>
      <c r="F246" s="11">
        <v>1</v>
      </c>
      <c r="G246" s="23">
        <f t="shared" si="15"/>
        <v>31.455000000000002</v>
      </c>
      <c r="H246" s="11">
        <v>3.5</v>
      </c>
      <c r="I246" s="6"/>
      <c r="J246" s="6"/>
      <c r="K246" s="11">
        <f t="shared" si="20"/>
        <v>3.5</v>
      </c>
      <c r="L246" s="12">
        <f>K246*D246</f>
        <v>24.465</v>
      </c>
    </row>
    <row r="247" spans="1:12">
      <c r="A247" s="11" t="s">
        <v>275</v>
      </c>
      <c r="B247" s="5" t="s">
        <v>283</v>
      </c>
      <c r="C247" s="18" t="s">
        <v>28</v>
      </c>
      <c r="D247" s="10">
        <v>0.99</v>
      </c>
      <c r="E247" s="11">
        <f t="shared" si="18"/>
        <v>11</v>
      </c>
      <c r="F247" s="11">
        <v>4</v>
      </c>
      <c r="G247" s="23">
        <f t="shared" si="15"/>
        <v>10.89</v>
      </c>
      <c r="H247" s="11">
        <v>2</v>
      </c>
      <c r="I247" s="6">
        <v>5</v>
      </c>
      <c r="J247" s="6"/>
      <c r="K247" s="11">
        <f t="shared" si="20"/>
        <v>7</v>
      </c>
      <c r="L247" s="12">
        <f>K247*D247</f>
        <v>6.93</v>
      </c>
    </row>
    <row r="248" spans="1:12">
      <c r="A248" s="11"/>
      <c r="B248" s="5" t="s">
        <v>284</v>
      </c>
      <c r="C248" s="18" t="s">
        <v>18</v>
      </c>
      <c r="D248" s="10">
        <v>12</v>
      </c>
      <c r="E248" s="11">
        <f t="shared" si="18"/>
        <v>3</v>
      </c>
      <c r="F248" s="11"/>
      <c r="G248" s="23">
        <f t="shared" si="15"/>
        <v>36</v>
      </c>
      <c r="H248" s="11">
        <v>3</v>
      </c>
      <c r="I248" s="6"/>
      <c r="J248" s="6"/>
      <c r="K248" s="11">
        <f t="shared" si="20"/>
        <v>3</v>
      </c>
      <c r="L248" s="12">
        <f>K248*D248</f>
        <v>36</v>
      </c>
    </row>
    <row r="249" spans="1:12">
      <c r="A249" s="11" t="s">
        <v>285</v>
      </c>
      <c r="B249" s="5" t="s">
        <v>286</v>
      </c>
      <c r="C249" s="18" t="s">
        <v>64</v>
      </c>
      <c r="D249" s="10">
        <v>4.1980000000000004</v>
      </c>
      <c r="E249" s="11">
        <f t="shared" si="18"/>
        <v>3</v>
      </c>
      <c r="F249" s="11"/>
      <c r="G249" s="23">
        <f t="shared" si="15"/>
        <v>12.594000000000001</v>
      </c>
      <c r="H249" s="11">
        <v>3</v>
      </c>
      <c r="I249" s="6"/>
      <c r="J249" s="6"/>
      <c r="K249" s="11">
        <f t="shared" si="20"/>
        <v>3</v>
      </c>
      <c r="L249" s="12">
        <f>K249*D249</f>
        <v>12.594000000000001</v>
      </c>
    </row>
    <row r="250" spans="1:12">
      <c r="A250" s="11"/>
      <c r="B250" s="5" t="s">
        <v>287</v>
      </c>
      <c r="C250" s="18" t="s">
        <v>64</v>
      </c>
      <c r="D250" s="10">
        <v>12.5</v>
      </c>
      <c r="E250" s="11">
        <f t="shared" si="18"/>
        <v>2.5</v>
      </c>
      <c r="F250" s="11"/>
      <c r="G250" s="23">
        <f t="shared" si="15"/>
        <v>31.25</v>
      </c>
      <c r="H250" s="11">
        <v>2.5</v>
      </c>
      <c r="I250" s="6"/>
      <c r="J250" s="6"/>
      <c r="K250" s="11">
        <f t="shared" si="20"/>
        <v>2.5</v>
      </c>
      <c r="L250" s="12">
        <f>K250*D250</f>
        <v>31.25</v>
      </c>
    </row>
    <row r="251" spans="1:12">
      <c r="A251" s="11"/>
      <c r="B251" s="5" t="s">
        <v>288</v>
      </c>
      <c r="C251" s="18" t="s">
        <v>64</v>
      </c>
      <c r="D251" s="10">
        <v>12.7</v>
      </c>
      <c r="E251" s="11">
        <f t="shared" si="18"/>
        <v>0.5</v>
      </c>
      <c r="F251" s="11"/>
      <c r="G251" s="23">
        <f t="shared" si="15"/>
        <v>6.35</v>
      </c>
      <c r="H251" s="11">
        <v>0.5</v>
      </c>
      <c r="I251" s="6"/>
      <c r="J251" s="6"/>
      <c r="K251" s="11">
        <f t="shared" si="20"/>
        <v>0.5</v>
      </c>
      <c r="L251" s="12">
        <f>K251*D251</f>
        <v>6.35</v>
      </c>
    </row>
    <row r="252" spans="1:12">
      <c r="A252" s="11" t="s">
        <v>289</v>
      </c>
      <c r="B252" s="5" t="s">
        <v>290</v>
      </c>
      <c r="C252" s="18" t="s">
        <v>14</v>
      </c>
      <c r="D252" s="10">
        <v>6.79</v>
      </c>
      <c r="E252" s="11">
        <f t="shared" si="18"/>
        <v>0.7</v>
      </c>
      <c r="F252" s="11">
        <v>0.1</v>
      </c>
      <c r="G252" s="23">
        <f t="shared" si="15"/>
        <v>4.7530000000000001</v>
      </c>
      <c r="H252" s="11">
        <v>0.6</v>
      </c>
      <c r="I252" s="6"/>
      <c r="J252" s="6"/>
      <c r="K252" s="11">
        <f t="shared" si="20"/>
        <v>0.6</v>
      </c>
      <c r="L252" s="12">
        <f>K252*D252</f>
        <v>4.0739999999999998</v>
      </c>
    </row>
    <row r="253" spans="1:12">
      <c r="A253" s="11"/>
      <c r="B253" s="5" t="s">
        <v>291</v>
      </c>
      <c r="C253" s="18" t="s">
        <v>28</v>
      </c>
      <c r="D253" s="10">
        <v>1.0200000000000001E-2</v>
      </c>
      <c r="E253" s="11">
        <f t="shared" si="18"/>
        <v>0</v>
      </c>
      <c r="F253" s="11"/>
      <c r="G253" s="23">
        <f t="shared" si="15"/>
        <v>0</v>
      </c>
      <c r="H253" s="11">
        <v>500</v>
      </c>
      <c r="I253" s="6"/>
      <c r="J253" s="6"/>
      <c r="K253" s="11"/>
      <c r="L253" s="12">
        <f>K253*D253</f>
        <v>0</v>
      </c>
    </row>
    <row r="254" spans="1:12">
      <c r="A254" s="11"/>
      <c r="B254" s="5"/>
      <c r="C254" s="18"/>
      <c r="D254" s="10"/>
      <c r="E254" s="11">
        <f t="shared" si="18"/>
        <v>0</v>
      </c>
      <c r="F254" s="11"/>
      <c r="G254" s="23">
        <f t="shared" si="15"/>
        <v>0</v>
      </c>
      <c r="H254" s="11"/>
      <c r="I254" s="6"/>
      <c r="J254" s="6"/>
      <c r="K254" s="11"/>
      <c r="L254" s="12">
        <f>K254*D254</f>
        <v>0</v>
      </c>
    </row>
    <row r="255" spans="1:12">
      <c r="A255" s="11" t="s">
        <v>292</v>
      </c>
      <c r="B255" s="5" t="s">
        <v>293</v>
      </c>
      <c r="C255" s="18"/>
      <c r="D255" s="10"/>
      <c r="E255" s="11">
        <f t="shared" si="18"/>
        <v>0</v>
      </c>
      <c r="F255" s="11"/>
      <c r="G255" s="23">
        <f t="shared" si="15"/>
        <v>0</v>
      </c>
      <c r="H255" s="11"/>
      <c r="I255" s="6"/>
      <c r="J255" s="6"/>
      <c r="K255" s="11"/>
      <c r="L255" s="12">
        <f>K255*D255</f>
        <v>0</v>
      </c>
    </row>
    <row r="256" spans="1:12" ht="15.75">
      <c r="A256" s="11" t="s">
        <v>292</v>
      </c>
      <c r="B256" s="5" t="s">
        <v>294</v>
      </c>
      <c r="C256" s="11"/>
      <c r="D256" s="5"/>
      <c r="E256" s="18"/>
      <c r="F256" s="10"/>
      <c r="G256" s="11"/>
      <c r="L256" s="8">
        <f>SUM(L27:L236)</f>
        <v>216752.67250000007</v>
      </c>
    </row>
    <row r="257" spans="1:12">
      <c r="A257" s="11" t="s">
        <v>292</v>
      </c>
      <c r="B257" s="5" t="s">
        <v>295</v>
      </c>
      <c r="C257" s="11"/>
      <c r="D257" s="5"/>
      <c r="E257" s="18"/>
      <c r="F257" s="10"/>
      <c r="G257" s="11"/>
      <c r="H257" s="27"/>
      <c r="I257" s="27"/>
      <c r="J257" s="27"/>
      <c r="K257" s="27"/>
      <c r="L257" s="30"/>
    </row>
    <row r="258" spans="1:12">
      <c r="A258" s="11" t="s">
        <v>292</v>
      </c>
      <c r="B258" s="5" t="s">
        <v>296</v>
      </c>
      <c r="C258" s="11"/>
      <c r="D258" s="5"/>
      <c r="E258" s="18"/>
      <c r="F258" s="10"/>
      <c r="G258" s="11"/>
      <c r="H258" s="27"/>
      <c r="I258" s="27"/>
      <c r="J258" s="27"/>
      <c r="K258" s="27"/>
      <c r="L258" s="30"/>
    </row>
    <row r="259" spans="1:12">
      <c r="A259" s="26"/>
      <c r="B259" s="27"/>
      <c r="C259" s="28"/>
      <c r="D259" s="28"/>
      <c r="E259" s="28"/>
      <c r="F259" s="28"/>
      <c r="G259" s="28"/>
      <c r="H259" s="27"/>
      <c r="I259" s="27"/>
      <c r="J259" s="27"/>
      <c r="K259" s="27"/>
      <c r="L259" s="30"/>
    </row>
    <row r="260" spans="1:12">
      <c r="A260" s="26"/>
      <c r="B260" s="27"/>
      <c r="C260" s="28"/>
      <c r="D260" s="29"/>
      <c r="E260" s="29"/>
      <c r="F260" s="29"/>
      <c r="G260" s="29"/>
      <c r="H260" s="27"/>
      <c r="I260" s="27"/>
      <c r="J260" s="27"/>
      <c r="K260" s="27"/>
      <c r="L260" s="30"/>
    </row>
    <row r="261" spans="1:12">
      <c r="A261" s="26"/>
      <c r="B261" s="27"/>
      <c r="C261" s="28"/>
      <c r="D261" s="29"/>
      <c r="E261" s="29"/>
      <c r="F261" s="29"/>
      <c r="G261" s="29"/>
      <c r="H261" s="27"/>
      <c r="I261" s="27"/>
      <c r="J261" s="27"/>
      <c r="K261" s="27"/>
      <c r="L261" s="30"/>
    </row>
    <row r="262" spans="1:12">
      <c r="A262" s="26"/>
      <c r="B262" s="27"/>
      <c r="C262" s="28"/>
      <c r="D262" s="29"/>
      <c r="E262" s="29"/>
      <c r="F262" s="29"/>
      <c r="G262" s="29"/>
      <c r="H262" s="27"/>
      <c r="I262" s="27"/>
      <c r="J262" s="27"/>
      <c r="K262" s="27"/>
      <c r="L262" s="30"/>
    </row>
    <row r="263" spans="1:12">
      <c r="A263" s="26"/>
      <c r="B263" s="27"/>
      <c r="C263" s="28"/>
      <c r="D263" s="29"/>
      <c r="E263" s="29"/>
      <c r="F263" s="29"/>
      <c r="G263" s="29"/>
      <c r="H263" s="27"/>
      <c r="I263" s="27"/>
      <c r="J263" s="27"/>
      <c r="K263" s="27"/>
      <c r="L263" s="30"/>
    </row>
    <row r="264" spans="1:12">
      <c r="A264" s="26"/>
      <c r="B264" s="27"/>
      <c r="C264" s="28"/>
      <c r="D264" s="29"/>
      <c r="E264" s="29"/>
      <c r="F264" s="29"/>
      <c r="G264" s="29"/>
      <c r="H264" s="27"/>
      <c r="I264" s="27"/>
      <c r="J264" s="27"/>
      <c r="K264" s="27"/>
      <c r="L264" s="30"/>
    </row>
    <row r="265" spans="1:12">
      <c r="A265" s="26"/>
      <c r="B265" s="27"/>
      <c r="C265" s="28"/>
      <c r="D265" s="29"/>
      <c r="E265" s="29"/>
      <c r="F265" s="29"/>
      <c r="G265" s="29"/>
      <c r="H265" s="27"/>
      <c r="I265" s="27"/>
      <c r="J265" s="27"/>
      <c r="K265" s="27"/>
      <c r="L265" s="30"/>
    </row>
    <row r="266" spans="1:12">
      <c r="A266" s="26"/>
      <c r="B266" s="27"/>
      <c r="C266" s="28"/>
      <c r="D266" s="29"/>
      <c r="E266" s="29"/>
      <c r="F266" s="29"/>
      <c r="G266" s="29"/>
      <c r="H266" s="27"/>
      <c r="I266" s="27"/>
      <c r="J266" s="27"/>
      <c r="K266" s="27"/>
      <c r="L266" s="30"/>
    </row>
    <row r="267" spans="1:12">
      <c r="A267" s="26"/>
      <c r="B267" s="27"/>
      <c r="C267" s="28"/>
      <c r="D267" s="29"/>
      <c r="E267" s="29"/>
      <c r="F267" s="29"/>
      <c r="G267" s="29"/>
      <c r="H267" s="27"/>
      <c r="I267" s="27"/>
      <c r="J267" s="27"/>
      <c r="K267" s="27"/>
      <c r="L267" s="30"/>
    </row>
    <row r="268" spans="1:12">
      <c r="A268" s="26"/>
      <c r="B268" s="27"/>
      <c r="C268" s="28"/>
      <c r="D268" s="29"/>
      <c r="E268" s="29"/>
      <c r="F268" s="29"/>
      <c r="G268" s="29"/>
      <c r="H268" s="27"/>
      <c r="I268" s="27"/>
      <c r="J268" s="27"/>
      <c r="K268" s="27"/>
      <c r="L268" s="30"/>
    </row>
    <row r="269" spans="1:12">
      <c r="A269" s="26"/>
      <c r="B269" s="27"/>
      <c r="C269" s="28"/>
      <c r="D269" s="29"/>
      <c r="E269" s="29"/>
      <c r="F269" s="29"/>
      <c r="G269" s="29"/>
      <c r="H269" s="27"/>
      <c r="I269" s="27"/>
      <c r="J269" s="27"/>
      <c r="K269" s="27"/>
      <c r="L269" s="30"/>
    </row>
    <row r="270" spans="1:12">
      <c r="A270" s="26"/>
      <c r="B270" s="27"/>
      <c r="C270" s="28"/>
      <c r="D270" s="29"/>
      <c r="E270" s="29"/>
      <c r="F270" s="29"/>
      <c r="G270" s="29"/>
      <c r="H270" s="27"/>
      <c r="I270" s="27"/>
      <c r="J270" s="27"/>
      <c r="K270" s="27"/>
      <c r="L270" s="30"/>
    </row>
    <row r="271" spans="1:12">
      <c r="A271" s="26"/>
      <c r="B271" s="27"/>
      <c r="C271" s="28"/>
      <c r="D271" s="29"/>
      <c r="E271" s="29"/>
      <c r="F271" s="29"/>
      <c r="G271" s="29"/>
      <c r="H271" s="27"/>
      <c r="I271" s="27"/>
      <c r="J271" s="27"/>
      <c r="K271" s="27"/>
      <c r="L271" s="30"/>
    </row>
    <row r="272" spans="1:12">
      <c r="A272" s="26"/>
      <c r="B272" s="27"/>
      <c r="C272" s="28"/>
      <c r="D272" s="29"/>
      <c r="E272" s="29"/>
      <c r="F272" s="29"/>
      <c r="G272" s="29"/>
      <c r="H272" s="27"/>
      <c r="I272" s="27"/>
      <c r="J272" s="27"/>
      <c r="K272" s="27"/>
      <c r="L272" s="30"/>
    </row>
    <row r="273" spans="1:12">
      <c r="A273" s="26"/>
      <c r="B273" s="27"/>
      <c r="C273" s="28"/>
      <c r="D273" s="29"/>
      <c r="E273" s="29"/>
      <c r="F273" s="29"/>
      <c r="G273" s="29"/>
      <c r="H273" s="27"/>
      <c r="I273" s="27"/>
      <c r="J273" s="27"/>
      <c r="K273" s="27"/>
      <c r="L273" s="30"/>
    </row>
    <row r="274" spans="1:12">
      <c r="A274" s="26"/>
      <c r="B274" s="27"/>
      <c r="C274" s="28"/>
      <c r="D274" s="29"/>
      <c r="E274" s="29"/>
      <c r="F274" s="29"/>
      <c r="G274" s="29"/>
      <c r="H274" s="27"/>
      <c r="I274" s="27"/>
      <c r="J274" s="27"/>
      <c r="K274" s="27"/>
      <c r="L274" s="30"/>
    </row>
    <row r="275" spans="1:12">
      <c r="A275" s="26"/>
      <c r="B275" s="27"/>
      <c r="C275" s="28"/>
      <c r="D275" s="29"/>
      <c r="E275" s="29"/>
      <c r="F275" s="29"/>
      <c r="G275" s="29"/>
      <c r="H275" s="27"/>
      <c r="I275" s="27"/>
      <c r="J275" s="27"/>
      <c r="K275" s="27"/>
      <c r="L275" s="30"/>
    </row>
    <row r="276" spans="1:12">
      <c r="A276" s="26"/>
      <c r="B276" s="27"/>
      <c r="C276" s="28"/>
      <c r="D276" s="29"/>
      <c r="E276" s="29"/>
      <c r="F276" s="29"/>
      <c r="G276" s="29"/>
      <c r="H276" s="27"/>
      <c r="I276" s="27"/>
      <c r="J276" s="27"/>
      <c r="K276" s="27"/>
      <c r="L276" s="30"/>
    </row>
    <row r="277" spans="1:12">
      <c r="A277" s="26"/>
      <c r="B277" s="27"/>
      <c r="C277" s="28"/>
      <c r="D277" s="29"/>
      <c r="E277" s="29"/>
      <c r="F277" s="29"/>
      <c r="G277" s="29"/>
      <c r="H277" s="27"/>
      <c r="I277" s="27"/>
      <c r="J277" s="27"/>
      <c r="K277" s="27"/>
      <c r="L277" s="30"/>
    </row>
    <row r="278" spans="1:12">
      <c r="A278" s="26"/>
      <c r="B278" s="27"/>
      <c r="C278" s="28"/>
      <c r="D278" s="29"/>
      <c r="E278" s="29"/>
      <c r="F278" s="29"/>
      <c r="G278" s="29"/>
      <c r="H278" s="27"/>
      <c r="I278" s="27"/>
      <c r="J278" s="27"/>
      <c r="K278" s="27"/>
      <c r="L278" s="30"/>
    </row>
    <row r="279" spans="1:12">
      <c r="A279" s="26"/>
      <c r="B279" s="27"/>
      <c r="C279" s="28"/>
      <c r="D279" s="29"/>
      <c r="E279" s="29"/>
      <c r="F279" s="29"/>
      <c r="G279" s="29"/>
      <c r="H279" s="27"/>
      <c r="I279" s="27"/>
      <c r="J279" s="27"/>
      <c r="K279" s="27"/>
      <c r="L279" s="30"/>
    </row>
    <row r="280" spans="1:12">
      <c r="A280" s="26"/>
      <c r="B280" s="27"/>
      <c r="C280" s="28"/>
      <c r="D280" s="29"/>
      <c r="E280" s="29"/>
      <c r="F280" s="29"/>
      <c r="G280" s="29"/>
      <c r="H280" s="27"/>
      <c r="I280" s="27"/>
      <c r="J280" s="27"/>
      <c r="K280" s="27"/>
      <c r="L280" s="30"/>
    </row>
    <row r="281" spans="1:12">
      <c r="A281" s="26"/>
      <c r="B281" s="27"/>
      <c r="C281" s="28"/>
      <c r="D281" s="29"/>
      <c r="E281" s="29"/>
      <c r="F281" s="29"/>
      <c r="G281" s="29"/>
      <c r="H281" s="27"/>
      <c r="I281" s="27"/>
      <c r="J281" s="27"/>
      <c r="K281" s="27"/>
      <c r="L281" s="30"/>
    </row>
    <row r="282" spans="1:12">
      <c r="A282" s="26"/>
      <c r="B282" s="27"/>
      <c r="C282" s="28"/>
      <c r="D282" s="29"/>
      <c r="E282" s="29"/>
      <c r="F282" s="29"/>
      <c r="G282" s="29"/>
      <c r="H282" s="27"/>
      <c r="I282" s="27"/>
      <c r="J282" s="27"/>
      <c r="K282" s="27"/>
      <c r="L282" s="30"/>
    </row>
    <row r="283" spans="1:12">
      <c r="A283" s="26"/>
      <c r="B283" s="27"/>
      <c r="C283" s="28"/>
      <c r="D283" s="29"/>
      <c r="E283" s="29"/>
      <c r="F283" s="29"/>
      <c r="G283" s="29"/>
      <c r="H283" s="27"/>
      <c r="I283" s="27"/>
      <c r="J283" s="27"/>
      <c r="K283" s="27"/>
      <c r="L283" s="30"/>
    </row>
    <row r="284" spans="1:12">
      <c r="A284" s="26"/>
      <c r="B284" s="27"/>
      <c r="C284" s="28"/>
      <c r="D284" s="29"/>
      <c r="E284" s="29"/>
      <c r="F284" s="29"/>
      <c r="G284" s="29"/>
      <c r="H284" s="27"/>
      <c r="I284" s="27"/>
      <c r="J284" s="27"/>
      <c r="K284" s="27"/>
      <c r="L284" s="30"/>
    </row>
    <row r="285" spans="1:12">
      <c r="A285" s="26"/>
      <c r="B285" s="27"/>
      <c r="C285" s="28"/>
      <c r="D285" s="29"/>
      <c r="E285" s="29"/>
      <c r="F285" s="29"/>
      <c r="G285" s="29"/>
      <c r="H285" s="27"/>
      <c r="I285" s="27"/>
      <c r="J285" s="27"/>
      <c r="K285" s="27"/>
      <c r="L285" s="30"/>
    </row>
    <row r="286" spans="1:12">
      <c r="A286" s="26"/>
      <c r="B286" s="27"/>
      <c r="C286" s="28"/>
      <c r="D286" s="29"/>
      <c r="E286" s="29"/>
      <c r="F286" s="29"/>
      <c r="G286" s="29"/>
      <c r="H286" s="27"/>
      <c r="I286" s="27"/>
      <c r="J286" s="27"/>
      <c r="K286" s="27"/>
      <c r="L286" s="30"/>
    </row>
    <row r="287" spans="1:12">
      <c r="A287" s="26"/>
      <c r="B287" s="27"/>
      <c r="C287" s="28"/>
      <c r="D287" s="29"/>
      <c r="E287" s="29"/>
      <c r="F287" s="29"/>
      <c r="G287" s="29"/>
      <c r="H287" s="27"/>
      <c r="I287" s="27"/>
      <c r="J287" s="27"/>
      <c r="K287" s="27"/>
      <c r="L287" s="30"/>
    </row>
    <row r="288" spans="1:12">
      <c r="A288" s="26"/>
      <c r="B288" s="27"/>
      <c r="C288" s="28"/>
      <c r="D288" s="29"/>
      <c r="E288" s="29"/>
      <c r="F288" s="29"/>
      <c r="G288" s="29"/>
      <c r="H288" s="27"/>
      <c r="I288" s="27"/>
      <c r="J288" s="27"/>
      <c r="K288" s="27"/>
      <c r="L288" s="30"/>
    </row>
    <row r="289" spans="1:12">
      <c r="A289" s="26"/>
      <c r="B289" s="27"/>
      <c r="C289" s="28"/>
      <c r="D289" s="29"/>
      <c r="E289" s="29"/>
      <c r="F289" s="29"/>
      <c r="G289" s="29"/>
      <c r="H289" s="27"/>
      <c r="I289" s="27"/>
      <c r="J289" s="27"/>
      <c r="K289" s="27"/>
      <c r="L289" s="30"/>
    </row>
    <row r="290" spans="1:12">
      <c r="A290" s="26"/>
      <c r="B290" s="27"/>
      <c r="C290" s="28"/>
      <c r="D290" s="29"/>
      <c r="E290" s="29"/>
      <c r="F290" s="29"/>
      <c r="G290" s="29"/>
      <c r="H290" s="27"/>
      <c r="I290" s="27"/>
      <c r="J290" s="27"/>
      <c r="K290" s="27"/>
      <c r="L290" s="30"/>
    </row>
    <row r="291" spans="1:12">
      <c r="A291" s="26"/>
      <c r="B291" s="27"/>
      <c r="C291" s="28"/>
      <c r="D291" s="29"/>
      <c r="E291" s="29"/>
      <c r="F291" s="29"/>
      <c r="G291" s="29"/>
      <c r="H291" s="27"/>
      <c r="I291" s="27"/>
      <c r="J291" s="27"/>
      <c r="K291" s="27"/>
      <c r="L291" s="30"/>
    </row>
    <row r="292" spans="1:12">
      <c r="A292" s="26"/>
      <c r="B292" s="27"/>
      <c r="C292" s="28"/>
      <c r="D292" s="29"/>
      <c r="E292" s="29"/>
      <c r="F292" s="29"/>
      <c r="G292" s="29"/>
      <c r="H292" s="27"/>
      <c r="I292" s="27"/>
      <c r="J292" s="27"/>
      <c r="K292" s="27"/>
      <c r="L292" s="30"/>
    </row>
    <row r="293" spans="1:12">
      <c r="A293" s="26"/>
      <c r="B293" s="27"/>
      <c r="C293" s="28"/>
      <c r="D293" s="29"/>
      <c r="E293" s="29"/>
      <c r="F293" s="29"/>
      <c r="G293" s="29"/>
      <c r="H293" s="27"/>
      <c r="I293" s="27"/>
      <c r="J293" s="27"/>
      <c r="K293" s="27"/>
      <c r="L293" s="30"/>
    </row>
    <row r="294" spans="1:12">
      <c r="A294" s="26"/>
      <c r="B294" s="27"/>
      <c r="C294" s="28"/>
      <c r="D294" s="29"/>
      <c r="E294" s="29"/>
      <c r="F294" s="29"/>
      <c r="G294" s="29"/>
      <c r="H294" s="27"/>
      <c r="I294" s="27"/>
      <c r="J294" s="27"/>
      <c r="K294" s="27"/>
      <c r="L294" s="30"/>
    </row>
    <row r="295" spans="1:12">
      <c r="A295" s="26"/>
      <c r="B295" s="27"/>
      <c r="C295" s="28"/>
      <c r="D295" s="29"/>
      <c r="E295" s="29"/>
      <c r="F295" s="29"/>
      <c r="G295" s="29"/>
      <c r="H295" s="27"/>
      <c r="I295" s="27"/>
      <c r="J295" s="27"/>
      <c r="K295" s="27"/>
      <c r="L295" s="30"/>
    </row>
    <row r="296" spans="1:12">
      <c r="A296" s="26"/>
      <c r="B296" s="27"/>
      <c r="C296" s="28"/>
      <c r="D296" s="29"/>
      <c r="E296" s="29"/>
      <c r="F296" s="29"/>
      <c r="G296" s="29"/>
      <c r="H296" s="27"/>
      <c r="I296" s="27"/>
      <c r="J296" s="27"/>
      <c r="K296" s="27"/>
      <c r="L296" s="30"/>
    </row>
    <row r="297" spans="1:12">
      <c r="A297" s="26"/>
      <c r="B297" s="27"/>
      <c r="C297" s="28"/>
      <c r="D297" s="29"/>
      <c r="E297" s="29"/>
      <c r="F297" s="29"/>
      <c r="G297" s="29"/>
      <c r="H297" s="27"/>
      <c r="I297" s="27"/>
      <c r="J297" s="27"/>
      <c r="K297" s="27"/>
      <c r="L297" s="30"/>
    </row>
    <row r="298" spans="1:12">
      <c r="A298" s="26"/>
      <c r="B298" s="27"/>
      <c r="C298" s="28"/>
      <c r="D298" s="29"/>
      <c r="E298" s="29"/>
      <c r="F298" s="29"/>
      <c r="G298" s="29"/>
      <c r="H298" s="27"/>
      <c r="I298" s="27"/>
      <c r="J298" s="27"/>
      <c r="K298" s="27"/>
      <c r="L298" s="30"/>
    </row>
    <row r="299" spans="1:12">
      <c r="A299" s="26"/>
      <c r="B299" s="27"/>
      <c r="C299" s="28"/>
      <c r="D299" s="29"/>
      <c r="E299" s="29"/>
      <c r="F299" s="29"/>
      <c r="G299" s="29"/>
      <c r="H299" s="27"/>
      <c r="I299" s="27"/>
      <c r="J299" s="27"/>
      <c r="K299" s="27"/>
      <c r="L299" s="30"/>
    </row>
    <row r="300" spans="1:12">
      <c r="A300" s="26"/>
      <c r="B300" s="27"/>
      <c r="C300" s="28"/>
      <c r="D300" s="29"/>
      <c r="E300" s="29"/>
      <c r="F300" s="29"/>
      <c r="G300" s="29"/>
      <c r="H300" s="27"/>
      <c r="I300" s="27"/>
      <c r="J300" s="27"/>
      <c r="K300" s="27"/>
      <c r="L300" s="30"/>
    </row>
    <row r="301" spans="1:12">
      <c r="A301" s="26"/>
      <c r="B301" s="27"/>
      <c r="C301" s="28"/>
      <c r="D301" s="29"/>
      <c r="E301" s="29"/>
      <c r="F301" s="29"/>
      <c r="G301" s="29"/>
      <c r="H301" s="27"/>
      <c r="I301" s="27"/>
      <c r="J301" s="27"/>
      <c r="K301" s="27"/>
      <c r="L301" s="30"/>
    </row>
    <row r="302" spans="1:12">
      <c r="A302" s="26"/>
      <c r="B302" s="27"/>
      <c r="C302" s="28"/>
      <c r="D302" s="29"/>
      <c r="E302" s="29"/>
      <c r="F302" s="29"/>
      <c r="G302" s="29"/>
      <c r="H302" s="27"/>
      <c r="I302" s="27"/>
      <c r="J302" s="27"/>
      <c r="K302" s="27"/>
      <c r="L302" s="30"/>
    </row>
    <row r="303" spans="1:12">
      <c r="A303" s="26"/>
      <c r="B303" s="27"/>
      <c r="C303" s="28"/>
      <c r="D303" s="29"/>
      <c r="E303" s="29"/>
      <c r="F303" s="29"/>
      <c r="G303" s="29"/>
      <c r="H303" s="27"/>
      <c r="I303" s="27"/>
      <c r="J303" s="27"/>
      <c r="K303" s="27"/>
      <c r="L303" s="30"/>
    </row>
    <row r="304" spans="1:12">
      <c r="A304" s="26"/>
      <c r="B304" s="27"/>
      <c r="C304" s="28"/>
      <c r="D304" s="29"/>
      <c r="E304" s="29"/>
      <c r="F304" s="29"/>
      <c r="G304" s="29"/>
      <c r="H304" s="27"/>
      <c r="I304" s="27"/>
      <c r="J304" s="27"/>
      <c r="K304" s="27"/>
      <c r="L304" s="30"/>
    </row>
    <row r="305" spans="1:12">
      <c r="A305" s="26"/>
      <c r="B305" s="27"/>
      <c r="C305" s="28"/>
      <c r="D305" s="29"/>
      <c r="E305" s="29"/>
      <c r="F305" s="29"/>
      <c r="G305" s="29"/>
      <c r="H305" s="27"/>
      <c r="I305" s="27"/>
      <c r="J305" s="27"/>
      <c r="K305" s="27"/>
      <c r="L305" s="30"/>
    </row>
    <row r="306" spans="1:12">
      <c r="A306" s="26"/>
      <c r="B306" s="27"/>
      <c r="C306" s="28"/>
      <c r="D306" s="29"/>
      <c r="E306" s="29"/>
      <c r="F306" s="29"/>
      <c r="G306" s="29"/>
      <c r="H306" s="27"/>
      <c r="I306" s="27"/>
      <c r="J306" s="27"/>
      <c r="K306" s="27"/>
      <c r="L306" s="30"/>
    </row>
    <row r="307" spans="1:12">
      <c r="A307" s="26"/>
      <c r="B307" s="27"/>
      <c r="C307" s="28"/>
      <c r="D307" s="29"/>
      <c r="E307" s="29"/>
      <c r="F307" s="29"/>
      <c r="G307" s="29"/>
      <c r="H307" s="27"/>
      <c r="I307" s="27"/>
      <c r="J307" s="27"/>
      <c r="K307" s="27"/>
      <c r="L307" s="30"/>
    </row>
    <row r="308" spans="1:12">
      <c r="A308" s="26"/>
      <c r="B308" s="27"/>
      <c r="C308" s="28"/>
      <c r="D308" s="29"/>
      <c r="E308" s="29"/>
      <c r="F308" s="29"/>
      <c r="G308" s="29"/>
      <c r="H308" s="27"/>
      <c r="I308" s="27"/>
      <c r="J308" s="27"/>
      <c r="K308" s="27"/>
      <c r="L308" s="30"/>
    </row>
    <row r="309" spans="1:12">
      <c r="A309" s="26"/>
      <c r="B309" s="27"/>
      <c r="C309" s="28"/>
      <c r="D309" s="29"/>
      <c r="E309" s="29"/>
      <c r="F309" s="29"/>
      <c r="G309" s="29"/>
      <c r="H309" s="27"/>
      <c r="I309" s="27"/>
      <c r="J309" s="27"/>
      <c r="K309" s="27"/>
      <c r="L309" s="30"/>
    </row>
    <row r="310" spans="1:12">
      <c r="A310" s="26"/>
      <c r="B310" s="27"/>
      <c r="C310" s="28"/>
      <c r="D310" s="29"/>
      <c r="E310" s="29"/>
      <c r="F310" s="29"/>
      <c r="G310" s="29"/>
      <c r="H310" s="27"/>
      <c r="I310" s="27"/>
      <c r="J310" s="27"/>
      <c r="K310" s="27"/>
      <c r="L310" s="30"/>
    </row>
    <row r="311" spans="1:12">
      <c r="A311" s="26"/>
      <c r="B311" s="27"/>
      <c r="C311" s="28"/>
      <c r="D311" s="29"/>
      <c r="E311" s="29"/>
      <c r="F311" s="29"/>
      <c r="G311" s="29"/>
      <c r="H311" s="27"/>
      <c r="I311" s="27"/>
      <c r="J311" s="27"/>
      <c r="K311" s="27"/>
      <c r="L311" s="30"/>
    </row>
    <row r="312" spans="1:12">
      <c r="A312" s="26"/>
      <c r="B312" s="27"/>
      <c r="C312" s="28"/>
      <c r="D312" s="29"/>
      <c r="E312" s="29"/>
      <c r="F312" s="29"/>
      <c r="G312" s="29"/>
      <c r="H312" s="27"/>
      <c r="I312" s="27"/>
      <c r="J312" s="27"/>
      <c r="K312" s="27"/>
      <c r="L312" s="30"/>
    </row>
    <row r="313" spans="1:12">
      <c r="A313" s="26"/>
      <c r="B313" s="27"/>
      <c r="C313" s="28"/>
      <c r="D313" s="29"/>
      <c r="E313" s="29"/>
      <c r="F313" s="29"/>
      <c r="G313" s="29"/>
      <c r="H313" s="27"/>
      <c r="I313" s="27"/>
      <c r="J313" s="27"/>
      <c r="K313" s="27"/>
      <c r="L313" s="30"/>
    </row>
    <row r="314" spans="1:12">
      <c r="A314" s="26"/>
      <c r="B314" s="27"/>
      <c r="C314" s="28"/>
      <c r="D314" s="29"/>
      <c r="E314" s="29"/>
      <c r="F314" s="29"/>
      <c r="G314" s="29"/>
      <c r="H314" s="27"/>
      <c r="I314" s="27"/>
      <c r="J314" s="27"/>
      <c r="K314" s="27"/>
      <c r="L314" s="30"/>
    </row>
    <row r="315" spans="1:12">
      <c r="A315" s="26"/>
      <c r="B315" s="27"/>
      <c r="C315" s="28"/>
      <c r="D315" s="29"/>
      <c r="E315" s="29"/>
      <c r="F315" s="29"/>
      <c r="G315" s="29"/>
      <c r="H315" s="27"/>
      <c r="I315" s="27"/>
      <c r="J315" s="27"/>
      <c r="K315" s="27"/>
      <c r="L315" s="30"/>
    </row>
    <row r="316" spans="1:12">
      <c r="A316" s="26"/>
      <c r="B316" s="27"/>
      <c r="C316" s="28"/>
      <c r="D316" s="29"/>
      <c r="E316" s="29"/>
      <c r="F316" s="29"/>
      <c r="G316" s="29"/>
      <c r="H316" s="27"/>
      <c r="I316" s="27"/>
      <c r="J316" s="27"/>
      <c r="K316" s="27"/>
      <c r="L316" s="30"/>
    </row>
    <row r="317" spans="1:12">
      <c r="A317" s="26"/>
      <c r="B317" s="27"/>
      <c r="C317" s="28"/>
      <c r="D317" s="29"/>
      <c r="E317" s="29"/>
      <c r="F317" s="29"/>
      <c r="G317" s="29"/>
      <c r="H317" s="27"/>
      <c r="I317" s="27"/>
      <c r="J317" s="27"/>
      <c r="K317" s="27"/>
      <c r="L317" s="30"/>
    </row>
    <row r="318" spans="1:12">
      <c r="A318" s="26"/>
      <c r="B318" s="27"/>
      <c r="C318" s="28"/>
      <c r="D318" s="29"/>
      <c r="E318" s="29"/>
      <c r="F318" s="29"/>
      <c r="G318" s="29"/>
      <c r="H318" s="27"/>
      <c r="I318" s="27"/>
      <c r="J318" s="27"/>
      <c r="K318" s="27"/>
      <c r="L318" s="30"/>
    </row>
    <row r="319" spans="1:12">
      <c r="A319" s="26"/>
      <c r="B319" s="27"/>
      <c r="C319" s="28"/>
      <c r="D319" s="29"/>
      <c r="E319" s="29"/>
      <c r="F319" s="29"/>
      <c r="G319" s="29"/>
      <c r="H319" s="27"/>
      <c r="I319" s="27"/>
      <c r="J319" s="27"/>
      <c r="K319" s="27"/>
      <c r="L319" s="30"/>
    </row>
    <row r="320" spans="1:12">
      <c r="A320" s="26"/>
      <c r="B320" s="27"/>
      <c r="C320" s="28"/>
      <c r="D320" s="29"/>
      <c r="E320" s="29"/>
      <c r="F320" s="29"/>
      <c r="G320" s="29"/>
      <c r="H320" s="27"/>
      <c r="I320" s="27"/>
      <c r="J320" s="27"/>
      <c r="K320" s="27"/>
      <c r="L320" s="30"/>
    </row>
    <row r="321" spans="1:12">
      <c r="A321" s="26"/>
      <c r="B321" s="27"/>
      <c r="C321" s="28"/>
      <c r="D321" s="29"/>
      <c r="E321" s="29"/>
      <c r="F321" s="29"/>
      <c r="G321" s="29"/>
      <c r="H321" s="27"/>
      <c r="I321" s="27"/>
      <c r="J321" s="27"/>
      <c r="K321" s="27"/>
      <c r="L321" s="30"/>
    </row>
  </sheetData>
  <autoFilter ref="A1:L256" xr:uid="{6C14E97E-44C7-4B3B-8349-6418EE5D84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magalhaes</dc:creator>
  <cp:keywords/>
  <dc:description/>
  <cp:lastModifiedBy/>
  <cp:revision/>
  <dcterms:created xsi:type="dcterms:W3CDTF">2026-01-15T09:47:17Z</dcterms:created>
  <dcterms:modified xsi:type="dcterms:W3CDTF">2026-10-01T15:57:16Z</dcterms:modified>
  <cp:category/>
  <cp:contentStatus/>
</cp:coreProperties>
</file>